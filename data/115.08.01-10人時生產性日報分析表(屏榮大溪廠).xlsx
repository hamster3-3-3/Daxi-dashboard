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8D383120-9E13-4F30-BBDF-717C4FA564D4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810" sheetId="781" r:id="rId1"/>
    <sheet name="0810(18度C)" sheetId="782" r:id="rId2"/>
    <sheet name="0810(4度C)" sheetId="783" r:id="rId3"/>
    <sheet name="0809" sheetId="778" r:id="rId4"/>
    <sheet name="0809(18度C)" sheetId="779" r:id="rId5"/>
    <sheet name="0809(4度C)" sheetId="780" r:id="rId6"/>
    <sheet name="0808" sheetId="775" r:id="rId7"/>
    <sheet name="0808(18度C)" sheetId="776" r:id="rId8"/>
    <sheet name="0808(4度C)" sheetId="777" r:id="rId9"/>
    <sheet name="0807" sheetId="772" r:id="rId10"/>
    <sheet name="0807(18度C)" sheetId="773" r:id="rId11"/>
    <sheet name="0807(4度C)" sheetId="774" r:id="rId12"/>
    <sheet name="0806" sheetId="769" r:id="rId13"/>
    <sheet name="0806(18度C)" sheetId="770" r:id="rId14"/>
    <sheet name="0806(4度C)" sheetId="771" r:id="rId15"/>
    <sheet name="0805" sheetId="766" r:id="rId16"/>
    <sheet name="0805(18度C)" sheetId="767" r:id="rId17"/>
    <sheet name="0805(4度C)" sheetId="768" r:id="rId18"/>
    <sheet name="0804" sheetId="763" r:id="rId19"/>
    <sheet name="0804(18度C)" sheetId="764" r:id="rId20"/>
    <sheet name="0804(4度C)" sheetId="765" r:id="rId21"/>
    <sheet name="0803" sheetId="760" r:id="rId22"/>
    <sheet name="0803(18度C)" sheetId="761" r:id="rId23"/>
    <sheet name="0803(4度C)" sheetId="762" r:id="rId24"/>
    <sheet name="0802" sheetId="757" r:id="rId25"/>
    <sheet name="0802(18度C)" sheetId="758" r:id="rId26"/>
    <sheet name="0802(4度C)" sheetId="759" r:id="rId27"/>
    <sheet name="0801" sheetId="754" r:id="rId28"/>
    <sheet name="0801(18度C)" sheetId="755" r:id="rId29"/>
    <sheet name="0801(4度C)" sheetId="756" r:id="rId30"/>
  </sheets>
  <definedNames>
    <definedName name="_xlnm._FilterDatabase" localSheetId="28" hidden="1">'0801(18度C)'!$A$4:$AC$140</definedName>
    <definedName name="_xlnm._FilterDatabase" localSheetId="29" hidden="1">'0801(4度C)'!$A$4:$AG$140</definedName>
    <definedName name="_xlnm._FilterDatabase" localSheetId="25" hidden="1">'0802(18度C)'!$A$4:$AC$140</definedName>
    <definedName name="_xlnm._FilterDatabase" localSheetId="26" hidden="1">'0802(4度C)'!$A$4:$AG$140</definedName>
    <definedName name="_xlnm._FilterDatabase" localSheetId="22" hidden="1">'0803(18度C)'!$A$4:$AC$140</definedName>
    <definedName name="_xlnm._FilterDatabase" localSheetId="23" hidden="1">'0803(4度C)'!$A$4:$AG$140</definedName>
    <definedName name="_xlnm._FilterDatabase" localSheetId="19" hidden="1">'0804(18度C)'!$A$4:$AC$140</definedName>
    <definedName name="_xlnm._FilterDatabase" localSheetId="20" hidden="1">'0804(4度C)'!$A$4:$AG$140</definedName>
    <definedName name="_xlnm._FilterDatabase" localSheetId="16" hidden="1">'0805(18度C)'!$A$4:$AC$140</definedName>
    <definedName name="_xlnm._FilterDatabase" localSheetId="17" hidden="1">'0805(4度C)'!$A$4:$AG$140</definedName>
    <definedName name="_xlnm._FilterDatabase" localSheetId="13" hidden="1">'0806(18度C)'!$A$4:$AC$140</definedName>
    <definedName name="_xlnm._FilterDatabase" localSheetId="14" hidden="1">'0806(4度C)'!$A$4:$AG$140</definedName>
    <definedName name="_xlnm._FilterDatabase" localSheetId="10" hidden="1">'0807(18度C)'!$A$4:$AC$140</definedName>
    <definedName name="_xlnm._FilterDatabase" localSheetId="11" hidden="1">'0807(4度C)'!$A$4:$AG$140</definedName>
    <definedName name="_xlnm._FilterDatabase" localSheetId="7" hidden="1">'0808(18度C)'!$A$4:$AC$140</definedName>
    <definedName name="_xlnm._FilterDatabase" localSheetId="8" hidden="1">'0808(4度C)'!$A$4:$AG$140</definedName>
    <definedName name="_xlnm._FilterDatabase" localSheetId="4" hidden="1">'0809(18度C)'!$A$4:$AC$140</definedName>
    <definedName name="_xlnm._FilterDatabase" localSheetId="5" hidden="1">'0809(4度C)'!$A$4:$AG$140</definedName>
    <definedName name="_xlnm._FilterDatabase" localSheetId="1" hidden="1">'0810(18度C)'!$A$4:$AC$140</definedName>
    <definedName name="_xlnm._FilterDatabase" localSheetId="2" hidden="1">'0810(4度C)'!$A$4:$AG$140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0" i="783" l="1"/>
  <c r="AC140" i="783"/>
  <c r="Z140" i="783"/>
  <c r="Y140" i="783"/>
  <c r="L140" i="783"/>
  <c r="J140" i="783"/>
  <c r="I140" i="783"/>
  <c r="O140" i="783" s="1"/>
  <c r="O126" i="783"/>
  <c r="M126" i="783"/>
  <c r="AE126" i="783" s="1"/>
  <c r="K126" i="783"/>
  <c r="G126" i="783"/>
  <c r="O125" i="783"/>
  <c r="M125" i="783"/>
  <c r="AF125" i="783" s="1"/>
  <c r="K125" i="783"/>
  <c r="G125" i="783"/>
  <c r="AF124" i="783"/>
  <c r="O124" i="783"/>
  <c r="M124" i="783"/>
  <c r="N124" i="783" s="1"/>
  <c r="K124" i="783"/>
  <c r="G124" i="783"/>
  <c r="AD123" i="783"/>
  <c r="AC123" i="783"/>
  <c r="Z123" i="783"/>
  <c r="Y123" i="783"/>
  <c r="L123" i="783"/>
  <c r="J123" i="783"/>
  <c r="K123" i="783" s="1"/>
  <c r="I123" i="783"/>
  <c r="O109" i="783"/>
  <c r="M109" i="783"/>
  <c r="AE109" i="783" s="1"/>
  <c r="K109" i="783"/>
  <c r="G109" i="783"/>
  <c r="O108" i="783"/>
  <c r="M108" i="783"/>
  <c r="N108" i="783" s="1"/>
  <c r="K108" i="783"/>
  <c r="G108" i="783"/>
  <c r="O107" i="783"/>
  <c r="M107" i="783"/>
  <c r="N107" i="783" s="1"/>
  <c r="K107" i="783"/>
  <c r="G107" i="783"/>
  <c r="AD106" i="783"/>
  <c r="AC106" i="783"/>
  <c r="Z106" i="783"/>
  <c r="Y106" i="783"/>
  <c r="L106" i="783"/>
  <c r="J106" i="783"/>
  <c r="I106" i="783"/>
  <c r="O91" i="783"/>
  <c r="M91" i="783"/>
  <c r="N91" i="783" s="1"/>
  <c r="K91" i="783"/>
  <c r="G91" i="783"/>
  <c r="O90" i="783"/>
  <c r="M90" i="783"/>
  <c r="AF90" i="783" s="1"/>
  <c r="K90" i="783"/>
  <c r="G90" i="783"/>
  <c r="AD89" i="783"/>
  <c r="AC89" i="783"/>
  <c r="Z89" i="783"/>
  <c r="Y89" i="783"/>
  <c r="L89" i="783"/>
  <c r="J89" i="783"/>
  <c r="K89" i="783" s="1"/>
  <c r="I89" i="783"/>
  <c r="AF75" i="783"/>
  <c r="AE75" i="783"/>
  <c r="O75" i="783"/>
  <c r="M75" i="783"/>
  <c r="N75" i="783" s="1"/>
  <c r="K75" i="783"/>
  <c r="G75" i="783"/>
  <c r="AF74" i="783"/>
  <c r="O74" i="783"/>
  <c r="M74" i="783"/>
  <c r="AE74" i="783" s="1"/>
  <c r="K74" i="783"/>
  <c r="G74" i="783"/>
  <c r="O73" i="783"/>
  <c r="M73" i="783"/>
  <c r="M89" i="783" s="1"/>
  <c r="K73" i="783"/>
  <c r="G73" i="783"/>
  <c r="AD72" i="783"/>
  <c r="AD2" i="783" s="1"/>
  <c r="R6" i="781" s="1"/>
  <c r="AC72" i="783"/>
  <c r="Z72" i="783"/>
  <c r="Y72" i="783"/>
  <c r="L72" i="783"/>
  <c r="O72" i="783" s="1"/>
  <c r="J72" i="783"/>
  <c r="K72" i="783" s="1"/>
  <c r="I72" i="783"/>
  <c r="AF63" i="783"/>
  <c r="O63" i="783"/>
  <c r="M63" i="783"/>
  <c r="N63" i="783" s="1"/>
  <c r="K63" i="783"/>
  <c r="G63" i="783"/>
  <c r="O62" i="783"/>
  <c r="M62" i="783"/>
  <c r="AE62" i="783" s="1"/>
  <c r="K62" i="783"/>
  <c r="G62" i="783"/>
  <c r="O61" i="783"/>
  <c r="M61" i="783"/>
  <c r="N61" i="783" s="1"/>
  <c r="K61" i="783"/>
  <c r="G61" i="783"/>
  <c r="O60" i="783"/>
  <c r="N60" i="783"/>
  <c r="Q60" i="783" s="1"/>
  <c r="M60" i="783"/>
  <c r="AF60" i="783" s="1"/>
  <c r="K60" i="783"/>
  <c r="G60" i="783"/>
  <c r="O59" i="783"/>
  <c r="M59" i="783"/>
  <c r="N59" i="783" s="1"/>
  <c r="K59" i="783"/>
  <c r="G59" i="783"/>
  <c r="O58" i="783"/>
  <c r="M58" i="783"/>
  <c r="AE58" i="783" s="1"/>
  <c r="K58" i="783"/>
  <c r="G58" i="783"/>
  <c r="O57" i="783"/>
  <c r="M57" i="783"/>
  <c r="N57" i="783" s="1"/>
  <c r="K57" i="783"/>
  <c r="G57" i="783"/>
  <c r="AE56" i="783"/>
  <c r="O56" i="783"/>
  <c r="M56" i="783"/>
  <c r="N56" i="783" s="1"/>
  <c r="K56" i="783"/>
  <c r="G56" i="783"/>
  <c r="AD55" i="783"/>
  <c r="AC55" i="783"/>
  <c r="Z55" i="783"/>
  <c r="Y55" i="783"/>
  <c r="L55" i="783"/>
  <c r="J55" i="783"/>
  <c r="I55" i="783"/>
  <c r="AF45" i="783"/>
  <c r="AE45" i="783"/>
  <c r="O45" i="783"/>
  <c r="M45" i="783"/>
  <c r="N45" i="783" s="1"/>
  <c r="K45" i="783"/>
  <c r="G45" i="783"/>
  <c r="O44" i="783"/>
  <c r="N44" i="783"/>
  <c r="Q44" i="783" s="1"/>
  <c r="M44" i="783"/>
  <c r="AF44" i="783" s="1"/>
  <c r="K44" i="783"/>
  <c r="G44" i="783"/>
  <c r="O43" i="783"/>
  <c r="M43" i="783"/>
  <c r="AF43" i="783" s="1"/>
  <c r="K43" i="783"/>
  <c r="G43" i="783"/>
  <c r="O42" i="783"/>
  <c r="M42" i="783"/>
  <c r="AF42" i="783" s="1"/>
  <c r="K42" i="783"/>
  <c r="G42" i="783"/>
  <c r="O41" i="783"/>
  <c r="M41" i="783"/>
  <c r="N41" i="783" s="1"/>
  <c r="K41" i="783"/>
  <c r="G41" i="783"/>
  <c r="O40" i="783"/>
  <c r="M40" i="783"/>
  <c r="AF40" i="783" s="1"/>
  <c r="K40" i="783"/>
  <c r="G40" i="783"/>
  <c r="O39" i="783"/>
  <c r="M39" i="783"/>
  <c r="N39" i="783" s="1"/>
  <c r="Q39" i="783" s="1"/>
  <c r="K39" i="783"/>
  <c r="G39" i="783"/>
  <c r="AD38" i="783"/>
  <c r="AC38" i="783"/>
  <c r="Z38" i="783"/>
  <c r="Y38" i="783"/>
  <c r="L38" i="783"/>
  <c r="J38" i="783"/>
  <c r="K38" i="783" s="1"/>
  <c r="I38" i="783"/>
  <c r="AF27" i="783"/>
  <c r="O27" i="783"/>
  <c r="M27" i="783"/>
  <c r="AE27" i="783" s="1"/>
  <c r="K27" i="783"/>
  <c r="G27" i="783"/>
  <c r="O26" i="783"/>
  <c r="M26" i="783"/>
  <c r="AF26" i="783" s="1"/>
  <c r="K26" i="783"/>
  <c r="G26" i="783"/>
  <c r="O25" i="783"/>
  <c r="M25" i="783"/>
  <c r="N25" i="783" s="1"/>
  <c r="K25" i="783"/>
  <c r="G25" i="783"/>
  <c r="AE24" i="783"/>
  <c r="Q24" i="783"/>
  <c r="O24" i="783"/>
  <c r="N24" i="783"/>
  <c r="P24" i="783" s="1"/>
  <c r="M24" i="783"/>
  <c r="AF24" i="783" s="1"/>
  <c r="K24" i="783"/>
  <c r="G24" i="783"/>
  <c r="O23" i="783"/>
  <c r="M23" i="783"/>
  <c r="AE23" i="783" s="1"/>
  <c r="K23" i="783"/>
  <c r="G23" i="783"/>
  <c r="O22" i="783"/>
  <c r="M22" i="783"/>
  <c r="AF22" i="783" s="1"/>
  <c r="K22" i="783"/>
  <c r="G22" i="783"/>
  <c r="AD21" i="783"/>
  <c r="AC21" i="783"/>
  <c r="Z21" i="783"/>
  <c r="Y21" i="783"/>
  <c r="L21" i="783"/>
  <c r="O21" i="783" s="1"/>
  <c r="J21" i="783"/>
  <c r="K21" i="783" s="1"/>
  <c r="I21" i="783"/>
  <c r="O8" i="783"/>
  <c r="M8" i="783"/>
  <c r="N8" i="783" s="1"/>
  <c r="K8" i="783"/>
  <c r="G8" i="783"/>
  <c r="AF7" i="783"/>
  <c r="O7" i="783"/>
  <c r="M7" i="783"/>
  <c r="AE7" i="783" s="1"/>
  <c r="K7" i="783"/>
  <c r="G7" i="783"/>
  <c r="O6" i="783"/>
  <c r="M6" i="783"/>
  <c r="N6" i="783" s="1"/>
  <c r="K6" i="783"/>
  <c r="G6" i="783"/>
  <c r="AE5" i="783"/>
  <c r="O5" i="783"/>
  <c r="M5" i="783"/>
  <c r="AF5" i="783" s="1"/>
  <c r="K5" i="783"/>
  <c r="G5" i="783"/>
  <c r="Y2" i="783"/>
  <c r="O6" i="781" s="1"/>
  <c r="H2" i="783"/>
  <c r="H1" i="783"/>
  <c r="D1" i="783"/>
  <c r="L140" i="782"/>
  <c r="J140" i="782"/>
  <c r="K140" i="782" s="1"/>
  <c r="I140" i="782"/>
  <c r="O135" i="782"/>
  <c r="M135" i="782"/>
  <c r="AB135" i="782" s="1"/>
  <c r="K135" i="782"/>
  <c r="G135" i="782"/>
  <c r="O134" i="782"/>
  <c r="N134" i="782"/>
  <c r="Q134" i="782" s="1"/>
  <c r="M134" i="782"/>
  <c r="AB134" i="782" s="1"/>
  <c r="K134" i="782"/>
  <c r="G134" i="782"/>
  <c r="O133" i="782"/>
  <c r="M133" i="782"/>
  <c r="N133" i="782" s="1"/>
  <c r="Q133" i="782" s="1"/>
  <c r="K133" i="782"/>
  <c r="G133" i="782"/>
  <c r="O132" i="782"/>
  <c r="M132" i="782"/>
  <c r="AB132" i="782" s="1"/>
  <c r="K132" i="782"/>
  <c r="G132" i="782"/>
  <c r="O131" i="782"/>
  <c r="M131" i="782"/>
  <c r="AB131" i="782" s="1"/>
  <c r="K131" i="782"/>
  <c r="G131" i="782"/>
  <c r="O130" i="782"/>
  <c r="N130" i="782"/>
  <c r="Q130" i="782" s="1"/>
  <c r="M130" i="782"/>
  <c r="AB130" i="782" s="1"/>
  <c r="K130" i="782"/>
  <c r="G130" i="782"/>
  <c r="O129" i="782"/>
  <c r="M129" i="782"/>
  <c r="N129" i="782" s="1"/>
  <c r="Q129" i="782" s="1"/>
  <c r="K129" i="782"/>
  <c r="G129" i="782"/>
  <c r="AB128" i="782"/>
  <c r="AA128" i="782"/>
  <c r="O128" i="782"/>
  <c r="N128" i="782"/>
  <c r="Q128" i="782" s="1"/>
  <c r="M128" i="782"/>
  <c r="K128" i="782"/>
  <c r="G128" i="782"/>
  <c r="O127" i="782"/>
  <c r="M127" i="782"/>
  <c r="AB127" i="782" s="1"/>
  <c r="K127" i="782"/>
  <c r="G127" i="782"/>
  <c r="O126" i="782"/>
  <c r="M126" i="782"/>
  <c r="AB126" i="782" s="1"/>
  <c r="K126" i="782"/>
  <c r="G126" i="782"/>
  <c r="O125" i="782"/>
  <c r="M125" i="782"/>
  <c r="AA125" i="782" s="1"/>
  <c r="K125" i="782"/>
  <c r="G125" i="782"/>
  <c r="O124" i="782"/>
  <c r="M124" i="782"/>
  <c r="AB124" i="782" s="1"/>
  <c r="K124" i="782"/>
  <c r="G124" i="782"/>
  <c r="L123" i="782"/>
  <c r="O123" i="782" s="1"/>
  <c r="J123" i="782"/>
  <c r="I123" i="782"/>
  <c r="O114" i="782"/>
  <c r="M114" i="782"/>
  <c r="AB114" i="782" s="1"/>
  <c r="K114" i="782"/>
  <c r="G114" i="782"/>
  <c r="O113" i="782"/>
  <c r="M113" i="782"/>
  <c r="N113" i="782" s="1"/>
  <c r="K113" i="782"/>
  <c r="G113" i="782"/>
  <c r="AB112" i="782"/>
  <c r="O112" i="782"/>
  <c r="N112" i="782"/>
  <c r="Q112" i="782" s="1"/>
  <c r="M112" i="782"/>
  <c r="AA112" i="782" s="1"/>
  <c r="K112" i="782"/>
  <c r="G112" i="782"/>
  <c r="O111" i="782"/>
  <c r="M111" i="782"/>
  <c r="AB111" i="782" s="1"/>
  <c r="K111" i="782"/>
  <c r="G111" i="782"/>
  <c r="O110" i="782"/>
  <c r="M110" i="782"/>
  <c r="AB110" i="782" s="1"/>
  <c r="K110" i="782"/>
  <c r="G110" i="782"/>
  <c r="O109" i="782"/>
  <c r="M109" i="782"/>
  <c r="N109" i="782" s="1"/>
  <c r="K109" i="782"/>
  <c r="G109" i="782"/>
  <c r="AB108" i="782"/>
  <c r="AA108" i="782"/>
  <c r="O108" i="782"/>
  <c r="N108" i="782"/>
  <c r="Q108" i="782" s="1"/>
  <c r="M108" i="782"/>
  <c r="K108" i="782"/>
  <c r="G108" i="782"/>
  <c r="O107" i="782"/>
  <c r="M107" i="782"/>
  <c r="AB107" i="782" s="1"/>
  <c r="K107" i="782"/>
  <c r="G107" i="782"/>
  <c r="L106" i="782"/>
  <c r="J106" i="782"/>
  <c r="K106" i="782" s="1"/>
  <c r="I106" i="782"/>
  <c r="O94" i="782"/>
  <c r="M94" i="782"/>
  <c r="AB94" i="782" s="1"/>
  <c r="K94" i="782"/>
  <c r="G94" i="782"/>
  <c r="O93" i="782"/>
  <c r="M93" i="782"/>
  <c r="AA93" i="782" s="1"/>
  <c r="K93" i="782"/>
  <c r="G93" i="782"/>
  <c r="O92" i="782"/>
  <c r="M92" i="782"/>
  <c r="AB92" i="782" s="1"/>
  <c r="K92" i="782"/>
  <c r="G92" i="782"/>
  <c r="O91" i="782"/>
  <c r="M91" i="782"/>
  <c r="AB91" i="782" s="1"/>
  <c r="K91" i="782"/>
  <c r="G91" i="782"/>
  <c r="O90" i="782"/>
  <c r="M90" i="782"/>
  <c r="AB90" i="782" s="1"/>
  <c r="K90" i="782"/>
  <c r="G90" i="782"/>
  <c r="L89" i="782"/>
  <c r="O89" i="782" s="1"/>
  <c r="J89" i="782"/>
  <c r="I89" i="782"/>
  <c r="O75" i="782"/>
  <c r="M75" i="782"/>
  <c r="AA75" i="782" s="1"/>
  <c r="K75" i="782"/>
  <c r="G75" i="782"/>
  <c r="AB74" i="782"/>
  <c r="O74" i="782"/>
  <c r="M74" i="782"/>
  <c r="N74" i="782" s="1"/>
  <c r="K74" i="782"/>
  <c r="G74" i="782"/>
  <c r="O73" i="782"/>
  <c r="M73" i="782"/>
  <c r="N73" i="782" s="1"/>
  <c r="K73" i="782"/>
  <c r="G73" i="782"/>
  <c r="L72" i="782"/>
  <c r="O72" i="782" s="1"/>
  <c r="J72" i="782"/>
  <c r="I72" i="782"/>
  <c r="O61" i="782"/>
  <c r="M61" i="782"/>
  <c r="AB61" i="782" s="1"/>
  <c r="K61" i="782"/>
  <c r="G61" i="782"/>
  <c r="O60" i="782"/>
  <c r="M60" i="782"/>
  <c r="AB60" i="782" s="1"/>
  <c r="K60" i="782"/>
  <c r="G60" i="782"/>
  <c r="O59" i="782"/>
  <c r="M59" i="782"/>
  <c r="N59" i="782" s="1"/>
  <c r="K59" i="782"/>
  <c r="G59" i="782"/>
  <c r="O58" i="782"/>
  <c r="M58" i="782"/>
  <c r="AB58" i="782" s="1"/>
  <c r="K58" i="782"/>
  <c r="G58" i="782"/>
  <c r="O57" i="782"/>
  <c r="M57" i="782"/>
  <c r="AB57" i="782" s="1"/>
  <c r="K57" i="782"/>
  <c r="G57" i="782"/>
  <c r="O56" i="782"/>
  <c r="M56" i="782"/>
  <c r="K56" i="782"/>
  <c r="G56" i="782"/>
  <c r="L55" i="782"/>
  <c r="J55" i="782"/>
  <c r="I55" i="782"/>
  <c r="O44" i="782"/>
  <c r="M44" i="782"/>
  <c r="N44" i="782" s="1"/>
  <c r="K44" i="782"/>
  <c r="G44" i="782"/>
  <c r="AB43" i="782"/>
  <c r="AA43" i="782"/>
  <c r="O43" i="782"/>
  <c r="M43" i="782"/>
  <c r="N43" i="782" s="1"/>
  <c r="K43" i="782"/>
  <c r="G43" i="782"/>
  <c r="O42" i="782"/>
  <c r="M42" i="782"/>
  <c r="AB42" i="782" s="1"/>
  <c r="K42" i="782"/>
  <c r="G42" i="782"/>
  <c r="O41" i="782"/>
  <c r="M41" i="782"/>
  <c r="AB41" i="782" s="1"/>
  <c r="K41" i="782"/>
  <c r="G41" i="782"/>
  <c r="O40" i="782"/>
  <c r="M40" i="782"/>
  <c r="AB40" i="782" s="1"/>
  <c r="K40" i="782"/>
  <c r="G40" i="782"/>
  <c r="AB39" i="782"/>
  <c r="O39" i="782"/>
  <c r="M39" i="782"/>
  <c r="N39" i="782" s="1"/>
  <c r="K39" i="782"/>
  <c r="G39" i="782"/>
  <c r="L38" i="782"/>
  <c r="O38" i="782" s="1"/>
  <c r="J38" i="782"/>
  <c r="I38" i="782"/>
  <c r="O24" i="782"/>
  <c r="M24" i="782"/>
  <c r="N24" i="782" s="1"/>
  <c r="K24" i="782"/>
  <c r="G24" i="782"/>
  <c r="O23" i="782"/>
  <c r="M23" i="782"/>
  <c r="AB23" i="782" s="1"/>
  <c r="K23" i="782"/>
  <c r="G23" i="782"/>
  <c r="AB22" i="782"/>
  <c r="AA22" i="782"/>
  <c r="O22" i="782"/>
  <c r="N22" i="782"/>
  <c r="M22" i="782"/>
  <c r="K22" i="782"/>
  <c r="G22" i="782"/>
  <c r="L21" i="782"/>
  <c r="O21" i="782" s="1"/>
  <c r="J21" i="782"/>
  <c r="I21" i="782"/>
  <c r="O9" i="782"/>
  <c r="M9" i="782"/>
  <c r="AA9" i="782" s="1"/>
  <c r="K9" i="782"/>
  <c r="G9" i="782"/>
  <c r="O8" i="782"/>
  <c r="M8" i="782"/>
  <c r="N8" i="782" s="1"/>
  <c r="K8" i="782"/>
  <c r="G8" i="782"/>
  <c r="F1" i="782" s="1"/>
  <c r="F2" i="782" s="1"/>
  <c r="AB7" i="782"/>
  <c r="AA7" i="782"/>
  <c r="O7" i="782"/>
  <c r="N7" i="782"/>
  <c r="Q7" i="782" s="1"/>
  <c r="M7" i="782"/>
  <c r="K7" i="782"/>
  <c r="G7" i="782"/>
  <c r="O6" i="782"/>
  <c r="M6" i="782"/>
  <c r="AB6" i="782" s="1"/>
  <c r="K6" i="782"/>
  <c r="G6" i="782"/>
  <c r="O5" i="782"/>
  <c r="M5" i="782"/>
  <c r="AB5" i="782" s="1"/>
  <c r="K5" i="782"/>
  <c r="G5" i="782"/>
  <c r="H2" i="782"/>
  <c r="D1" i="782"/>
  <c r="F3" i="781" s="1"/>
  <c r="X34" i="781"/>
  <c r="W34" i="781"/>
  <c r="V34" i="781"/>
  <c r="P34" i="781"/>
  <c r="M8" i="781" s="1"/>
  <c r="O34" i="781"/>
  <c r="N34" i="781"/>
  <c r="M34" i="781"/>
  <c r="G34" i="781"/>
  <c r="N16" i="781"/>
  <c r="M16" i="781"/>
  <c r="J16" i="781"/>
  <c r="I16" i="781"/>
  <c r="H16" i="781"/>
  <c r="G16" i="781"/>
  <c r="F16" i="781"/>
  <c r="E16" i="781"/>
  <c r="G8" i="781" s="1"/>
  <c r="I8" i="781"/>
  <c r="F8" i="781"/>
  <c r="M7" i="781"/>
  <c r="K7" i="781"/>
  <c r="I7" i="781"/>
  <c r="G7" i="781"/>
  <c r="F7" i="781"/>
  <c r="E7" i="781"/>
  <c r="M6" i="781"/>
  <c r="K6" i="781"/>
  <c r="I6" i="781"/>
  <c r="G6" i="781"/>
  <c r="F6" i="781"/>
  <c r="E6" i="781"/>
  <c r="P39" i="782" l="1"/>
  <c r="Q39" i="782"/>
  <c r="Q75" i="783"/>
  <c r="P75" i="783"/>
  <c r="N125" i="782"/>
  <c r="Q125" i="782" s="1"/>
  <c r="O89" i="783"/>
  <c r="K106" i="783"/>
  <c r="K55" i="782"/>
  <c r="AA109" i="782"/>
  <c r="AB129" i="782"/>
  <c r="F1" i="783"/>
  <c r="AF8" i="783"/>
  <c r="AF23" i="783"/>
  <c r="M106" i="783"/>
  <c r="N106" i="783" s="1"/>
  <c r="N41" i="782"/>
  <c r="Q41" i="782" s="1"/>
  <c r="O55" i="782"/>
  <c r="AA59" i="782"/>
  <c r="N126" i="782"/>
  <c r="Q126" i="782" s="1"/>
  <c r="AA133" i="782"/>
  <c r="AE59" i="783"/>
  <c r="AB133" i="782"/>
  <c r="N27" i="783"/>
  <c r="Q27" i="783" s="1"/>
  <c r="N40" i="783"/>
  <c r="AE43" i="783"/>
  <c r="AF59" i="783"/>
  <c r="N74" i="783"/>
  <c r="Q74" i="783" s="1"/>
  <c r="O123" i="783"/>
  <c r="K38" i="782"/>
  <c r="AA74" i="782"/>
  <c r="O106" i="782"/>
  <c r="N5" i="783"/>
  <c r="Q5" i="783" s="1"/>
  <c r="AE63" i="783"/>
  <c r="N126" i="783"/>
  <c r="Q126" i="783" s="1"/>
  <c r="N90" i="782"/>
  <c r="Q90" i="782" s="1"/>
  <c r="P125" i="783"/>
  <c r="AA58" i="782"/>
  <c r="AB93" i="782"/>
  <c r="N26" i="783"/>
  <c r="N125" i="783"/>
  <c r="Q125" i="783" s="1"/>
  <c r="AA44" i="782"/>
  <c r="AB125" i="782"/>
  <c r="N23" i="783"/>
  <c r="Q23" i="783" s="1"/>
  <c r="AF39" i="783"/>
  <c r="M55" i="783"/>
  <c r="N55" i="783" s="1"/>
  <c r="AF62" i="783"/>
  <c r="AE73" i="783"/>
  <c r="AF109" i="783"/>
  <c r="AE125" i="783"/>
  <c r="M72" i="782"/>
  <c r="AA72" i="782" s="1"/>
  <c r="K21" i="782"/>
  <c r="N92" i="782"/>
  <c r="K123" i="782"/>
  <c r="O38" i="783"/>
  <c r="N90" i="783"/>
  <c r="AF126" i="783"/>
  <c r="N132" i="782"/>
  <c r="Q132" i="782" s="1"/>
  <c r="O140" i="782"/>
  <c r="AE22" i="783"/>
  <c r="E8" i="781"/>
  <c r="AB44" i="782"/>
  <c r="AB73" i="782"/>
  <c r="AA129" i="782"/>
  <c r="Q22" i="782"/>
  <c r="P128" i="782"/>
  <c r="AC2" i="783"/>
  <c r="Q6" i="781" s="1"/>
  <c r="P44" i="783"/>
  <c r="P60" i="783"/>
  <c r="N58" i="782"/>
  <c r="Q58" i="782" s="1"/>
  <c r="K8" i="781"/>
  <c r="M38" i="782"/>
  <c r="N38" i="782" s="1"/>
  <c r="AB75" i="782"/>
  <c r="AA92" i="782"/>
  <c r="AE41" i="783"/>
  <c r="AE90" i="783"/>
  <c r="AE107" i="783"/>
  <c r="N42" i="783"/>
  <c r="Q42" i="783" s="1"/>
  <c r="AE91" i="783"/>
  <c r="AE42" i="783"/>
  <c r="K55" i="783"/>
  <c r="Q55" i="783" s="1"/>
  <c r="R39" i="783" s="1"/>
  <c r="AF58" i="783"/>
  <c r="AF91" i="783"/>
  <c r="AA40" i="782"/>
  <c r="AE39" i="783"/>
  <c r="O55" i="783"/>
  <c r="H1" i="782"/>
  <c r="O106" i="783"/>
  <c r="M55" i="782"/>
  <c r="N55" i="782" s="1"/>
  <c r="N107" i="782"/>
  <c r="Q107" i="782" s="1"/>
  <c r="AA132" i="782"/>
  <c r="AA73" i="782"/>
  <c r="AA113" i="782"/>
  <c r="AE8" i="783"/>
  <c r="N6" i="782"/>
  <c r="Q6" i="782" s="1"/>
  <c r="Z2" i="783"/>
  <c r="P6" i="781" s="1"/>
  <c r="K140" i="783"/>
  <c r="AF41" i="783"/>
  <c r="AA39" i="782"/>
  <c r="K72" i="782"/>
  <c r="K89" i="782"/>
  <c r="AE124" i="783"/>
  <c r="Q74" i="782"/>
  <c r="P74" i="782"/>
  <c r="Q91" i="783"/>
  <c r="P91" i="783"/>
  <c r="Q124" i="783"/>
  <c r="P124" i="783"/>
  <c r="Q57" i="783"/>
  <c r="P57" i="783"/>
  <c r="Q44" i="782"/>
  <c r="P44" i="782"/>
  <c r="Q59" i="782"/>
  <c r="P59" i="782"/>
  <c r="Q107" i="783"/>
  <c r="P107" i="783"/>
  <c r="I3" i="781"/>
  <c r="F2" i="783"/>
  <c r="Q113" i="782"/>
  <c r="P113" i="782"/>
  <c r="Q8" i="782"/>
  <c r="P8" i="782"/>
  <c r="P25" i="783"/>
  <c r="Q25" i="783"/>
  <c r="P73" i="782"/>
  <c r="Q73" i="782"/>
  <c r="Q41" i="783"/>
  <c r="P41" i="783"/>
  <c r="Q45" i="783"/>
  <c r="P45" i="783"/>
  <c r="Q106" i="783"/>
  <c r="R90" i="783" s="1"/>
  <c r="P106" i="783"/>
  <c r="Q108" i="783"/>
  <c r="P108" i="783"/>
  <c r="Q24" i="782"/>
  <c r="P24" i="782"/>
  <c r="Q8" i="783"/>
  <c r="P8" i="783"/>
  <c r="Q56" i="783"/>
  <c r="P56" i="783"/>
  <c r="Q63" i="783"/>
  <c r="P63" i="783"/>
  <c r="P43" i="782"/>
  <c r="Q43" i="782"/>
  <c r="Q109" i="782"/>
  <c r="P109" i="782"/>
  <c r="AB55" i="782"/>
  <c r="AC39" i="782" s="1"/>
  <c r="AA55" i="782"/>
  <c r="Q59" i="783"/>
  <c r="P59" i="783"/>
  <c r="AB72" i="782"/>
  <c r="AC56" i="782" s="1"/>
  <c r="Q6" i="783"/>
  <c r="P6" i="783"/>
  <c r="Q61" i="783"/>
  <c r="P61" i="783"/>
  <c r="N89" i="783"/>
  <c r="AF89" i="783"/>
  <c r="AG73" i="783" s="1"/>
  <c r="AE89" i="783"/>
  <c r="AB9" i="782"/>
  <c r="N42" i="782"/>
  <c r="P58" i="782"/>
  <c r="AB59" i="782"/>
  <c r="N91" i="782"/>
  <c r="P108" i="782"/>
  <c r="AB109" i="782"/>
  <c r="P112" i="782"/>
  <c r="AB113" i="782"/>
  <c r="N124" i="782"/>
  <c r="AA126" i="782"/>
  <c r="AA130" i="782"/>
  <c r="AA134" i="782"/>
  <c r="N57" i="782"/>
  <c r="N61" i="782"/>
  <c r="M106" i="782"/>
  <c r="N111" i="782"/>
  <c r="P125" i="782"/>
  <c r="P129" i="782"/>
  <c r="P133" i="782"/>
  <c r="AE25" i="783"/>
  <c r="M38" i="783"/>
  <c r="M140" i="783"/>
  <c r="AA8" i="782"/>
  <c r="N23" i="782"/>
  <c r="N56" i="782"/>
  <c r="M123" i="782"/>
  <c r="AE6" i="783"/>
  <c r="M21" i="783"/>
  <c r="AF25" i="783"/>
  <c r="AE57" i="783"/>
  <c r="AE61" i="783"/>
  <c r="M72" i="783"/>
  <c r="AE108" i="783"/>
  <c r="P7" i="782"/>
  <c r="AB8" i="782"/>
  <c r="AA24" i="782"/>
  <c r="M89" i="782"/>
  <c r="P90" i="782"/>
  <c r="N94" i="782"/>
  <c r="M140" i="782"/>
  <c r="AF6" i="783"/>
  <c r="AF57" i="783"/>
  <c r="AF61" i="783"/>
  <c r="AF108" i="783"/>
  <c r="AB24" i="782"/>
  <c r="AA42" i="782"/>
  <c r="N60" i="782"/>
  <c r="AA91" i="782"/>
  <c r="AA107" i="782"/>
  <c r="N110" i="782"/>
  <c r="N114" i="782"/>
  <c r="N22" i="783"/>
  <c r="N73" i="783"/>
  <c r="N5" i="782"/>
  <c r="M21" i="782"/>
  <c r="P22" i="782"/>
  <c r="P41" i="782"/>
  <c r="AA57" i="782"/>
  <c r="AA61" i="782"/>
  <c r="N75" i="782"/>
  <c r="AA111" i="782"/>
  <c r="AA124" i="782"/>
  <c r="N127" i="782"/>
  <c r="N131" i="782"/>
  <c r="N135" i="782"/>
  <c r="P23" i="783"/>
  <c r="P27" i="783"/>
  <c r="P39" i="783"/>
  <c r="N43" i="783"/>
  <c r="AF56" i="783"/>
  <c r="AE60" i="783"/>
  <c r="P74" i="783"/>
  <c r="AF107" i="783"/>
  <c r="M123" i="783"/>
  <c r="P126" i="783"/>
  <c r="P6" i="782"/>
  <c r="AA23" i="782"/>
  <c r="N40" i="782"/>
  <c r="AA90" i="782"/>
  <c r="N93" i="782"/>
  <c r="AE40" i="783"/>
  <c r="AE44" i="783"/>
  <c r="AE55" i="783"/>
  <c r="AE106" i="783"/>
  <c r="N9" i="782"/>
  <c r="AA41" i="782"/>
  <c r="AA56" i="782"/>
  <c r="AA94" i="782"/>
  <c r="N7" i="783"/>
  <c r="AF55" i="783"/>
  <c r="AG39" i="783" s="1"/>
  <c r="N58" i="783"/>
  <c r="N62" i="783"/>
  <c r="N109" i="783"/>
  <c r="AA6" i="782"/>
  <c r="AB56" i="782"/>
  <c r="AA60" i="782"/>
  <c r="AA110" i="782"/>
  <c r="AA114" i="782"/>
  <c r="AA127" i="782"/>
  <c r="AA131" i="782"/>
  <c r="AA135" i="782"/>
  <c r="AA5" i="782"/>
  <c r="P126" i="782"/>
  <c r="P130" i="782"/>
  <c r="P134" i="782"/>
  <c r="AE26" i="783"/>
  <c r="P42" i="783"/>
  <c r="AF73" i="783"/>
  <c r="AD140" i="780"/>
  <c r="AC140" i="780"/>
  <c r="Z140" i="780"/>
  <c r="Y140" i="780"/>
  <c r="L140" i="780"/>
  <c r="J140" i="780"/>
  <c r="I140" i="780"/>
  <c r="K140" i="780" s="1"/>
  <c r="O126" i="780"/>
  <c r="M126" i="780"/>
  <c r="AF126" i="780" s="1"/>
  <c r="K126" i="780"/>
  <c r="G126" i="780"/>
  <c r="O125" i="780"/>
  <c r="M125" i="780"/>
  <c r="AE125" i="780" s="1"/>
  <c r="K125" i="780"/>
  <c r="G125" i="780"/>
  <c r="AE124" i="780"/>
  <c r="O124" i="780"/>
  <c r="M124" i="780"/>
  <c r="N124" i="780" s="1"/>
  <c r="K124" i="780"/>
  <c r="G124" i="780"/>
  <c r="AD123" i="780"/>
  <c r="AC123" i="780"/>
  <c r="Z123" i="780"/>
  <c r="Y123" i="780"/>
  <c r="L123" i="780"/>
  <c r="O123" i="780" s="1"/>
  <c r="J123" i="780"/>
  <c r="I123" i="780"/>
  <c r="AF109" i="780"/>
  <c r="O109" i="780"/>
  <c r="M109" i="780"/>
  <c r="N109" i="780" s="1"/>
  <c r="K109" i="780"/>
  <c r="G109" i="780"/>
  <c r="O108" i="780"/>
  <c r="M108" i="780"/>
  <c r="AF108" i="780" s="1"/>
  <c r="K108" i="780"/>
  <c r="G108" i="780"/>
  <c r="O107" i="780"/>
  <c r="M107" i="780"/>
  <c r="AE107" i="780" s="1"/>
  <c r="K107" i="780"/>
  <c r="G107" i="780"/>
  <c r="AD106" i="780"/>
  <c r="AC106" i="780"/>
  <c r="Z106" i="780"/>
  <c r="Y106" i="780"/>
  <c r="O106" i="780"/>
  <c r="L106" i="780"/>
  <c r="J106" i="780"/>
  <c r="I106" i="780"/>
  <c r="O91" i="780"/>
  <c r="N91" i="780"/>
  <c r="M91" i="780"/>
  <c r="AF91" i="780" s="1"/>
  <c r="K91" i="780"/>
  <c r="G91" i="780"/>
  <c r="O90" i="780"/>
  <c r="M90" i="780"/>
  <c r="AE90" i="780" s="1"/>
  <c r="K90" i="780"/>
  <c r="G90" i="780"/>
  <c r="AD89" i="780"/>
  <c r="AC89" i="780"/>
  <c r="Z89" i="780"/>
  <c r="Y89" i="780"/>
  <c r="L89" i="780"/>
  <c r="O89" i="780" s="1"/>
  <c r="J89" i="780"/>
  <c r="I89" i="780"/>
  <c r="O75" i="780"/>
  <c r="M75" i="780"/>
  <c r="AF75" i="780" s="1"/>
  <c r="K75" i="780"/>
  <c r="G75" i="780"/>
  <c r="O74" i="780"/>
  <c r="M74" i="780"/>
  <c r="AF74" i="780" s="1"/>
  <c r="K74" i="780"/>
  <c r="G74" i="780"/>
  <c r="O73" i="780"/>
  <c r="M73" i="780"/>
  <c r="K73" i="780"/>
  <c r="G73" i="780"/>
  <c r="AD72" i="780"/>
  <c r="AC72" i="780"/>
  <c r="Z72" i="780"/>
  <c r="Y72" i="780"/>
  <c r="L72" i="780"/>
  <c r="O72" i="780" s="1"/>
  <c r="J72" i="780"/>
  <c r="K72" i="780" s="1"/>
  <c r="I72" i="780"/>
  <c r="O65" i="780"/>
  <c r="M65" i="780"/>
  <c r="AE65" i="780" s="1"/>
  <c r="K65" i="780"/>
  <c r="G65" i="780"/>
  <c r="AF64" i="780"/>
  <c r="O64" i="780"/>
  <c r="M64" i="780"/>
  <c r="N64" i="780" s="1"/>
  <c r="K64" i="780"/>
  <c r="G64" i="780"/>
  <c r="O63" i="780"/>
  <c r="M63" i="780"/>
  <c r="AF63" i="780" s="1"/>
  <c r="K63" i="780"/>
  <c r="G63" i="780"/>
  <c r="O62" i="780"/>
  <c r="M62" i="780"/>
  <c r="AF62" i="780" s="1"/>
  <c r="K62" i="780"/>
  <c r="G62" i="780"/>
  <c r="AF61" i="780"/>
  <c r="O61" i="780"/>
  <c r="M61" i="780"/>
  <c r="AE61" i="780" s="1"/>
  <c r="K61" i="780"/>
  <c r="G61" i="780"/>
  <c r="O60" i="780"/>
  <c r="M60" i="780"/>
  <c r="N60" i="780" s="1"/>
  <c r="K60" i="780"/>
  <c r="G60" i="780"/>
  <c r="O59" i="780"/>
  <c r="N59" i="780"/>
  <c r="Q59" i="780" s="1"/>
  <c r="M59" i="780"/>
  <c r="AF59" i="780" s="1"/>
  <c r="K59" i="780"/>
  <c r="G59" i="780"/>
  <c r="O58" i="780"/>
  <c r="M58" i="780"/>
  <c r="AE58" i="780" s="1"/>
  <c r="K58" i="780"/>
  <c r="G58" i="780"/>
  <c r="AF57" i="780"/>
  <c r="O57" i="780"/>
  <c r="M57" i="780"/>
  <c r="AE57" i="780" s="1"/>
  <c r="K57" i="780"/>
  <c r="G57" i="780"/>
  <c r="O56" i="780"/>
  <c r="M56" i="780"/>
  <c r="K56" i="780"/>
  <c r="G56" i="780"/>
  <c r="AD55" i="780"/>
  <c r="AD2" i="780" s="1"/>
  <c r="R6" i="778" s="1"/>
  <c r="AC55" i="780"/>
  <c r="Z55" i="780"/>
  <c r="Y55" i="780"/>
  <c r="L55" i="780"/>
  <c r="J55" i="780"/>
  <c r="I55" i="780"/>
  <c r="O45" i="780"/>
  <c r="M45" i="780"/>
  <c r="AF45" i="780" s="1"/>
  <c r="K45" i="780"/>
  <c r="G45" i="780"/>
  <c r="O44" i="780"/>
  <c r="M44" i="780"/>
  <c r="N44" i="780" s="1"/>
  <c r="K44" i="780"/>
  <c r="G44" i="780"/>
  <c r="AE43" i="780"/>
  <c r="O43" i="780"/>
  <c r="M43" i="780"/>
  <c r="AF43" i="780" s="1"/>
  <c r="K43" i="780"/>
  <c r="G43" i="780"/>
  <c r="O42" i="780"/>
  <c r="M42" i="780"/>
  <c r="AF42" i="780" s="1"/>
  <c r="K42" i="780"/>
  <c r="G42" i="780"/>
  <c r="AF41" i="780"/>
  <c r="O41" i="780"/>
  <c r="N41" i="780"/>
  <c r="M41" i="780"/>
  <c r="AE41" i="780" s="1"/>
  <c r="K41" i="780"/>
  <c r="G41" i="780"/>
  <c r="O40" i="780"/>
  <c r="M40" i="780"/>
  <c r="AF40" i="780" s="1"/>
  <c r="K40" i="780"/>
  <c r="G40" i="780"/>
  <c r="AE39" i="780"/>
  <c r="O39" i="780"/>
  <c r="M39" i="780"/>
  <c r="N39" i="780" s="1"/>
  <c r="K39" i="780"/>
  <c r="G39" i="780"/>
  <c r="AD38" i="780"/>
  <c r="AC38" i="780"/>
  <c r="Z38" i="780"/>
  <c r="Y38" i="780"/>
  <c r="L38" i="780"/>
  <c r="O38" i="780" s="1"/>
  <c r="K38" i="780"/>
  <c r="J38" i="780"/>
  <c r="I38" i="780"/>
  <c r="O27" i="780"/>
  <c r="M27" i="780"/>
  <c r="N27" i="780" s="1"/>
  <c r="K27" i="780"/>
  <c r="G27" i="780"/>
  <c r="O26" i="780"/>
  <c r="M26" i="780"/>
  <c r="AF26" i="780" s="1"/>
  <c r="K26" i="780"/>
  <c r="G26" i="780"/>
  <c r="O25" i="780"/>
  <c r="M25" i="780"/>
  <c r="AF25" i="780" s="1"/>
  <c r="K25" i="780"/>
  <c r="G25" i="780"/>
  <c r="O24" i="780"/>
  <c r="M24" i="780"/>
  <c r="AE24" i="780" s="1"/>
  <c r="K24" i="780"/>
  <c r="G24" i="780"/>
  <c r="O23" i="780"/>
  <c r="M23" i="780"/>
  <c r="N23" i="780" s="1"/>
  <c r="K23" i="780"/>
  <c r="G23" i="780"/>
  <c r="AE22" i="780"/>
  <c r="O22" i="780"/>
  <c r="M22" i="780"/>
  <c r="N22" i="780" s="1"/>
  <c r="K22" i="780"/>
  <c r="G22" i="780"/>
  <c r="AD21" i="780"/>
  <c r="AC21" i="780"/>
  <c r="AC2" i="780" s="1"/>
  <c r="Q6" i="778" s="1"/>
  <c r="Z21" i="780"/>
  <c r="Z2" i="780" s="1"/>
  <c r="P6" i="778" s="1"/>
  <c r="Y21" i="780"/>
  <c r="L21" i="780"/>
  <c r="J21" i="780"/>
  <c r="I21" i="780"/>
  <c r="O8" i="780"/>
  <c r="M8" i="780"/>
  <c r="N8" i="780" s="1"/>
  <c r="K8" i="780"/>
  <c r="G8" i="780"/>
  <c r="O7" i="780"/>
  <c r="M7" i="780"/>
  <c r="AE7" i="780" s="1"/>
  <c r="K7" i="780"/>
  <c r="G7" i="780"/>
  <c r="O6" i="780"/>
  <c r="M6" i="780"/>
  <c r="AF6" i="780" s="1"/>
  <c r="K6" i="780"/>
  <c r="G6" i="780"/>
  <c r="O5" i="780"/>
  <c r="M5" i="780"/>
  <c r="AE5" i="780" s="1"/>
  <c r="K5" i="780"/>
  <c r="G5" i="780"/>
  <c r="H2" i="780"/>
  <c r="D1" i="780"/>
  <c r="L140" i="779"/>
  <c r="O140" i="779" s="1"/>
  <c r="J140" i="779"/>
  <c r="K140" i="779" s="1"/>
  <c r="I140" i="779"/>
  <c r="O135" i="779"/>
  <c r="M135" i="779"/>
  <c r="AB135" i="779" s="1"/>
  <c r="K135" i="779"/>
  <c r="G135" i="779"/>
  <c r="O134" i="779"/>
  <c r="M134" i="779"/>
  <c r="AB134" i="779" s="1"/>
  <c r="K134" i="779"/>
  <c r="G134" i="779"/>
  <c r="AB133" i="779"/>
  <c r="O133" i="779"/>
  <c r="M133" i="779"/>
  <c r="AA133" i="779" s="1"/>
  <c r="K133" i="779"/>
  <c r="G133" i="779"/>
  <c r="O132" i="779"/>
  <c r="M132" i="779"/>
  <c r="N132" i="779" s="1"/>
  <c r="K132" i="779"/>
  <c r="G132" i="779"/>
  <c r="AA131" i="779"/>
  <c r="O131" i="779"/>
  <c r="M131" i="779"/>
  <c r="AB131" i="779" s="1"/>
  <c r="K131" i="779"/>
  <c r="G131" i="779"/>
  <c r="O130" i="779"/>
  <c r="M130" i="779"/>
  <c r="AB130" i="779" s="1"/>
  <c r="K130" i="779"/>
  <c r="G130" i="779"/>
  <c r="AB129" i="779"/>
  <c r="AA129" i="779"/>
  <c r="O129" i="779"/>
  <c r="N129" i="779"/>
  <c r="Q129" i="779" s="1"/>
  <c r="M129" i="779"/>
  <c r="K129" i="779"/>
  <c r="G129" i="779"/>
  <c r="O128" i="779"/>
  <c r="M128" i="779"/>
  <c r="N128" i="779" s="1"/>
  <c r="K128" i="779"/>
  <c r="G128" i="779"/>
  <c r="O127" i="779"/>
  <c r="M127" i="779"/>
  <c r="AB127" i="779" s="1"/>
  <c r="K127" i="779"/>
  <c r="G127" i="779"/>
  <c r="O126" i="779"/>
  <c r="M126" i="779"/>
  <c r="AB126" i="779" s="1"/>
  <c r="K126" i="779"/>
  <c r="G126" i="779"/>
  <c r="AB125" i="779"/>
  <c r="O125" i="779"/>
  <c r="N125" i="779"/>
  <c r="Q125" i="779" s="1"/>
  <c r="M125" i="779"/>
  <c r="AA125" i="779" s="1"/>
  <c r="K125" i="779"/>
  <c r="G125" i="779"/>
  <c r="AB124" i="779"/>
  <c r="O124" i="779"/>
  <c r="M124" i="779"/>
  <c r="K124" i="779"/>
  <c r="G124" i="779"/>
  <c r="L123" i="779"/>
  <c r="O123" i="779" s="1"/>
  <c r="J123" i="779"/>
  <c r="K123" i="779" s="1"/>
  <c r="I123" i="779"/>
  <c r="O114" i="779"/>
  <c r="M114" i="779"/>
  <c r="N114" i="779" s="1"/>
  <c r="K114" i="779"/>
  <c r="G114" i="779"/>
  <c r="O113" i="779"/>
  <c r="M113" i="779"/>
  <c r="AA113" i="779" s="1"/>
  <c r="K113" i="779"/>
  <c r="G113" i="779"/>
  <c r="O112" i="779"/>
  <c r="M112" i="779"/>
  <c r="AB112" i="779" s="1"/>
  <c r="K112" i="779"/>
  <c r="G112" i="779"/>
  <c r="O111" i="779"/>
  <c r="M111" i="779"/>
  <c r="N111" i="779" s="1"/>
  <c r="K111" i="779"/>
  <c r="G111" i="779"/>
  <c r="O110" i="779"/>
  <c r="M110" i="779"/>
  <c r="N110" i="779" s="1"/>
  <c r="K110" i="779"/>
  <c r="G110" i="779"/>
  <c r="O109" i="779"/>
  <c r="M109" i="779"/>
  <c r="AA109" i="779" s="1"/>
  <c r="K109" i="779"/>
  <c r="G109" i="779"/>
  <c r="O108" i="779"/>
  <c r="M108" i="779"/>
  <c r="AB108" i="779" s="1"/>
  <c r="K108" i="779"/>
  <c r="G108" i="779"/>
  <c r="AB107" i="779"/>
  <c r="O107" i="779"/>
  <c r="M107" i="779"/>
  <c r="AA107" i="779" s="1"/>
  <c r="K107" i="779"/>
  <c r="G107" i="779"/>
  <c r="L106" i="779"/>
  <c r="O106" i="779" s="1"/>
  <c r="J106" i="779"/>
  <c r="K106" i="779" s="1"/>
  <c r="I106" i="779"/>
  <c r="O94" i="779"/>
  <c r="M94" i="779"/>
  <c r="AB94" i="779" s="1"/>
  <c r="K94" i="779"/>
  <c r="G94" i="779"/>
  <c r="O93" i="779"/>
  <c r="M93" i="779"/>
  <c r="AB93" i="779" s="1"/>
  <c r="K93" i="779"/>
  <c r="G93" i="779"/>
  <c r="O92" i="779"/>
  <c r="M92" i="779"/>
  <c r="AB92" i="779" s="1"/>
  <c r="K92" i="779"/>
  <c r="G92" i="779"/>
  <c r="O91" i="779"/>
  <c r="M91" i="779"/>
  <c r="AA91" i="779" s="1"/>
  <c r="K91" i="779"/>
  <c r="G91" i="779"/>
  <c r="AA90" i="779"/>
  <c r="O90" i="779"/>
  <c r="M90" i="779"/>
  <c r="K90" i="779"/>
  <c r="G90" i="779"/>
  <c r="L89" i="779"/>
  <c r="O89" i="779" s="1"/>
  <c r="J89" i="779"/>
  <c r="I89" i="779"/>
  <c r="O75" i="779"/>
  <c r="M75" i="779"/>
  <c r="M89" i="779" s="1"/>
  <c r="N89" i="779" s="1"/>
  <c r="K75" i="779"/>
  <c r="G75" i="779"/>
  <c r="O74" i="779"/>
  <c r="M74" i="779"/>
  <c r="N74" i="779" s="1"/>
  <c r="K74" i="779"/>
  <c r="G74" i="779"/>
  <c r="AB73" i="779"/>
  <c r="AA73" i="779"/>
  <c r="O73" i="779"/>
  <c r="M73" i="779"/>
  <c r="N73" i="779" s="1"/>
  <c r="K73" i="779"/>
  <c r="G73" i="779"/>
  <c r="L72" i="779"/>
  <c r="O72" i="779" s="1"/>
  <c r="J72" i="779"/>
  <c r="K72" i="779" s="1"/>
  <c r="I72" i="779"/>
  <c r="O62" i="779"/>
  <c r="M62" i="779"/>
  <c r="N62" i="779" s="1"/>
  <c r="K62" i="779"/>
  <c r="G62" i="779"/>
  <c r="O61" i="779"/>
  <c r="M61" i="779"/>
  <c r="N61" i="779" s="1"/>
  <c r="K61" i="779"/>
  <c r="G61" i="779"/>
  <c r="O60" i="779"/>
  <c r="M60" i="779"/>
  <c r="K60" i="779"/>
  <c r="G60" i="779"/>
  <c r="O59" i="779"/>
  <c r="M59" i="779"/>
  <c r="AB59" i="779" s="1"/>
  <c r="K59" i="779"/>
  <c r="G59" i="779"/>
  <c r="AB58" i="779"/>
  <c r="O58" i="779"/>
  <c r="M58" i="779"/>
  <c r="N58" i="779" s="1"/>
  <c r="K58" i="779"/>
  <c r="G58" i="779"/>
  <c r="O57" i="779"/>
  <c r="M57" i="779"/>
  <c r="N57" i="779" s="1"/>
  <c r="K57" i="779"/>
  <c r="G57" i="779"/>
  <c r="AB56" i="779"/>
  <c r="AA56" i="779"/>
  <c r="O56" i="779"/>
  <c r="N56" i="779"/>
  <c r="Q56" i="779" s="1"/>
  <c r="M56" i="779"/>
  <c r="K56" i="779"/>
  <c r="G56" i="779"/>
  <c r="L55" i="779"/>
  <c r="J55" i="779"/>
  <c r="I55" i="779"/>
  <c r="K55" i="779" s="1"/>
  <c r="O44" i="779"/>
  <c r="M44" i="779"/>
  <c r="AB44" i="779" s="1"/>
  <c r="K44" i="779"/>
  <c r="G44" i="779"/>
  <c r="O43" i="779"/>
  <c r="M43" i="779"/>
  <c r="AA43" i="779" s="1"/>
  <c r="K43" i="779"/>
  <c r="G43" i="779"/>
  <c r="O42" i="779"/>
  <c r="M42" i="779"/>
  <c r="AB42" i="779" s="1"/>
  <c r="K42" i="779"/>
  <c r="G42" i="779"/>
  <c r="O41" i="779"/>
  <c r="M41" i="779"/>
  <c r="AB41" i="779" s="1"/>
  <c r="K41" i="779"/>
  <c r="G41" i="779"/>
  <c r="O40" i="779"/>
  <c r="M40" i="779"/>
  <c r="AB40" i="779" s="1"/>
  <c r="K40" i="779"/>
  <c r="G40" i="779"/>
  <c r="O39" i="779"/>
  <c r="M39" i="779"/>
  <c r="AB39" i="779" s="1"/>
  <c r="K39" i="779"/>
  <c r="G39" i="779"/>
  <c r="L38" i="779"/>
  <c r="J38" i="779"/>
  <c r="I38" i="779"/>
  <c r="AA24" i="779"/>
  <c r="O24" i="779"/>
  <c r="M24" i="779"/>
  <c r="N24" i="779" s="1"/>
  <c r="K24" i="779"/>
  <c r="G24" i="779"/>
  <c r="AA23" i="779"/>
  <c r="O23" i="779"/>
  <c r="M23" i="779"/>
  <c r="AB23" i="779" s="1"/>
  <c r="K23" i="779"/>
  <c r="G23" i="779"/>
  <c r="O22" i="779"/>
  <c r="M22" i="779"/>
  <c r="M38" i="779" s="1"/>
  <c r="K22" i="779"/>
  <c r="G22" i="779"/>
  <c r="L21" i="779"/>
  <c r="J21" i="779"/>
  <c r="I21" i="779"/>
  <c r="O9" i="779"/>
  <c r="M9" i="779"/>
  <c r="AB9" i="779" s="1"/>
  <c r="K9" i="779"/>
  <c r="G9" i="779"/>
  <c r="O8" i="779"/>
  <c r="M8" i="779"/>
  <c r="N8" i="779" s="1"/>
  <c r="K8" i="779"/>
  <c r="G8" i="779"/>
  <c r="O7" i="779"/>
  <c r="M7" i="779"/>
  <c r="N7" i="779" s="1"/>
  <c r="K7" i="779"/>
  <c r="G7" i="779"/>
  <c r="O6" i="779"/>
  <c r="M6" i="779"/>
  <c r="AA6" i="779" s="1"/>
  <c r="K6" i="779"/>
  <c r="G6" i="779"/>
  <c r="O5" i="779"/>
  <c r="M5" i="779"/>
  <c r="AB5" i="779" s="1"/>
  <c r="K5" i="779"/>
  <c r="G5" i="779"/>
  <c r="H2" i="779"/>
  <c r="D1" i="779"/>
  <c r="X34" i="778"/>
  <c r="W34" i="778"/>
  <c r="V34" i="778"/>
  <c r="P34" i="778"/>
  <c r="M8" i="778" s="1"/>
  <c r="O34" i="778"/>
  <c r="N34" i="778"/>
  <c r="M34" i="778"/>
  <c r="G34" i="778"/>
  <c r="N16" i="778"/>
  <c r="M16" i="778"/>
  <c r="I8" i="778" s="1"/>
  <c r="J16" i="778"/>
  <c r="I16" i="778"/>
  <c r="H16" i="778"/>
  <c r="G16" i="778"/>
  <c r="F16" i="778"/>
  <c r="E16" i="778"/>
  <c r="G8" i="778" s="1"/>
  <c r="K8" i="778"/>
  <c r="F8" i="778"/>
  <c r="M7" i="778"/>
  <c r="K7" i="778"/>
  <c r="I7" i="778"/>
  <c r="G7" i="778"/>
  <c r="F7" i="778"/>
  <c r="E7" i="778"/>
  <c r="M6" i="778"/>
  <c r="K6" i="778"/>
  <c r="I6" i="778"/>
  <c r="G6" i="778"/>
  <c r="F6" i="778"/>
  <c r="E6" i="778"/>
  <c r="AD140" i="777"/>
  <c r="AC140" i="777"/>
  <c r="Z140" i="777"/>
  <c r="Y140" i="777"/>
  <c r="O140" i="777"/>
  <c r="L140" i="777"/>
  <c r="J140" i="777"/>
  <c r="I140" i="777"/>
  <c r="O126" i="777"/>
  <c r="M126" i="777"/>
  <c r="AF126" i="777" s="1"/>
  <c r="K126" i="777"/>
  <c r="G126" i="777"/>
  <c r="AE125" i="777"/>
  <c r="O125" i="777"/>
  <c r="N125" i="777"/>
  <c r="Q125" i="777" s="1"/>
  <c r="M125" i="777"/>
  <c r="AF125" i="777" s="1"/>
  <c r="K125" i="777"/>
  <c r="G125" i="777"/>
  <c r="O124" i="777"/>
  <c r="M124" i="777"/>
  <c r="N124" i="777" s="1"/>
  <c r="K124" i="777"/>
  <c r="G124" i="777"/>
  <c r="AD123" i="777"/>
  <c r="AC123" i="777"/>
  <c r="Z123" i="777"/>
  <c r="Y123" i="777"/>
  <c r="L123" i="777"/>
  <c r="O123" i="777" s="1"/>
  <c r="J123" i="777"/>
  <c r="K123" i="777" s="1"/>
  <c r="I123" i="777"/>
  <c r="O109" i="777"/>
  <c r="M109" i="777"/>
  <c r="AE109" i="777" s="1"/>
  <c r="K109" i="777"/>
  <c r="G109" i="777"/>
  <c r="O108" i="777"/>
  <c r="N108" i="777"/>
  <c r="M108" i="777"/>
  <c r="AE108" i="777" s="1"/>
  <c r="K108" i="777"/>
  <c r="G108" i="777"/>
  <c r="O107" i="777"/>
  <c r="M107" i="777"/>
  <c r="N107" i="777" s="1"/>
  <c r="K107" i="777"/>
  <c r="G107" i="777"/>
  <c r="AD106" i="777"/>
  <c r="AC106" i="777"/>
  <c r="Z106" i="777"/>
  <c r="Y106" i="777"/>
  <c r="L106" i="777"/>
  <c r="O106" i="777" s="1"/>
  <c r="J106" i="777"/>
  <c r="K106" i="777" s="1"/>
  <c r="I106" i="777"/>
  <c r="O91" i="777"/>
  <c r="M91" i="777"/>
  <c r="N91" i="777" s="1"/>
  <c r="K91" i="777"/>
  <c r="G91" i="777"/>
  <c r="AF90" i="777"/>
  <c r="AE90" i="777"/>
  <c r="O90" i="777"/>
  <c r="N90" i="777"/>
  <c r="P90" i="777" s="1"/>
  <c r="M90" i="777"/>
  <c r="K90" i="777"/>
  <c r="G90" i="777"/>
  <c r="AD89" i="777"/>
  <c r="AC89" i="777"/>
  <c r="Z89" i="777"/>
  <c r="Y89" i="777"/>
  <c r="L89" i="777"/>
  <c r="O89" i="777" s="1"/>
  <c r="J89" i="777"/>
  <c r="K89" i="777" s="1"/>
  <c r="I89" i="777"/>
  <c r="O75" i="777"/>
  <c r="M75" i="777"/>
  <c r="AF75" i="777" s="1"/>
  <c r="K75" i="777"/>
  <c r="G75" i="777"/>
  <c r="AE74" i="777"/>
  <c r="O74" i="777"/>
  <c r="M74" i="777"/>
  <c r="AF74" i="777" s="1"/>
  <c r="K74" i="777"/>
  <c r="G74" i="777"/>
  <c r="O73" i="777"/>
  <c r="M73" i="777"/>
  <c r="AF73" i="777" s="1"/>
  <c r="K73" i="777"/>
  <c r="G73" i="777"/>
  <c r="AD72" i="777"/>
  <c r="AC72" i="777"/>
  <c r="Z72" i="777"/>
  <c r="Y72" i="777"/>
  <c r="L72" i="777"/>
  <c r="J72" i="777"/>
  <c r="I72" i="777"/>
  <c r="O72" i="777" s="1"/>
  <c r="O64" i="777"/>
  <c r="M64" i="777"/>
  <c r="AF64" i="777" s="1"/>
  <c r="K64" i="777"/>
  <c r="G64" i="777"/>
  <c r="O63" i="777"/>
  <c r="M63" i="777"/>
  <c r="AE63" i="777" s="1"/>
  <c r="K63" i="777"/>
  <c r="G63" i="777"/>
  <c r="AF62" i="777"/>
  <c r="O62" i="777"/>
  <c r="M62" i="777"/>
  <c r="AE62" i="777" s="1"/>
  <c r="K62" i="777"/>
  <c r="G62" i="777"/>
  <c r="O61" i="777"/>
  <c r="M61" i="777"/>
  <c r="AE61" i="777" s="1"/>
  <c r="K61" i="777"/>
  <c r="G61" i="777"/>
  <c r="O60" i="777"/>
  <c r="M60" i="777"/>
  <c r="AF60" i="777" s="1"/>
  <c r="K60" i="777"/>
  <c r="G60" i="777"/>
  <c r="O59" i="777"/>
  <c r="M59" i="777"/>
  <c r="AE59" i="777" s="1"/>
  <c r="K59" i="777"/>
  <c r="G59" i="777"/>
  <c r="AF58" i="777"/>
  <c r="O58" i="777"/>
  <c r="M58" i="777"/>
  <c r="AE58" i="777" s="1"/>
  <c r="K58" i="777"/>
  <c r="G58" i="777"/>
  <c r="AF57" i="777"/>
  <c r="O57" i="777"/>
  <c r="M57" i="777"/>
  <c r="AE57" i="777" s="1"/>
  <c r="K57" i="777"/>
  <c r="G57" i="777"/>
  <c r="AE56" i="777"/>
  <c r="O56" i="777"/>
  <c r="M56" i="777"/>
  <c r="AF56" i="777" s="1"/>
  <c r="K56" i="777"/>
  <c r="G56" i="777"/>
  <c r="AD55" i="777"/>
  <c r="AC55" i="777"/>
  <c r="AC2" i="777" s="1"/>
  <c r="Q6" i="775" s="1"/>
  <c r="Z55" i="777"/>
  <c r="Y55" i="777"/>
  <c r="L55" i="777"/>
  <c r="J55" i="777"/>
  <c r="I55" i="777"/>
  <c r="O55" i="777" s="1"/>
  <c r="O44" i="777"/>
  <c r="M44" i="777"/>
  <c r="AF44" i="777" s="1"/>
  <c r="K44" i="777"/>
  <c r="G44" i="777"/>
  <c r="O43" i="777"/>
  <c r="M43" i="777"/>
  <c r="N43" i="777" s="1"/>
  <c r="K43" i="777"/>
  <c r="G43" i="777"/>
  <c r="O42" i="777"/>
  <c r="M42" i="777"/>
  <c r="N42" i="777" s="1"/>
  <c r="K42" i="777"/>
  <c r="G42" i="777"/>
  <c r="O41" i="777"/>
  <c r="M41" i="777"/>
  <c r="N41" i="777" s="1"/>
  <c r="K41" i="777"/>
  <c r="G41" i="777"/>
  <c r="O40" i="777"/>
  <c r="M40" i="777"/>
  <c r="AF40" i="777" s="1"/>
  <c r="K40" i="777"/>
  <c r="G40" i="777"/>
  <c r="O39" i="777"/>
  <c r="M39" i="777"/>
  <c r="AE39" i="777" s="1"/>
  <c r="K39" i="777"/>
  <c r="G39" i="777"/>
  <c r="AD38" i="777"/>
  <c r="AC38" i="777"/>
  <c r="Z38" i="777"/>
  <c r="Y38" i="777"/>
  <c r="L38" i="777"/>
  <c r="J38" i="777"/>
  <c r="I38" i="777"/>
  <c r="O38" i="777" s="1"/>
  <c r="AE28" i="777"/>
  <c r="O28" i="777"/>
  <c r="N28" i="777"/>
  <c r="P28" i="777" s="1"/>
  <c r="M28" i="777"/>
  <c r="AF28" i="777" s="1"/>
  <c r="K28" i="777"/>
  <c r="G28" i="777"/>
  <c r="O27" i="777"/>
  <c r="M27" i="777"/>
  <c r="AF27" i="777" s="1"/>
  <c r="K27" i="777"/>
  <c r="G27" i="777"/>
  <c r="AF26" i="777"/>
  <c r="AE26" i="777"/>
  <c r="O26" i="777"/>
  <c r="N26" i="777"/>
  <c r="P26" i="777" s="1"/>
  <c r="M26" i="777"/>
  <c r="K26" i="777"/>
  <c r="G26" i="777"/>
  <c r="AF25" i="777"/>
  <c r="AE25" i="777"/>
  <c r="O25" i="777"/>
  <c r="M25" i="777"/>
  <c r="N25" i="777" s="1"/>
  <c r="K25" i="777"/>
  <c r="G25" i="777"/>
  <c r="AE24" i="777"/>
  <c r="O24" i="777"/>
  <c r="M24" i="777"/>
  <c r="AF24" i="777" s="1"/>
  <c r="K24" i="777"/>
  <c r="G24" i="777"/>
  <c r="AE23" i="777"/>
  <c r="O23" i="777"/>
  <c r="M23" i="777"/>
  <c r="AF23" i="777" s="1"/>
  <c r="K23" i="777"/>
  <c r="G23" i="777"/>
  <c r="O22" i="777"/>
  <c r="M22" i="777"/>
  <c r="N22" i="777" s="1"/>
  <c r="K22" i="777"/>
  <c r="G22" i="777"/>
  <c r="AD21" i="777"/>
  <c r="AC21" i="777"/>
  <c r="Z21" i="777"/>
  <c r="Y21" i="777"/>
  <c r="L21" i="777"/>
  <c r="H1" i="777" s="1"/>
  <c r="J21" i="777"/>
  <c r="K21" i="777" s="1"/>
  <c r="I21" i="777"/>
  <c r="O8" i="777"/>
  <c r="M8" i="777"/>
  <c r="AE8" i="777" s="1"/>
  <c r="K8" i="777"/>
  <c r="G8" i="777"/>
  <c r="O7" i="777"/>
  <c r="M7" i="777"/>
  <c r="N7" i="777" s="1"/>
  <c r="K7" i="777"/>
  <c r="G7" i="777"/>
  <c r="AF6" i="777"/>
  <c r="O6" i="777"/>
  <c r="M6" i="777"/>
  <c r="AE6" i="777" s="1"/>
  <c r="K6" i="777"/>
  <c r="G6" i="777"/>
  <c r="O5" i="777"/>
  <c r="M5" i="777"/>
  <c r="AF5" i="777" s="1"/>
  <c r="K5" i="777"/>
  <c r="G5" i="777"/>
  <c r="H2" i="777"/>
  <c r="D1" i="777"/>
  <c r="L140" i="776"/>
  <c r="J140" i="776"/>
  <c r="I140" i="776"/>
  <c r="O140" i="776" s="1"/>
  <c r="O135" i="776"/>
  <c r="M135" i="776"/>
  <c r="N135" i="776" s="1"/>
  <c r="K135" i="776"/>
  <c r="G135" i="776"/>
  <c r="O134" i="776"/>
  <c r="M134" i="776"/>
  <c r="N134" i="776" s="1"/>
  <c r="K134" i="776"/>
  <c r="G134" i="776"/>
  <c r="AA133" i="776"/>
  <c r="O133" i="776"/>
  <c r="M133" i="776"/>
  <c r="N133" i="776" s="1"/>
  <c r="Q133" i="776" s="1"/>
  <c r="K133" i="776"/>
  <c r="G133" i="776"/>
  <c r="O132" i="776"/>
  <c r="M132" i="776"/>
  <c r="N132" i="776" s="1"/>
  <c r="K132" i="776"/>
  <c r="G132" i="776"/>
  <c r="O131" i="776"/>
  <c r="M131" i="776"/>
  <c r="N131" i="776" s="1"/>
  <c r="K131" i="776"/>
  <c r="G131" i="776"/>
  <c r="O130" i="776"/>
  <c r="M130" i="776"/>
  <c r="N130" i="776" s="1"/>
  <c r="K130" i="776"/>
  <c r="G130" i="776"/>
  <c r="O129" i="776"/>
  <c r="N129" i="776"/>
  <c r="M129" i="776"/>
  <c r="AB129" i="776" s="1"/>
  <c r="K129" i="776"/>
  <c r="G129" i="776"/>
  <c r="AA128" i="776"/>
  <c r="O128" i="776"/>
  <c r="M128" i="776"/>
  <c r="N128" i="776" s="1"/>
  <c r="K128" i="776"/>
  <c r="G128" i="776"/>
  <c r="O127" i="776"/>
  <c r="M127" i="776"/>
  <c r="N127" i="776" s="1"/>
  <c r="K127" i="776"/>
  <c r="G127" i="776"/>
  <c r="O126" i="776"/>
  <c r="M126" i="776"/>
  <c r="N126" i="776" s="1"/>
  <c r="K126" i="776"/>
  <c r="G126" i="776"/>
  <c r="AB125" i="776"/>
  <c r="AA125" i="776"/>
  <c r="O125" i="776"/>
  <c r="N125" i="776"/>
  <c r="Q125" i="776" s="1"/>
  <c r="M125" i="776"/>
  <c r="K125" i="776"/>
  <c r="G125" i="776"/>
  <c r="AB124" i="776"/>
  <c r="O124" i="776"/>
  <c r="N124" i="776"/>
  <c r="P124" i="776" s="1"/>
  <c r="M124" i="776"/>
  <c r="AA124" i="776" s="1"/>
  <c r="K124" i="776"/>
  <c r="G124" i="776"/>
  <c r="L123" i="776"/>
  <c r="O123" i="776" s="1"/>
  <c r="J123" i="776"/>
  <c r="K123" i="776" s="1"/>
  <c r="I123" i="776"/>
  <c r="O113" i="776"/>
  <c r="M113" i="776"/>
  <c r="AA113" i="776" s="1"/>
  <c r="K113" i="776"/>
  <c r="G113" i="776"/>
  <c r="O112" i="776"/>
  <c r="M112" i="776"/>
  <c r="N112" i="776" s="1"/>
  <c r="K112" i="776"/>
  <c r="G112" i="776"/>
  <c r="O111" i="776"/>
  <c r="M111" i="776"/>
  <c r="AA111" i="776" s="1"/>
  <c r="K111" i="776"/>
  <c r="G111" i="776"/>
  <c r="O110" i="776"/>
  <c r="M110" i="776"/>
  <c r="AA110" i="776" s="1"/>
  <c r="K110" i="776"/>
  <c r="G110" i="776"/>
  <c r="O109" i="776"/>
  <c r="M109" i="776"/>
  <c r="AA109" i="776" s="1"/>
  <c r="K109" i="776"/>
  <c r="G109" i="776"/>
  <c r="O108" i="776"/>
  <c r="M108" i="776"/>
  <c r="N108" i="776" s="1"/>
  <c r="K108" i="776"/>
  <c r="G108" i="776"/>
  <c r="O107" i="776"/>
  <c r="M107" i="776"/>
  <c r="N107" i="776" s="1"/>
  <c r="K107" i="776"/>
  <c r="G107" i="776"/>
  <c r="L106" i="776"/>
  <c r="J106" i="776"/>
  <c r="K106" i="776" s="1"/>
  <c r="I106" i="776"/>
  <c r="O94" i="776"/>
  <c r="N94" i="776"/>
  <c r="Q94" i="776" s="1"/>
  <c r="M94" i="776"/>
  <c r="AB94" i="776" s="1"/>
  <c r="K94" i="776"/>
  <c r="G94" i="776"/>
  <c r="O93" i="776"/>
  <c r="N93" i="776"/>
  <c r="M93" i="776"/>
  <c r="AB93" i="776" s="1"/>
  <c r="K93" i="776"/>
  <c r="G93" i="776"/>
  <c r="AA92" i="776"/>
  <c r="O92" i="776"/>
  <c r="M92" i="776"/>
  <c r="AB92" i="776" s="1"/>
  <c r="K92" i="776"/>
  <c r="G92" i="776"/>
  <c r="O91" i="776"/>
  <c r="M91" i="776"/>
  <c r="AB91" i="776" s="1"/>
  <c r="K91" i="776"/>
  <c r="G91" i="776"/>
  <c r="O90" i="776"/>
  <c r="M90" i="776"/>
  <c r="AA90" i="776" s="1"/>
  <c r="K90" i="776"/>
  <c r="G90" i="776"/>
  <c r="L89" i="776"/>
  <c r="O89" i="776" s="1"/>
  <c r="J89" i="776"/>
  <c r="I89" i="776"/>
  <c r="AB75" i="776"/>
  <c r="AA75" i="776"/>
  <c r="O75" i="776"/>
  <c r="M75" i="776"/>
  <c r="N75" i="776" s="1"/>
  <c r="K75" i="776"/>
  <c r="G75" i="776"/>
  <c r="O74" i="776"/>
  <c r="M74" i="776"/>
  <c r="N74" i="776" s="1"/>
  <c r="K74" i="776"/>
  <c r="G74" i="776"/>
  <c r="O73" i="776"/>
  <c r="M73" i="776"/>
  <c r="AA73" i="776" s="1"/>
  <c r="K73" i="776"/>
  <c r="G73" i="776"/>
  <c r="L72" i="776"/>
  <c r="O72" i="776" s="1"/>
  <c r="J72" i="776"/>
  <c r="I72" i="776"/>
  <c r="K72" i="776" s="1"/>
  <c r="AB62" i="776"/>
  <c r="O62" i="776"/>
  <c r="M62" i="776"/>
  <c r="AA62" i="776" s="1"/>
  <c r="K62" i="776"/>
  <c r="G62" i="776"/>
  <c r="AB61" i="776"/>
  <c r="O61" i="776"/>
  <c r="M61" i="776"/>
  <c r="AA61" i="776" s="1"/>
  <c r="K61" i="776"/>
  <c r="G61" i="776"/>
  <c r="O60" i="776"/>
  <c r="M60" i="776"/>
  <c r="AA60" i="776" s="1"/>
  <c r="K60" i="776"/>
  <c r="G60" i="776"/>
  <c r="O59" i="776"/>
  <c r="M59" i="776"/>
  <c r="N59" i="776" s="1"/>
  <c r="K59" i="776"/>
  <c r="G59" i="776"/>
  <c r="O58" i="776"/>
  <c r="M58" i="776"/>
  <c r="AA58" i="776" s="1"/>
  <c r="K58" i="776"/>
  <c r="G58" i="776"/>
  <c r="O57" i="776"/>
  <c r="M57" i="776"/>
  <c r="AA57" i="776" s="1"/>
  <c r="K57" i="776"/>
  <c r="G57" i="776"/>
  <c r="AA56" i="776"/>
  <c r="O56" i="776"/>
  <c r="M56" i="776"/>
  <c r="K56" i="776"/>
  <c r="G56" i="776"/>
  <c r="L55" i="776"/>
  <c r="O55" i="776" s="1"/>
  <c r="J55" i="776"/>
  <c r="I55" i="776"/>
  <c r="O44" i="776"/>
  <c r="M44" i="776"/>
  <c r="AB44" i="776" s="1"/>
  <c r="K44" i="776"/>
  <c r="G44" i="776"/>
  <c r="O43" i="776"/>
  <c r="M43" i="776"/>
  <c r="AB43" i="776" s="1"/>
  <c r="K43" i="776"/>
  <c r="G43" i="776"/>
  <c r="O42" i="776"/>
  <c r="M42" i="776"/>
  <c r="AB42" i="776" s="1"/>
  <c r="K42" i="776"/>
  <c r="G42" i="776"/>
  <c r="O41" i="776"/>
  <c r="M41" i="776"/>
  <c r="AB41" i="776" s="1"/>
  <c r="K41" i="776"/>
  <c r="G41" i="776"/>
  <c r="O40" i="776"/>
  <c r="N40" i="776"/>
  <c r="P40" i="776" s="1"/>
  <c r="M40" i="776"/>
  <c r="AB40" i="776" s="1"/>
  <c r="K40" i="776"/>
  <c r="G40" i="776"/>
  <c r="O39" i="776"/>
  <c r="M39" i="776"/>
  <c r="AB39" i="776" s="1"/>
  <c r="K39" i="776"/>
  <c r="G39" i="776"/>
  <c r="L38" i="776"/>
  <c r="J38" i="776"/>
  <c r="I38" i="776"/>
  <c r="AB24" i="776"/>
  <c r="AA24" i="776"/>
  <c r="O24" i="776"/>
  <c r="M24" i="776"/>
  <c r="N24" i="776" s="1"/>
  <c r="K24" i="776"/>
  <c r="G24" i="776"/>
  <c r="O23" i="776"/>
  <c r="M23" i="776"/>
  <c r="N23" i="776" s="1"/>
  <c r="K23" i="776"/>
  <c r="G23" i="776"/>
  <c r="O22" i="776"/>
  <c r="M22" i="776"/>
  <c r="M38" i="776" s="1"/>
  <c r="K22" i="776"/>
  <c r="G22" i="776"/>
  <c r="L21" i="776"/>
  <c r="J21" i="776"/>
  <c r="I21" i="776"/>
  <c r="K21" i="776" s="1"/>
  <c r="O9" i="776"/>
  <c r="M9" i="776"/>
  <c r="N9" i="776" s="1"/>
  <c r="K9" i="776"/>
  <c r="G9" i="776"/>
  <c r="AB8" i="776"/>
  <c r="AA8" i="776"/>
  <c r="O8" i="776"/>
  <c r="M8" i="776"/>
  <c r="N8" i="776" s="1"/>
  <c r="K8" i="776"/>
  <c r="G8" i="776"/>
  <c r="O7" i="776"/>
  <c r="M7" i="776"/>
  <c r="AA7" i="776" s="1"/>
  <c r="K7" i="776"/>
  <c r="G7" i="776"/>
  <c r="O6" i="776"/>
  <c r="M6" i="776"/>
  <c r="AA6" i="776" s="1"/>
  <c r="K6" i="776"/>
  <c r="G6" i="776"/>
  <c r="O5" i="776"/>
  <c r="M5" i="776"/>
  <c r="K5" i="776"/>
  <c r="G5" i="776"/>
  <c r="H2" i="776"/>
  <c r="D1" i="776"/>
  <c r="F3" i="775" s="1"/>
  <c r="X34" i="775"/>
  <c r="W34" i="775"/>
  <c r="V34" i="775"/>
  <c r="P34" i="775"/>
  <c r="M8" i="775" s="1"/>
  <c r="O34" i="775"/>
  <c r="N34" i="775"/>
  <c r="M34" i="775"/>
  <c r="G34" i="775"/>
  <c r="K8" i="775" s="1"/>
  <c r="N16" i="775"/>
  <c r="M16" i="775"/>
  <c r="I8" i="775" s="1"/>
  <c r="J16" i="775"/>
  <c r="I16" i="775"/>
  <c r="H16" i="775"/>
  <c r="G16" i="775"/>
  <c r="F16" i="775"/>
  <c r="E16" i="775"/>
  <c r="F8" i="775"/>
  <c r="M7" i="775"/>
  <c r="K7" i="775"/>
  <c r="I7" i="775"/>
  <c r="G7" i="775"/>
  <c r="F7" i="775"/>
  <c r="E7" i="775"/>
  <c r="M6" i="775"/>
  <c r="K6" i="775"/>
  <c r="I6" i="775"/>
  <c r="G6" i="775"/>
  <c r="F6" i="775"/>
  <c r="E6" i="775"/>
  <c r="P25" i="777" l="1"/>
  <c r="Q25" i="777"/>
  <c r="P73" i="779"/>
  <c r="Q73" i="779"/>
  <c r="P5" i="783"/>
  <c r="F1" i="779"/>
  <c r="F2" i="779" s="1"/>
  <c r="N22" i="776"/>
  <c r="P22" i="776" s="1"/>
  <c r="AA42" i="776"/>
  <c r="N91" i="776"/>
  <c r="AB133" i="776"/>
  <c r="N5" i="777"/>
  <c r="Q5" i="777" s="1"/>
  <c r="O21" i="777"/>
  <c r="N27" i="777"/>
  <c r="Q27" i="777" s="1"/>
  <c r="N39" i="777"/>
  <c r="N75" i="779"/>
  <c r="Q75" i="779" s="1"/>
  <c r="N5" i="780"/>
  <c r="Q5" i="780" s="1"/>
  <c r="N25" i="780"/>
  <c r="F1" i="780"/>
  <c r="F2" i="780" s="1"/>
  <c r="N45" i="780"/>
  <c r="Q45" i="780" s="1"/>
  <c r="N108" i="780"/>
  <c r="N72" i="782"/>
  <c r="P26" i="783"/>
  <c r="Q26" i="783"/>
  <c r="Q42" i="780"/>
  <c r="Q91" i="780"/>
  <c r="AA130" i="779"/>
  <c r="AA22" i="776"/>
  <c r="AE5" i="777"/>
  <c r="AE27" i="777"/>
  <c r="K38" i="779"/>
  <c r="N42" i="779"/>
  <c r="O55" i="779"/>
  <c r="AA75" i="779"/>
  <c r="N92" i="779"/>
  <c r="N127" i="779"/>
  <c r="Q127" i="779" s="1"/>
  <c r="AF5" i="780"/>
  <c r="AE45" i="780"/>
  <c r="K21" i="779"/>
  <c r="O38" i="779"/>
  <c r="AB75" i="779"/>
  <c r="M140" i="779"/>
  <c r="N42" i="780"/>
  <c r="P42" i="780" s="1"/>
  <c r="Q90" i="777"/>
  <c r="AB22" i="776"/>
  <c r="AA130" i="776"/>
  <c r="F1" i="777"/>
  <c r="F2" i="777" s="1"/>
  <c r="Q108" i="777"/>
  <c r="N75" i="777"/>
  <c r="O21" i="779"/>
  <c r="AA111" i="779"/>
  <c r="AA127" i="779"/>
  <c r="AF39" i="780"/>
  <c r="O55" i="780"/>
  <c r="AF65" i="780"/>
  <c r="K106" i="780"/>
  <c r="AE108" i="780"/>
  <c r="AF124" i="780"/>
  <c r="P90" i="783"/>
  <c r="Q90" i="783"/>
  <c r="AA91" i="776"/>
  <c r="AF39" i="777"/>
  <c r="AB57" i="776"/>
  <c r="AA94" i="776"/>
  <c r="AB110" i="776"/>
  <c r="AE43" i="777"/>
  <c r="N56" i="777"/>
  <c r="Q56" i="777" s="1"/>
  <c r="AA43" i="776"/>
  <c r="O106" i="776"/>
  <c r="AA134" i="776"/>
  <c r="AF43" i="777"/>
  <c r="AF108" i="777"/>
  <c r="K89" i="779"/>
  <c r="AA92" i="779"/>
  <c r="N107" i="779"/>
  <c r="Q107" i="779" s="1"/>
  <c r="AB111" i="779"/>
  <c r="AA124" i="779"/>
  <c r="N131" i="779"/>
  <c r="Q131" i="779" s="1"/>
  <c r="K55" i="780"/>
  <c r="AA42" i="779"/>
  <c r="M72" i="779"/>
  <c r="P94" i="776"/>
  <c r="AA126" i="776"/>
  <c r="Q28" i="777"/>
  <c r="AE91" i="777"/>
  <c r="N40" i="780"/>
  <c r="N43" i="780"/>
  <c r="Q43" i="780" s="1"/>
  <c r="N40" i="777"/>
  <c r="Q40" i="777" s="1"/>
  <c r="AE75" i="777"/>
  <c r="N135" i="779"/>
  <c r="Q135" i="779" s="1"/>
  <c r="K89" i="780"/>
  <c r="P92" i="782"/>
  <c r="Q92" i="782"/>
  <c r="AA23" i="776"/>
  <c r="N92" i="776"/>
  <c r="P92" i="776" s="1"/>
  <c r="Q124" i="776"/>
  <c r="AB23" i="776"/>
  <c r="N44" i="776"/>
  <c r="P44" i="776" s="1"/>
  <c r="AB58" i="776"/>
  <c r="K89" i="776"/>
  <c r="AB111" i="776"/>
  <c r="AE40" i="777"/>
  <c r="N44" i="777"/>
  <c r="Q44" i="777" s="1"/>
  <c r="AF61" i="777"/>
  <c r="AA128" i="779"/>
  <c r="AE109" i="780"/>
  <c r="AF125" i="780"/>
  <c r="P55" i="783"/>
  <c r="F1" i="776"/>
  <c r="I3" i="775" s="1"/>
  <c r="N41" i="776"/>
  <c r="P41" i="776" s="1"/>
  <c r="AB128" i="776"/>
  <c r="K140" i="776"/>
  <c r="K38" i="777"/>
  <c r="AE44" i="777"/>
  <c r="AB7" i="779"/>
  <c r="N40" i="779"/>
  <c r="AB43" i="779"/>
  <c r="M106" i="779"/>
  <c r="N106" i="779" s="1"/>
  <c r="AE40" i="780"/>
  <c r="N63" i="780"/>
  <c r="K55" i="776"/>
  <c r="AA132" i="776"/>
  <c r="N23" i="777"/>
  <c r="Q23" i="777" s="1"/>
  <c r="N126" i="777"/>
  <c r="N23" i="779"/>
  <c r="Q23" i="779" s="1"/>
  <c r="AA132" i="779"/>
  <c r="P59" i="780"/>
  <c r="K123" i="780"/>
  <c r="M21" i="776"/>
  <c r="N21" i="776" s="1"/>
  <c r="AA41" i="776"/>
  <c r="AB132" i="776"/>
  <c r="Y2" i="777"/>
  <c r="O6" i="775" s="1"/>
  <c r="M72" i="780"/>
  <c r="M55" i="776"/>
  <c r="N55" i="776" s="1"/>
  <c r="Q55" i="776" s="1"/>
  <c r="R39" i="776" s="1"/>
  <c r="N73" i="776"/>
  <c r="P73" i="776" s="1"/>
  <c r="Z2" i="777"/>
  <c r="P6" i="775" s="1"/>
  <c r="K55" i="777"/>
  <c r="AA40" i="779"/>
  <c r="N94" i="779"/>
  <c r="N56" i="780"/>
  <c r="Q56" i="780" s="1"/>
  <c r="M89" i="780"/>
  <c r="N107" i="780"/>
  <c r="Q107" i="780" s="1"/>
  <c r="M123" i="780"/>
  <c r="N123" i="780" s="1"/>
  <c r="P93" i="776"/>
  <c r="Q129" i="776"/>
  <c r="AE41" i="777"/>
  <c r="AE126" i="777"/>
  <c r="N44" i="779"/>
  <c r="AA74" i="779"/>
  <c r="AF8" i="780"/>
  <c r="Y2" i="780"/>
  <c r="O6" i="778" s="1"/>
  <c r="AE44" i="780"/>
  <c r="Q40" i="783"/>
  <c r="P40" i="783"/>
  <c r="AA8" i="779"/>
  <c r="AA62" i="779"/>
  <c r="AB74" i="779"/>
  <c r="N133" i="779"/>
  <c r="Q133" i="779" s="1"/>
  <c r="AF24" i="780"/>
  <c r="AF44" i="780"/>
  <c r="AE56" i="780"/>
  <c r="AE73" i="780"/>
  <c r="AF107" i="780"/>
  <c r="P107" i="782"/>
  <c r="AA38" i="782"/>
  <c r="Q41" i="780"/>
  <c r="K38" i="776"/>
  <c r="N42" i="776"/>
  <c r="M72" i="776"/>
  <c r="AA72" i="776" s="1"/>
  <c r="AB73" i="776"/>
  <c r="AA93" i="776"/>
  <c r="AA129" i="776"/>
  <c r="N74" i="777"/>
  <c r="K140" i="777"/>
  <c r="F3" i="778"/>
  <c r="AB8" i="779"/>
  <c r="AB62" i="779"/>
  <c r="K21" i="780"/>
  <c r="AF56" i="780"/>
  <c r="AE60" i="780"/>
  <c r="AF73" i="780"/>
  <c r="H1" i="780"/>
  <c r="AB38" i="782"/>
  <c r="AC22" i="782" s="1"/>
  <c r="G8" i="775"/>
  <c r="M106" i="776"/>
  <c r="M140" i="776"/>
  <c r="AA140" i="776" s="1"/>
  <c r="O21" i="776"/>
  <c r="AB90" i="776"/>
  <c r="AD2" i="777"/>
  <c r="R6" i="775" s="1"/>
  <c r="O38" i="776"/>
  <c r="N24" i="777"/>
  <c r="AA44" i="779"/>
  <c r="AA58" i="779"/>
  <c r="AB91" i="779"/>
  <c r="AA126" i="779"/>
  <c r="O21" i="780"/>
  <c r="AF60" i="780"/>
  <c r="AE64" i="780"/>
  <c r="AF106" i="783"/>
  <c r="AG90" i="783" s="1"/>
  <c r="P132" i="782"/>
  <c r="Q40" i="782"/>
  <c r="P40" i="782"/>
  <c r="Q5" i="782"/>
  <c r="P5" i="782"/>
  <c r="Q7" i="783"/>
  <c r="P7" i="783"/>
  <c r="Q135" i="782"/>
  <c r="P135" i="782"/>
  <c r="Q73" i="783"/>
  <c r="P73" i="783"/>
  <c r="Q131" i="782"/>
  <c r="P131" i="782"/>
  <c r="Q22" i="783"/>
  <c r="P22" i="783"/>
  <c r="AB140" i="782"/>
  <c r="AC124" i="782" s="1"/>
  <c r="AA140" i="782"/>
  <c r="N140" i="782"/>
  <c r="AE21" i="783"/>
  <c r="N21" i="783"/>
  <c r="AF21" i="783"/>
  <c r="AG5" i="783" s="1"/>
  <c r="Q111" i="782"/>
  <c r="P111" i="782"/>
  <c r="Q127" i="782"/>
  <c r="P127" i="782"/>
  <c r="Q114" i="782"/>
  <c r="P114" i="782"/>
  <c r="Q94" i="782"/>
  <c r="P94" i="782"/>
  <c r="Q91" i="782"/>
  <c r="P91" i="782"/>
  <c r="Q72" i="782"/>
  <c r="R56" i="782" s="1"/>
  <c r="P72" i="782"/>
  <c r="N123" i="783"/>
  <c r="AF123" i="783"/>
  <c r="AG107" i="783" s="1"/>
  <c r="AE123" i="783"/>
  <c r="Q110" i="782"/>
  <c r="P110" i="782"/>
  <c r="AB123" i="782"/>
  <c r="AC107" i="782" s="1"/>
  <c r="AA123" i="782"/>
  <c r="N123" i="782"/>
  <c r="AB106" i="782"/>
  <c r="AC90" i="782" s="1"/>
  <c r="AA106" i="782"/>
  <c r="N106" i="782"/>
  <c r="Q9" i="782"/>
  <c r="P9" i="782"/>
  <c r="AB89" i="782"/>
  <c r="AC73" i="782" s="1"/>
  <c r="AA89" i="782"/>
  <c r="N89" i="782"/>
  <c r="Q56" i="782"/>
  <c r="P56" i="782"/>
  <c r="Q61" i="782"/>
  <c r="P61" i="782"/>
  <c r="Q38" i="782"/>
  <c r="R22" i="782" s="1"/>
  <c r="P38" i="782"/>
  <c r="Q75" i="782"/>
  <c r="P75" i="782"/>
  <c r="Q23" i="782"/>
  <c r="P23" i="782"/>
  <c r="Q57" i="782"/>
  <c r="P57" i="782"/>
  <c r="Q42" i="782"/>
  <c r="P42" i="782"/>
  <c r="Q60" i="782"/>
  <c r="P60" i="782"/>
  <c r="Q109" i="783"/>
  <c r="P109" i="783"/>
  <c r="AF140" i="783"/>
  <c r="AG124" i="783" s="1"/>
  <c r="AE140" i="783"/>
  <c r="N140" i="783"/>
  <c r="Q55" i="782"/>
  <c r="R39" i="782" s="1"/>
  <c r="P55" i="782"/>
  <c r="Q43" i="783"/>
  <c r="P43" i="783"/>
  <c r="AF38" i="783"/>
  <c r="AG22" i="783" s="1"/>
  <c r="AE38" i="783"/>
  <c r="N38" i="783"/>
  <c r="Q62" i="783"/>
  <c r="P62" i="783"/>
  <c r="Q93" i="782"/>
  <c r="P93" i="782"/>
  <c r="AE72" i="783"/>
  <c r="N72" i="783"/>
  <c r="AF72" i="783"/>
  <c r="AG56" i="783" s="1"/>
  <c r="Q124" i="782"/>
  <c r="P124" i="782"/>
  <c r="Q89" i="783"/>
  <c r="R73" i="783" s="1"/>
  <c r="P89" i="783"/>
  <c r="Q58" i="783"/>
  <c r="P58" i="783"/>
  <c r="AB21" i="782"/>
  <c r="AC5" i="782" s="1"/>
  <c r="AA21" i="782"/>
  <c r="N21" i="782"/>
  <c r="P44" i="780"/>
  <c r="Q44" i="780"/>
  <c r="AA72" i="779"/>
  <c r="N72" i="779"/>
  <c r="AB72" i="779"/>
  <c r="AC56" i="779" s="1"/>
  <c r="Q111" i="779"/>
  <c r="P111" i="779"/>
  <c r="Q109" i="780"/>
  <c r="P109" i="780"/>
  <c r="P7" i="779"/>
  <c r="Q7" i="779"/>
  <c r="Q114" i="779"/>
  <c r="P114" i="779"/>
  <c r="Q64" i="780"/>
  <c r="P64" i="780"/>
  <c r="Q74" i="779"/>
  <c r="P74" i="779"/>
  <c r="P8" i="780"/>
  <c r="Q8" i="780"/>
  <c r="P22" i="780"/>
  <c r="Q22" i="780"/>
  <c r="P27" i="780"/>
  <c r="Q27" i="780"/>
  <c r="P39" i="780"/>
  <c r="Q39" i="780"/>
  <c r="Q124" i="780"/>
  <c r="P124" i="780"/>
  <c r="Q58" i="779"/>
  <c r="P58" i="779"/>
  <c r="Q8" i="779"/>
  <c r="P8" i="779"/>
  <c r="P24" i="779"/>
  <c r="Q24" i="779"/>
  <c r="Q61" i="779"/>
  <c r="P61" i="779"/>
  <c r="Q60" i="780"/>
  <c r="P60" i="780"/>
  <c r="N38" i="779"/>
  <c r="AA38" i="779"/>
  <c r="AB38" i="779"/>
  <c r="AC22" i="779" s="1"/>
  <c r="AE72" i="780"/>
  <c r="N72" i="780"/>
  <c r="AF72" i="780"/>
  <c r="AG56" i="780" s="1"/>
  <c r="Q62" i="779"/>
  <c r="P62" i="779"/>
  <c r="P110" i="779"/>
  <c r="Q110" i="779"/>
  <c r="P132" i="779"/>
  <c r="Q132" i="779"/>
  <c r="Q23" i="780"/>
  <c r="P23" i="780"/>
  <c r="AF89" i="780"/>
  <c r="AG73" i="780" s="1"/>
  <c r="N89" i="780"/>
  <c r="AE89" i="780"/>
  <c r="Q123" i="780"/>
  <c r="R107" i="780" s="1"/>
  <c r="P123" i="780"/>
  <c r="AB106" i="779"/>
  <c r="AC90" i="779" s="1"/>
  <c r="N140" i="779"/>
  <c r="AB140" i="779"/>
  <c r="AC124" i="779" s="1"/>
  <c r="AA140" i="779"/>
  <c r="P128" i="779"/>
  <c r="Q128" i="779"/>
  <c r="P89" i="779"/>
  <c r="Q89" i="779"/>
  <c r="R73" i="779" s="1"/>
  <c r="P57" i="779"/>
  <c r="Q57" i="779"/>
  <c r="N41" i="779"/>
  <c r="N6" i="779"/>
  <c r="P23" i="779"/>
  <c r="AB24" i="779"/>
  <c r="M55" i="779"/>
  <c r="P56" i="779"/>
  <c r="N60" i="779"/>
  <c r="P75" i="779"/>
  <c r="AB90" i="779"/>
  <c r="AA94" i="779"/>
  <c r="N109" i="779"/>
  <c r="N113" i="779"/>
  <c r="P127" i="779"/>
  <c r="AB128" i="779"/>
  <c r="P131" i="779"/>
  <c r="AB132" i="779"/>
  <c r="N7" i="780"/>
  <c r="AE23" i="780"/>
  <c r="AE27" i="780"/>
  <c r="N58" i="780"/>
  <c r="N62" i="780"/>
  <c r="P91" i="780"/>
  <c r="P107" i="780"/>
  <c r="M140" i="780"/>
  <c r="N5" i="779"/>
  <c r="AA7" i="779"/>
  <c r="M21" i="779"/>
  <c r="AA57" i="779"/>
  <c r="AA61" i="779"/>
  <c r="AA89" i="779"/>
  <c r="AA110" i="779"/>
  <c r="AA114" i="779"/>
  <c r="N126" i="779"/>
  <c r="N130" i="779"/>
  <c r="N134" i="779"/>
  <c r="AE8" i="780"/>
  <c r="AF23" i="780"/>
  <c r="AF27" i="780"/>
  <c r="AE59" i="780"/>
  <c r="AE63" i="780"/>
  <c r="AE123" i="780"/>
  <c r="N22" i="779"/>
  <c r="AB57" i="779"/>
  <c r="AB61" i="779"/>
  <c r="AB89" i="779"/>
  <c r="AC73" i="779" s="1"/>
  <c r="AB110" i="779"/>
  <c r="AB114" i="779"/>
  <c r="AA135" i="779"/>
  <c r="M55" i="780"/>
  <c r="N74" i="780"/>
  <c r="AE91" i="780"/>
  <c r="AF123" i="780"/>
  <c r="AG107" i="780" s="1"/>
  <c r="N126" i="780"/>
  <c r="O140" i="780"/>
  <c r="N93" i="779"/>
  <c r="N26" i="780"/>
  <c r="N75" i="780"/>
  <c r="N90" i="780"/>
  <c r="N9" i="779"/>
  <c r="N39" i="779"/>
  <c r="AA41" i="779"/>
  <c r="N59" i="779"/>
  <c r="AA93" i="779"/>
  <c r="N108" i="779"/>
  <c r="N112" i="779"/>
  <c r="N6" i="780"/>
  <c r="AF22" i="780"/>
  <c r="AE26" i="780"/>
  <c r="N57" i="780"/>
  <c r="N61" i="780"/>
  <c r="N65" i="780"/>
  <c r="N73" i="780"/>
  <c r="AE75" i="780"/>
  <c r="AA22" i="779"/>
  <c r="AA60" i="779"/>
  <c r="AE62" i="780"/>
  <c r="AB6" i="779"/>
  <c r="AB22" i="779"/>
  <c r="N43" i="779"/>
  <c r="AB60" i="779"/>
  <c r="N91" i="779"/>
  <c r="AB109" i="779"/>
  <c r="AB113" i="779"/>
  <c r="N124" i="779"/>
  <c r="AA134" i="779"/>
  <c r="AF7" i="780"/>
  <c r="N24" i="780"/>
  <c r="AE42" i="780"/>
  <c r="AF58" i="780"/>
  <c r="AF90" i="780"/>
  <c r="N125" i="780"/>
  <c r="E8" i="778"/>
  <c r="H1" i="779"/>
  <c r="AA5" i="779"/>
  <c r="N90" i="779"/>
  <c r="P125" i="779"/>
  <c r="P129" i="779"/>
  <c r="AE25" i="780"/>
  <c r="M38" i="780"/>
  <c r="P41" i="780"/>
  <c r="P45" i="780"/>
  <c r="P56" i="780"/>
  <c r="AE74" i="780"/>
  <c r="AE126" i="780"/>
  <c r="AA9" i="779"/>
  <c r="AA59" i="779"/>
  <c r="AA108" i="779"/>
  <c r="AA112" i="779"/>
  <c r="M123" i="779"/>
  <c r="AE6" i="780"/>
  <c r="M21" i="780"/>
  <c r="AA39" i="779"/>
  <c r="M106" i="780"/>
  <c r="Q75" i="776"/>
  <c r="P75" i="776"/>
  <c r="Q135" i="776"/>
  <c r="P135" i="776"/>
  <c r="AB21" i="776"/>
  <c r="AC5" i="776" s="1"/>
  <c r="P8" i="776"/>
  <c r="Q8" i="776"/>
  <c r="AB72" i="776"/>
  <c r="AC56" i="776" s="1"/>
  <c r="N72" i="776"/>
  <c r="Q124" i="777"/>
  <c r="P124" i="777"/>
  <c r="Q107" i="777"/>
  <c r="P107" i="777"/>
  <c r="Q24" i="776"/>
  <c r="P24" i="776"/>
  <c r="Q59" i="776"/>
  <c r="P59" i="776"/>
  <c r="Q127" i="776"/>
  <c r="P127" i="776"/>
  <c r="Q108" i="776"/>
  <c r="P108" i="776"/>
  <c r="Q9" i="776"/>
  <c r="P9" i="776"/>
  <c r="Q134" i="776"/>
  <c r="P134" i="776"/>
  <c r="Q132" i="776"/>
  <c r="P132" i="776"/>
  <c r="Q43" i="777"/>
  <c r="P43" i="777"/>
  <c r="Q74" i="776"/>
  <c r="P74" i="776"/>
  <c r="Q112" i="776"/>
  <c r="P112" i="776"/>
  <c r="P128" i="776"/>
  <c r="Q128" i="776"/>
  <c r="Q91" i="777"/>
  <c r="P91" i="777"/>
  <c r="AB38" i="776"/>
  <c r="AC22" i="776" s="1"/>
  <c r="AA38" i="776"/>
  <c r="N38" i="776"/>
  <c r="AA106" i="776"/>
  <c r="N106" i="776"/>
  <c r="AB106" i="776"/>
  <c r="AC90" i="776" s="1"/>
  <c r="Q130" i="776"/>
  <c r="P130" i="776"/>
  <c r="Q41" i="777"/>
  <c r="P41" i="777"/>
  <c r="Q131" i="776"/>
  <c r="P131" i="776"/>
  <c r="Q42" i="777"/>
  <c r="P42" i="777"/>
  <c r="Q22" i="777"/>
  <c r="P22" i="777"/>
  <c r="Q23" i="776"/>
  <c r="P23" i="776"/>
  <c r="Q107" i="776"/>
  <c r="P107" i="776"/>
  <c r="Q7" i="777"/>
  <c r="P7" i="777"/>
  <c r="F2" i="776"/>
  <c r="Q126" i="776"/>
  <c r="P126" i="776"/>
  <c r="N113" i="776"/>
  <c r="N8" i="777"/>
  <c r="AB7" i="776"/>
  <c r="Q22" i="776"/>
  <c r="Q93" i="776"/>
  <c r="AB6" i="776"/>
  <c r="Q40" i="776"/>
  <c r="N43" i="776"/>
  <c r="Q44" i="776"/>
  <c r="AB60" i="776"/>
  <c r="AA74" i="776"/>
  <c r="AB109" i="776"/>
  <c r="AB113" i="776"/>
  <c r="AA127" i="776"/>
  <c r="AA131" i="776"/>
  <c r="AA135" i="776"/>
  <c r="AF8" i="777"/>
  <c r="AE22" i="777"/>
  <c r="Q26" i="777"/>
  <c r="AE42" i="777"/>
  <c r="M55" i="777"/>
  <c r="AF59" i="777"/>
  <c r="AF63" i="777"/>
  <c r="K72" i="777"/>
  <c r="P108" i="777"/>
  <c r="AF109" i="777"/>
  <c r="AE124" i="777"/>
  <c r="N60" i="776"/>
  <c r="N58" i="777"/>
  <c r="N62" i="777"/>
  <c r="M89" i="777"/>
  <c r="E8" i="775"/>
  <c r="H1" i="776"/>
  <c r="AA5" i="776"/>
  <c r="AA40" i="776"/>
  <c r="AA44" i="776"/>
  <c r="N58" i="776"/>
  <c r="N62" i="776"/>
  <c r="AB74" i="776"/>
  <c r="N90" i="776"/>
  <c r="N111" i="776"/>
  <c r="AB127" i="776"/>
  <c r="AB131" i="776"/>
  <c r="AB135" i="776"/>
  <c r="N6" i="777"/>
  <c r="AF22" i="777"/>
  <c r="M38" i="777"/>
  <c r="AF42" i="777"/>
  <c r="N57" i="777"/>
  <c r="N61" i="777"/>
  <c r="AF124" i="777"/>
  <c r="M140" i="777"/>
  <c r="Q41" i="776"/>
  <c r="N39" i="776"/>
  <c r="AB5" i="776"/>
  <c r="AA9" i="776"/>
  <c r="AA59" i="776"/>
  <c r="AA108" i="776"/>
  <c r="AA112" i="776"/>
  <c r="AE7" i="777"/>
  <c r="M72" i="777"/>
  <c r="AB9" i="776"/>
  <c r="AA39" i="776"/>
  <c r="AB59" i="776"/>
  <c r="AB108" i="776"/>
  <c r="AF7" i="777"/>
  <c r="N7" i="776"/>
  <c r="N57" i="776"/>
  <c r="N61" i="776"/>
  <c r="AA107" i="776"/>
  <c r="N110" i="776"/>
  <c r="P125" i="776"/>
  <c r="AB126" i="776"/>
  <c r="P129" i="776"/>
  <c r="AB130" i="776"/>
  <c r="P133" i="776"/>
  <c r="AB134" i="776"/>
  <c r="P5" i="777"/>
  <c r="P40" i="777"/>
  <c r="AF41" i="777"/>
  <c r="P44" i="777"/>
  <c r="P56" i="777"/>
  <c r="N60" i="777"/>
  <c r="N64" i="777"/>
  <c r="N73" i="777"/>
  <c r="AF91" i="777"/>
  <c r="AE107" i="777"/>
  <c r="N109" i="776"/>
  <c r="M89" i="776"/>
  <c r="AB112" i="776"/>
  <c r="N56" i="776"/>
  <c r="AB107" i="776"/>
  <c r="M123" i="776"/>
  <c r="M21" i="777"/>
  <c r="AF107" i="777"/>
  <c r="M123" i="777"/>
  <c r="N6" i="776"/>
  <c r="N59" i="777"/>
  <c r="N63" i="777"/>
  <c r="N109" i="777"/>
  <c r="N5" i="776"/>
  <c r="P23" i="777"/>
  <c r="P27" i="777"/>
  <c r="AE60" i="777"/>
  <c r="AE64" i="777"/>
  <c r="P125" i="777"/>
  <c r="AE73" i="777"/>
  <c r="M106" i="777"/>
  <c r="AB56" i="776"/>
  <c r="AD140" i="774"/>
  <c r="AC140" i="774"/>
  <c r="Z140" i="774"/>
  <c r="Y140" i="774"/>
  <c r="L140" i="774"/>
  <c r="O140" i="774" s="1"/>
  <c r="K140" i="774"/>
  <c r="J140" i="774"/>
  <c r="I140" i="774"/>
  <c r="O126" i="774"/>
  <c r="M126" i="774"/>
  <c r="AF126" i="774" s="1"/>
  <c r="K126" i="774"/>
  <c r="G126" i="774"/>
  <c r="AF125" i="774"/>
  <c r="AE125" i="774"/>
  <c r="O125" i="774"/>
  <c r="N125" i="774"/>
  <c r="Q125" i="774" s="1"/>
  <c r="M125" i="774"/>
  <c r="K125" i="774"/>
  <c r="G125" i="774"/>
  <c r="O124" i="774"/>
  <c r="M124" i="774"/>
  <c r="N124" i="774" s="1"/>
  <c r="K124" i="774"/>
  <c r="G124" i="774"/>
  <c r="AD123" i="774"/>
  <c r="AC123" i="774"/>
  <c r="Z123" i="774"/>
  <c r="Y123" i="774"/>
  <c r="L123" i="774"/>
  <c r="O123" i="774" s="1"/>
  <c r="J123" i="774"/>
  <c r="K123" i="774" s="1"/>
  <c r="I123" i="774"/>
  <c r="O109" i="774"/>
  <c r="M109" i="774"/>
  <c r="AE109" i="774" s="1"/>
  <c r="K109" i="774"/>
  <c r="G109" i="774"/>
  <c r="AE108" i="774"/>
  <c r="Q108" i="774"/>
  <c r="O108" i="774"/>
  <c r="N108" i="774"/>
  <c r="M108" i="774"/>
  <c r="AF108" i="774" s="1"/>
  <c r="K108" i="774"/>
  <c r="P108" i="774" s="1"/>
  <c r="G108" i="774"/>
  <c r="O107" i="774"/>
  <c r="M107" i="774"/>
  <c r="K107" i="774"/>
  <c r="G107" i="774"/>
  <c r="AD106" i="774"/>
  <c r="AC106" i="774"/>
  <c r="Z106" i="774"/>
  <c r="Y106" i="774"/>
  <c r="L106" i="774"/>
  <c r="O106" i="774" s="1"/>
  <c r="J106" i="774"/>
  <c r="K106" i="774" s="1"/>
  <c r="I106" i="774"/>
  <c r="O91" i="774"/>
  <c r="N91" i="774"/>
  <c r="Q91" i="774" s="1"/>
  <c r="M91" i="774"/>
  <c r="AE91" i="774" s="1"/>
  <c r="K91" i="774"/>
  <c r="G91" i="774"/>
  <c r="AF90" i="774"/>
  <c r="O90" i="774"/>
  <c r="M90" i="774"/>
  <c r="M106" i="774" s="1"/>
  <c r="K90" i="774"/>
  <c r="G90" i="774"/>
  <c r="AD89" i="774"/>
  <c r="AC89" i="774"/>
  <c r="Z89" i="774"/>
  <c r="Z2" i="774" s="1"/>
  <c r="P6" i="772" s="1"/>
  <c r="Y89" i="774"/>
  <c r="L89" i="774"/>
  <c r="O89" i="774" s="1"/>
  <c r="J89" i="774"/>
  <c r="I89" i="774"/>
  <c r="O75" i="774"/>
  <c r="M75" i="774"/>
  <c r="AF75" i="774" s="1"/>
  <c r="K75" i="774"/>
  <c r="G75" i="774"/>
  <c r="AF74" i="774"/>
  <c r="O74" i="774"/>
  <c r="M74" i="774"/>
  <c r="AE74" i="774" s="1"/>
  <c r="K74" i="774"/>
  <c r="G74" i="774"/>
  <c r="O73" i="774"/>
  <c r="M73" i="774"/>
  <c r="M89" i="774" s="1"/>
  <c r="K73" i="774"/>
  <c r="G73" i="774"/>
  <c r="AD72" i="774"/>
  <c r="AC72" i="774"/>
  <c r="Z72" i="774"/>
  <c r="Y72" i="774"/>
  <c r="L72" i="774"/>
  <c r="J72" i="774"/>
  <c r="I72" i="774"/>
  <c r="AF64" i="774"/>
  <c r="O64" i="774"/>
  <c r="N64" i="774"/>
  <c r="Q64" i="774" s="1"/>
  <c r="M64" i="774"/>
  <c r="AE64" i="774" s="1"/>
  <c r="K64" i="774"/>
  <c r="G64" i="774"/>
  <c r="O63" i="774"/>
  <c r="M63" i="774"/>
  <c r="AE63" i="774" s="1"/>
  <c r="K63" i="774"/>
  <c r="G63" i="774"/>
  <c r="AE62" i="774"/>
  <c r="Q62" i="774"/>
  <c r="O62" i="774"/>
  <c r="N62" i="774"/>
  <c r="P62" i="774" s="1"/>
  <c r="M62" i="774"/>
  <c r="AF62" i="774" s="1"/>
  <c r="K62" i="774"/>
  <c r="G62" i="774"/>
  <c r="O61" i="774"/>
  <c r="M61" i="774"/>
  <c r="AE61" i="774" s="1"/>
  <c r="K61" i="774"/>
  <c r="G61" i="774"/>
  <c r="O60" i="774"/>
  <c r="M60" i="774"/>
  <c r="AF60" i="774" s="1"/>
  <c r="K60" i="774"/>
  <c r="G60" i="774"/>
  <c r="O59" i="774"/>
  <c r="M59" i="774"/>
  <c r="AE59" i="774" s="1"/>
  <c r="K59" i="774"/>
  <c r="G59" i="774"/>
  <c r="O58" i="774"/>
  <c r="N58" i="774"/>
  <c r="P58" i="774" s="1"/>
  <c r="M58" i="774"/>
  <c r="AF58" i="774" s="1"/>
  <c r="K58" i="774"/>
  <c r="G58" i="774"/>
  <c r="AF57" i="774"/>
  <c r="O57" i="774"/>
  <c r="M57" i="774"/>
  <c r="AE57" i="774" s="1"/>
  <c r="K57" i="774"/>
  <c r="G57" i="774"/>
  <c r="O56" i="774"/>
  <c r="M56" i="774"/>
  <c r="AF56" i="774" s="1"/>
  <c r="K56" i="774"/>
  <c r="G56" i="774"/>
  <c r="AD55" i="774"/>
  <c r="AC55" i="774"/>
  <c r="Z55" i="774"/>
  <c r="Y55" i="774"/>
  <c r="L55" i="774"/>
  <c r="J55" i="774"/>
  <c r="I55" i="774"/>
  <c r="O55" i="774" s="1"/>
  <c r="O44" i="774"/>
  <c r="M44" i="774"/>
  <c r="AF44" i="774" s="1"/>
  <c r="K44" i="774"/>
  <c r="G44" i="774"/>
  <c r="O43" i="774"/>
  <c r="M43" i="774"/>
  <c r="N43" i="774" s="1"/>
  <c r="K43" i="774"/>
  <c r="G43" i="774"/>
  <c r="AF42" i="774"/>
  <c r="AE42" i="774"/>
  <c r="O42" i="774"/>
  <c r="N42" i="774"/>
  <c r="Q42" i="774" s="1"/>
  <c r="M42" i="774"/>
  <c r="K42" i="774"/>
  <c r="G42" i="774"/>
  <c r="O41" i="774"/>
  <c r="M41" i="774"/>
  <c r="AF41" i="774" s="1"/>
  <c r="K41" i="774"/>
  <c r="G41" i="774"/>
  <c r="O40" i="774"/>
  <c r="M40" i="774"/>
  <c r="AF40" i="774" s="1"/>
  <c r="K40" i="774"/>
  <c r="G40" i="774"/>
  <c r="O39" i="774"/>
  <c r="M39" i="774"/>
  <c r="AF39" i="774" s="1"/>
  <c r="K39" i="774"/>
  <c r="G39" i="774"/>
  <c r="AD38" i="774"/>
  <c r="AC38" i="774"/>
  <c r="Z38" i="774"/>
  <c r="Y38" i="774"/>
  <c r="L38" i="774"/>
  <c r="J38" i="774"/>
  <c r="K38" i="774" s="1"/>
  <c r="I38" i="774"/>
  <c r="O28" i="774"/>
  <c r="M28" i="774"/>
  <c r="AF28" i="774" s="1"/>
  <c r="K28" i="774"/>
  <c r="G28" i="774"/>
  <c r="O27" i="774"/>
  <c r="M27" i="774"/>
  <c r="AF27" i="774" s="1"/>
  <c r="K27" i="774"/>
  <c r="G27" i="774"/>
  <c r="AE26" i="774"/>
  <c r="O26" i="774"/>
  <c r="M26" i="774"/>
  <c r="N26" i="774" s="1"/>
  <c r="K26" i="774"/>
  <c r="G26" i="774"/>
  <c r="O25" i="774"/>
  <c r="M25" i="774"/>
  <c r="AF25" i="774" s="1"/>
  <c r="K25" i="774"/>
  <c r="G25" i="774"/>
  <c r="O24" i="774"/>
  <c r="M24" i="774"/>
  <c r="AF24" i="774" s="1"/>
  <c r="K24" i="774"/>
  <c r="G24" i="774"/>
  <c r="O23" i="774"/>
  <c r="M23" i="774"/>
  <c r="AF23" i="774" s="1"/>
  <c r="K23" i="774"/>
  <c r="G23" i="774"/>
  <c r="AF22" i="774"/>
  <c r="O22" i="774"/>
  <c r="M22" i="774"/>
  <c r="N22" i="774" s="1"/>
  <c r="K22" i="774"/>
  <c r="G22" i="774"/>
  <c r="AD21" i="774"/>
  <c r="AC21" i="774"/>
  <c r="Z21" i="774"/>
  <c r="Y21" i="774"/>
  <c r="L21" i="774"/>
  <c r="O21" i="774" s="1"/>
  <c r="J21" i="774"/>
  <c r="K21" i="774" s="1"/>
  <c r="I21" i="774"/>
  <c r="O8" i="774"/>
  <c r="M8" i="774"/>
  <c r="AE8" i="774" s="1"/>
  <c r="K8" i="774"/>
  <c r="G8" i="774"/>
  <c r="AE7" i="774"/>
  <c r="Q7" i="774"/>
  <c r="O7" i="774"/>
  <c r="N7" i="774"/>
  <c r="P7" i="774" s="1"/>
  <c r="M7" i="774"/>
  <c r="AF7" i="774" s="1"/>
  <c r="K7" i="774"/>
  <c r="G7" i="774"/>
  <c r="O6" i="774"/>
  <c r="M6" i="774"/>
  <c r="AE6" i="774" s="1"/>
  <c r="K6" i="774"/>
  <c r="G6" i="774"/>
  <c r="O5" i="774"/>
  <c r="M5" i="774"/>
  <c r="AF5" i="774" s="1"/>
  <c r="K5" i="774"/>
  <c r="G5" i="774"/>
  <c r="H2" i="774"/>
  <c r="D1" i="774"/>
  <c r="L140" i="773"/>
  <c r="O140" i="773" s="1"/>
  <c r="J140" i="773"/>
  <c r="I140" i="773"/>
  <c r="K140" i="773" s="1"/>
  <c r="AB134" i="773"/>
  <c r="O134" i="773"/>
  <c r="M134" i="773"/>
  <c r="AA134" i="773" s="1"/>
  <c r="K134" i="773"/>
  <c r="G134" i="773"/>
  <c r="O133" i="773"/>
  <c r="M133" i="773"/>
  <c r="AB133" i="773" s="1"/>
  <c r="K133" i="773"/>
  <c r="G133" i="773"/>
  <c r="O132" i="773"/>
  <c r="M132" i="773"/>
  <c r="AB132" i="773" s="1"/>
  <c r="K132" i="773"/>
  <c r="G132" i="773"/>
  <c r="O131" i="773"/>
  <c r="M131" i="773"/>
  <c r="AB131" i="773" s="1"/>
  <c r="K131" i="773"/>
  <c r="G131" i="773"/>
  <c r="AB130" i="773"/>
  <c r="O130" i="773"/>
  <c r="N130" i="773"/>
  <c r="M130" i="773"/>
  <c r="AA130" i="773" s="1"/>
  <c r="K130" i="773"/>
  <c r="G130" i="773"/>
  <c r="O129" i="773"/>
  <c r="N129" i="773"/>
  <c r="Q129" i="773" s="1"/>
  <c r="M129" i="773"/>
  <c r="AB129" i="773" s="1"/>
  <c r="K129" i="773"/>
  <c r="G129" i="773"/>
  <c r="O128" i="773"/>
  <c r="M128" i="773"/>
  <c r="AB128" i="773" s="1"/>
  <c r="K128" i="773"/>
  <c r="G128" i="773"/>
  <c r="O127" i="773"/>
  <c r="M127" i="773"/>
  <c r="AB127" i="773" s="1"/>
  <c r="K127" i="773"/>
  <c r="G127" i="773"/>
  <c r="O126" i="773"/>
  <c r="M126" i="773"/>
  <c r="AA126" i="773" s="1"/>
  <c r="K126" i="773"/>
  <c r="G126" i="773"/>
  <c r="O125" i="773"/>
  <c r="M125" i="773"/>
  <c r="AB125" i="773" s="1"/>
  <c r="K125" i="773"/>
  <c r="G125" i="773"/>
  <c r="O124" i="773"/>
  <c r="M124" i="773"/>
  <c r="AA124" i="773" s="1"/>
  <c r="K124" i="773"/>
  <c r="G124" i="773"/>
  <c r="L123" i="773"/>
  <c r="O123" i="773" s="1"/>
  <c r="J123" i="773"/>
  <c r="K123" i="773" s="1"/>
  <c r="I123" i="773"/>
  <c r="O112" i="773"/>
  <c r="M112" i="773"/>
  <c r="AB112" i="773" s="1"/>
  <c r="K112" i="773"/>
  <c r="G112" i="773"/>
  <c r="O111" i="773"/>
  <c r="M111" i="773"/>
  <c r="AA111" i="773" s="1"/>
  <c r="K111" i="773"/>
  <c r="G111" i="773"/>
  <c r="O110" i="773"/>
  <c r="M110" i="773"/>
  <c r="AB110" i="773" s="1"/>
  <c r="K110" i="773"/>
  <c r="G110" i="773"/>
  <c r="AB109" i="773"/>
  <c r="AA109" i="773"/>
  <c r="O109" i="773"/>
  <c r="M109" i="773"/>
  <c r="N109" i="773" s="1"/>
  <c r="Q109" i="773" s="1"/>
  <c r="K109" i="773"/>
  <c r="G109" i="773"/>
  <c r="AA108" i="773"/>
  <c r="O108" i="773"/>
  <c r="M108" i="773"/>
  <c r="AB108" i="773" s="1"/>
  <c r="K108" i="773"/>
  <c r="G108" i="773"/>
  <c r="O107" i="773"/>
  <c r="M107" i="773"/>
  <c r="AB107" i="773" s="1"/>
  <c r="K107" i="773"/>
  <c r="G107" i="773"/>
  <c r="L106" i="773"/>
  <c r="O106" i="773" s="1"/>
  <c r="J106" i="773"/>
  <c r="K106" i="773" s="1"/>
  <c r="I106" i="773"/>
  <c r="O94" i="773"/>
  <c r="M94" i="773"/>
  <c r="N94" i="773" s="1"/>
  <c r="K94" i="773"/>
  <c r="G94" i="773"/>
  <c r="O93" i="773"/>
  <c r="M93" i="773"/>
  <c r="AB93" i="773" s="1"/>
  <c r="K93" i="773"/>
  <c r="G93" i="773"/>
  <c r="O92" i="773"/>
  <c r="M92" i="773"/>
  <c r="AB92" i="773" s="1"/>
  <c r="K92" i="773"/>
  <c r="G92" i="773"/>
  <c r="O91" i="773"/>
  <c r="N91" i="773"/>
  <c r="Q91" i="773" s="1"/>
  <c r="M91" i="773"/>
  <c r="AA91" i="773" s="1"/>
  <c r="K91" i="773"/>
  <c r="G91" i="773"/>
  <c r="AB90" i="773"/>
  <c r="O90" i="773"/>
  <c r="M90" i="773"/>
  <c r="K90" i="773"/>
  <c r="G90" i="773"/>
  <c r="L89" i="773"/>
  <c r="O89" i="773" s="1"/>
  <c r="J89" i="773"/>
  <c r="I89" i="773"/>
  <c r="O75" i="773"/>
  <c r="M75" i="773"/>
  <c r="AB75" i="773" s="1"/>
  <c r="K75" i="773"/>
  <c r="G75" i="773"/>
  <c r="O74" i="773"/>
  <c r="M74" i="773"/>
  <c r="AB74" i="773" s="1"/>
  <c r="K74" i="773"/>
  <c r="G74" i="773"/>
  <c r="AA73" i="773"/>
  <c r="O73" i="773"/>
  <c r="M73" i="773"/>
  <c r="K73" i="773"/>
  <c r="G73" i="773"/>
  <c r="L72" i="773"/>
  <c r="J72" i="773"/>
  <c r="K72" i="773" s="1"/>
  <c r="I72" i="773"/>
  <c r="O62" i="773"/>
  <c r="M62" i="773"/>
  <c r="AA62" i="773" s="1"/>
  <c r="K62" i="773"/>
  <c r="G62" i="773"/>
  <c r="O61" i="773"/>
  <c r="M61" i="773"/>
  <c r="N61" i="773" s="1"/>
  <c r="K61" i="773"/>
  <c r="G61" i="773"/>
  <c r="AB60" i="773"/>
  <c r="O60" i="773"/>
  <c r="N60" i="773"/>
  <c r="Q60" i="773" s="1"/>
  <c r="M60" i="773"/>
  <c r="AA60" i="773" s="1"/>
  <c r="K60" i="773"/>
  <c r="G60" i="773"/>
  <c r="O59" i="773"/>
  <c r="N59" i="773"/>
  <c r="Q59" i="773" s="1"/>
  <c r="M59" i="773"/>
  <c r="AB59" i="773" s="1"/>
  <c r="K59" i="773"/>
  <c r="G59" i="773"/>
  <c r="O58" i="773"/>
  <c r="M58" i="773"/>
  <c r="AA58" i="773" s="1"/>
  <c r="K58" i="773"/>
  <c r="G58" i="773"/>
  <c r="AA57" i="773"/>
  <c r="O57" i="773"/>
  <c r="M57" i="773"/>
  <c r="N57" i="773" s="1"/>
  <c r="K57" i="773"/>
  <c r="G57" i="773"/>
  <c r="O56" i="773"/>
  <c r="M56" i="773"/>
  <c r="K56" i="773"/>
  <c r="G56" i="773"/>
  <c r="M55" i="773"/>
  <c r="AB55" i="773" s="1"/>
  <c r="AC39" i="773" s="1"/>
  <c r="L55" i="773"/>
  <c r="J55" i="773"/>
  <c r="K55" i="773" s="1"/>
  <c r="I55" i="773"/>
  <c r="O44" i="773"/>
  <c r="M44" i="773"/>
  <c r="AB44" i="773" s="1"/>
  <c r="K44" i="773"/>
  <c r="G44" i="773"/>
  <c r="AA43" i="773"/>
  <c r="O43" i="773"/>
  <c r="M43" i="773"/>
  <c r="AB43" i="773" s="1"/>
  <c r="K43" i="773"/>
  <c r="G43" i="773"/>
  <c r="O42" i="773"/>
  <c r="M42" i="773"/>
  <c r="N42" i="773" s="1"/>
  <c r="K42" i="773"/>
  <c r="G42" i="773"/>
  <c r="O41" i="773"/>
  <c r="M41" i="773"/>
  <c r="AB41" i="773" s="1"/>
  <c r="K41" i="773"/>
  <c r="G41" i="773"/>
  <c r="O40" i="773"/>
  <c r="M40" i="773"/>
  <c r="AB40" i="773" s="1"/>
  <c r="K40" i="773"/>
  <c r="G40" i="773"/>
  <c r="AB39" i="773"/>
  <c r="AA39" i="773"/>
  <c r="O39" i="773"/>
  <c r="N39" i="773"/>
  <c r="Q39" i="773" s="1"/>
  <c r="M39" i="773"/>
  <c r="K39" i="773"/>
  <c r="G39" i="773"/>
  <c r="L38" i="773"/>
  <c r="J38" i="773"/>
  <c r="I38" i="773"/>
  <c r="O38" i="773" s="1"/>
  <c r="AA24" i="773"/>
  <c r="O24" i="773"/>
  <c r="N24" i="773"/>
  <c r="Q24" i="773" s="1"/>
  <c r="M24" i="773"/>
  <c r="AB24" i="773" s="1"/>
  <c r="K24" i="773"/>
  <c r="G24" i="773"/>
  <c r="O23" i="773"/>
  <c r="N23" i="773"/>
  <c r="Q23" i="773" s="1"/>
  <c r="M23" i="773"/>
  <c r="AB23" i="773" s="1"/>
  <c r="K23" i="773"/>
  <c r="G23" i="773"/>
  <c r="AB22" i="773"/>
  <c r="O22" i="773"/>
  <c r="M22" i="773"/>
  <c r="AA22" i="773" s="1"/>
  <c r="K22" i="773"/>
  <c r="G22" i="773"/>
  <c r="L21" i="773"/>
  <c r="J21" i="773"/>
  <c r="I21" i="773"/>
  <c r="AA9" i="773"/>
  <c r="O9" i="773"/>
  <c r="M9" i="773"/>
  <c r="AB9" i="773" s="1"/>
  <c r="K9" i="773"/>
  <c r="G9" i="773"/>
  <c r="O8" i="773"/>
  <c r="M8" i="773"/>
  <c r="AA8" i="773" s="1"/>
  <c r="K8" i="773"/>
  <c r="G8" i="773"/>
  <c r="AA7" i="773"/>
  <c r="Q7" i="773"/>
  <c r="O7" i="773"/>
  <c r="N7" i="773"/>
  <c r="P7" i="773" s="1"/>
  <c r="M7" i="773"/>
  <c r="AB7" i="773" s="1"/>
  <c r="K7" i="773"/>
  <c r="G7" i="773"/>
  <c r="O6" i="773"/>
  <c r="M6" i="773"/>
  <c r="AA6" i="773" s="1"/>
  <c r="K6" i="773"/>
  <c r="G6" i="773"/>
  <c r="O5" i="773"/>
  <c r="M5" i="773"/>
  <c r="AB5" i="773" s="1"/>
  <c r="K5" i="773"/>
  <c r="G5" i="773"/>
  <c r="H2" i="773"/>
  <c r="D1" i="773"/>
  <c r="F3" i="772" s="1"/>
  <c r="X34" i="772"/>
  <c r="W34" i="772"/>
  <c r="V34" i="772"/>
  <c r="P34" i="772"/>
  <c r="O34" i="772"/>
  <c r="N34" i="772"/>
  <c r="M34" i="772"/>
  <c r="G34" i="772"/>
  <c r="N16" i="772"/>
  <c r="M16" i="772"/>
  <c r="J16" i="772"/>
  <c r="I16" i="772"/>
  <c r="H16" i="772"/>
  <c r="G16" i="772"/>
  <c r="F16" i="772"/>
  <c r="E16" i="772"/>
  <c r="K8" i="772"/>
  <c r="F8" i="772"/>
  <c r="M7" i="772"/>
  <c r="K7" i="772"/>
  <c r="I7" i="772"/>
  <c r="G7" i="772"/>
  <c r="F7" i="772"/>
  <c r="E7" i="772"/>
  <c r="M6" i="772"/>
  <c r="K6" i="772"/>
  <c r="I6" i="772"/>
  <c r="G6" i="772"/>
  <c r="F6" i="772"/>
  <c r="E6" i="772"/>
  <c r="AD140" i="771"/>
  <c r="AC140" i="771"/>
  <c r="Z140" i="771"/>
  <c r="Y140" i="771"/>
  <c r="L140" i="771"/>
  <c r="J140" i="771"/>
  <c r="I140" i="771"/>
  <c r="O126" i="771"/>
  <c r="M126" i="771"/>
  <c r="AF126" i="771" s="1"/>
  <c r="K126" i="771"/>
  <c r="G126" i="771"/>
  <c r="O125" i="771"/>
  <c r="M125" i="771"/>
  <c r="AF125" i="771" s="1"/>
  <c r="K125" i="771"/>
  <c r="G125" i="771"/>
  <c r="O124" i="771"/>
  <c r="N124" i="771"/>
  <c r="M124" i="771"/>
  <c r="AF124" i="771" s="1"/>
  <c r="K124" i="771"/>
  <c r="G124" i="771"/>
  <c r="AD123" i="771"/>
  <c r="AC123" i="771"/>
  <c r="Z123" i="771"/>
  <c r="Y123" i="771"/>
  <c r="L123" i="771"/>
  <c r="O123" i="771" s="1"/>
  <c r="J123" i="771"/>
  <c r="I123" i="771"/>
  <c r="AF109" i="771"/>
  <c r="O109" i="771"/>
  <c r="N109" i="771"/>
  <c r="M109" i="771"/>
  <c r="AE109" i="771" s="1"/>
  <c r="K109" i="771"/>
  <c r="G109" i="771"/>
  <c r="O108" i="771"/>
  <c r="M108" i="771"/>
  <c r="N108" i="771" s="1"/>
  <c r="K108" i="771"/>
  <c r="G108" i="771"/>
  <c r="AF107" i="771"/>
  <c r="AE107" i="771"/>
  <c r="O107" i="771"/>
  <c r="M107" i="771"/>
  <c r="N107" i="771" s="1"/>
  <c r="K107" i="771"/>
  <c r="G107" i="771"/>
  <c r="AD106" i="771"/>
  <c r="AC106" i="771"/>
  <c r="Z106" i="771"/>
  <c r="Y106" i="771"/>
  <c r="L106" i="771"/>
  <c r="O106" i="771" s="1"/>
  <c r="J106" i="771"/>
  <c r="K106" i="771" s="1"/>
  <c r="I106" i="771"/>
  <c r="O91" i="771"/>
  <c r="M91" i="771"/>
  <c r="N91" i="771" s="1"/>
  <c r="K91" i="771"/>
  <c r="G91" i="771"/>
  <c r="O90" i="771"/>
  <c r="M90" i="771"/>
  <c r="AE90" i="771" s="1"/>
  <c r="K90" i="771"/>
  <c r="G90" i="771"/>
  <c r="AD89" i="771"/>
  <c r="AD2" i="771" s="1"/>
  <c r="R6" i="769" s="1"/>
  <c r="AC89" i="771"/>
  <c r="Z89" i="771"/>
  <c r="Y89" i="771"/>
  <c r="O89" i="771"/>
  <c r="L89" i="771"/>
  <c r="K89" i="771"/>
  <c r="J89" i="771"/>
  <c r="I89" i="771"/>
  <c r="AF75" i="771"/>
  <c r="O75" i="771"/>
  <c r="N75" i="771"/>
  <c r="Q75" i="771" s="1"/>
  <c r="M75" i="771"/>
  <c r="AE75" i="771" s="1"/>
  <c r="K75" i="771"/>
  <c r="G75" i="771"/>
  <c r="O74" i="771"/>
  <c r="M74" i="771"/>
  <c r="AF74" i="771" s="1"/>
  <c r="K74" i="771"/>
  <c r="G74" i="771"/>
  <c r="O73" i="771"/>
  <c r="M73" i="771"/>
  <c r="M89" i="771" s="1"/>
  <c r="K73" i="771"/>
  <c r="G73" i="771"/>
  <c r="AD72" i="771"/>
  <c r="AC72" i="771"/>
  <c r="Z72" i="771"/>
  <c r="Y72" i="771"/>
  <c r="L72" i="771"/>
  <c r="J72" i="771"/>
  <c r="K72" i="771" s="1"/>
  <c r="I72" i="771"/>
  <c r="O65" i="771"/>
  <c r="M65" i="771"/>
  <c r="AF65" i="771" s="1"/>
  <c r="K65" i="771"/>
  <c r="G65" i="771"/>
  <c r="AF64" i="771"/>
  <c r="O64" i="771"/>
  <c r="M64" i="771"/>
  <c r="AE64" i="771" s="1"/>
  <c r="K64" i="771"/>
  <c r="G64" i="771"/>
  <c r="AE63" i="771"/>
  <c r="O63" i="771"/>
  <c r="M63" i="771"/>
  <c r="N63" i="771" s="1"/>
  <c r="K63" i="771"/>
  <c r="G63" i="771"/>
  <c r="O62" i="771"/>
  <c r="M62" i="771"/>
  <c r="AF62" i="771" s="1"/>
  <c r="K62" i="771"/>
  <c r="G62" i="771"/>
  <c r="O61" i="771"/>
  <c r="M61" i="771"/>
  <c r="AF61" i="771" s="1"/>
  <c r="K61" i="771"/>
  <c r="G61" i="771"/>
  <c r="AF60" i="771"/>
  <c r="O60" i="771"/>
  <c r="N60" i="771"/>
  <c r="Q60" i="771" s="1"/>
  <c r="M60" i="771"/>
  <c r="AE60" i="771" s="1"/>
  <c r="K60" i="771"/>
  <c r="G60" i="771"/>
  <c r="AE59" i="771"/>
  <c r="O59" i="771"/>
  <c r="M59" i="771"/>
  <c r="N59" i="771" s="1"/>
  <c r="K59" i="771"/>
  <c r="G59" i="771"/>
  <c r="O58" i="771"/>
  <c r="M58" i="771"/>
  <c r="AF58" i="771" s="1"/>
  <c r="K58" i="771"/>
  <c r="G58" i="771"/>
  <c r="AE57" i="771"/>
  <c r="O57" i="771"/>
  <c r="M57" i="771"/>
  <c r="AF57" i="771" s="1"/>
  <c r="K57" i="771"/>
  <c r="G57" i="771"/>
  <c r="O56" i="771"/>
  <c r="M56" i="771"/>
  <c r="AF56" i="771" s="1"/>
  <c r="K56" i="771"/>
  <c r="G56" i="771"/>
  <c r="AD55" i="771"/>
  <c r="AC55" i="771"/>
  <c r="Z55" i="771"/>
  <c r="Y55" i="771"/>
  <c r="L55" i="771"/>
  <c r="J55" i="771"/>
  <c r="K55" i="771" s="1"/>
  <c r="I55" i="771"/>
  <c r="O44" i="771"/>
  <c r="M44" i="771"/>
  <c r="AF44" i="771" s="1"/>
  <c r="K44" i="771"/>
  <c r="G44" i="771"/>
  <c r="AF43" i="771"/>
  <c r="O43" i="771"/>
  <c r="N43" i="771"/>
  <c r="Q43" i="771" s="1"/>
  <c r="M43" i="771"/>
  <c r="AE43" i="771" s="1"/>
  <c r="K43" i="771"/>
  <c r="G43" i="771"/>
  <c r="AE42" i="771"/>
  <c r="O42" i="771"/>
  <c r="M42" i="771"/>
  <c r="N42" i="771" s="1"/>
  <c r="K42" i="771"/>
  <c r="G42" i="771"/>
  <c r="O41" i="771"/>
  <c r="M41" i="771"/>
  <c r="AF41" i="771" s="1"/>
  <c r="K41" i="771"/>
  <c r="G41" i="771"/>
  <c r="O40" i="771"/>
  <c r="M40" i="771"/>
  <c r="AF40" i="771" s="1"/>
  <c r="K40" i="771"/>
  <c r="G40" i="771"/>
  <c r="O39" i="771"/>
  <c r="M39" i="771"/>
  <c r="AE39" i="771" s="1"/>
  <c r="K39" i="771"/>
  <c r="G39" i="771"/>
  <c r="AD38" i="771"/>
  <c r="AC38" i="771"/>
  <c r="Z38" i="771"/>
  <c r="Y38" i="771"/>
  <c r="L38" i="771"/>
  <c r="J38" i="771"/>
  <c r="K38" i="771" s="1"/>
  <c r="I38" i="771"/>
  <c r="O28" i="771"/>
  <c r="M28" i="771"/>
  <c r="AF28" i="771" s="1"/>
  <c r="K28" i="771"/>
  <c r="G28" i="771"/>
  <c r="O27" i="771"/>
  <c r="M27" i="771"/>
  <c r="N27" i="771" s="1"/>
  <c r="K27" i="771"/>
  <c r="G27" i="771"/>
  <c r="AF26" i="771"/>
  <c r="AE26" i="771"/>
  <c r="Q26" i="771"/>
  <c r="P26" i="771"/>
  <c r="O26" i="771"/>
  <c r="N26" i="771"/>
  <c r="M26" i="771"/>
  <c r="K26" i="771"/>
  <c r="G26" i="771"/>
  <c r="O25" i="771"/>
  <c r="M25" i="771"/>
  <c r="AF25" i="771" s="1"/>
  <c r="K25" i="771"/>
  <c r="G25" i="771"/>
  <c r="O24" i="771"/>
  <c r="M24" i="771"/>
  <c r="AF24" i="771" s="1"/>
  <c r="K24" i="771"/>
  <c r="G24" i="771"/>
  <c r="AF23" i="771"/>
  <c r="O23" i="771"/>
  <c r="M23" i="771"/>
  <c r="N23" i="771" s="1"/>
  <c r="K23" i="771"/>
  <c r="G23" i="771"/>
  <c r="AF22" i="771"/>
  <c r="AE22" i="771"/>
  <c r="O22" i="771"/>
  <c r="M22" i="771"/>
  <c r="N22" i="771" s="1"/>
  <c r="K22" i="771"/>
  <c r="G22" i="771"/>
  <c r="AD21" i="771"/>
  <c r="AC21" i="771"/>
  <c r="Z21" i="771"/>
  <c r="Y21" i="771"/>
  <c r="L21" i="771"/>
  <c r="O21" i="771" s="1"/>
  <c r="J21" i="771"/>
  <c r="K21" i="771" s="1"/>
  <c r="I21" i="771"/>
  <c r="AE8" i="771"/>
  <c r="O8" i="771"/>
  <c r="M8" i="771"/>
  <c r="N8" i="771" s="1"/>
  <c r="K8" i="771"/>
  <c r="G8" i="771"/>
  <c r="P7" i="771"/>
  <c r="O7" i="771"/>
  <c r="N7" i="771"/>
  <c r="Q7" i="771" s="1"/>
  <c r="M7" i="771"/>
  <c r="AF7" i="771" s="1"/>
  <c r="K7" i="771"/>
  <c r="G7" i="771"/>
  <c r="O6" i="771"/>
  <c r="M6" i="771"/>
  <c r="AF6" i="771" s="1"/>
  <c r="K6" i="771"/>
  <c r="G6" i="771"/>
  <c r="O5" i="771"/>
  <c r="M5" i="771"/>
  <c r="AF5" i="771" s="1"/>
  <c r="K5" i="771"/>
  <c r="G5" i="771"/>
  <c r="AC2" i="771"/>
  <c r="Q6" i="769" s="1"/>
  <c r="H2" i="771"/>
  <c r="D1" i="771"/>
  <c r="L140" i="770"/>
  <c r="O140" i="770" s="1"/>
  <c r="K140" i="770"/>
  <c r="J140" i="770"/>
  <c r="I140" i="770"/>
  <c r="O135" i="770"/>
  <c r="M135" i="770"/>
  <c r="N135" i="770" s="1"/>
  <c r="K135" i="770"/>
  <c r="G135" i="770"/>
  <c r="O134" i="770"/>
  <c r="N134" i="770"/>
  <c r="Q134" i="770" s="1"/>
  <c r="M134" i="770"/>
  <c r="AB134" i="770" s="1"/>
  <c r="K134" i="770"/>
  <c r="G134" i="770"/>
  <c r="AA133" i="770"/>
  <c r="O133" i="770"/>
  <c r="M133" i="770"/>
  <c r="AB133" i="770" s="1"/>
  <c r="K133" i="770"/>
  <c r="G133" i="770"/>
  <c r="O132" i="770"/>
  <c r="M132" i="770"/>
  <c r="AB132" i="770" s="1"/>
  <c r="K132" i="770"/>
  <c r="G132" i="770"/>
  <c r="O131" i="770"/>
  <c r="M131" i="770"/>
  <c r="N131" i="770" s="1"/>
  <c r="K131" i="770"/>
  <c r="G131" i="770"/>
  <c r="O130" i="770"/>
  <c r="M130" i="770"/>
  <c r="AB130" i="770" s="1"/>
  <c r="K130" i="770"/>
  <c r="G130" i="770"/>
  <c r="AA129" i="770"/>
  <c r="O129" i="770"/>
  <c r="M129" i="770"/>
  <c r="AB129" i="770" s="1"/>
  <c r="K129" i="770"/>
  <c r="G129" i="770"/>
  <c r="O128" i="770"/>
  <c r="M128" i="770"/>
  <c r="AB128" i="770" s="1"/>
  <c r="K128" i="770"/>
  <c r="G128" i="770"/>
  <c r="AB127" i="770"/>
  <c r="O127" i="770"/>
  <c r="M127" i="770"/>
  <c r="N127" i="770" s="1"/>
  <c r="K127" i="770"/>
  <c r="G127" i="770"/>
  <c r="O126" i="770"/>
  <c r="M126" i="770"/>
  <c r="AB126" i="770" s="1"/>
  <c r="K126" i="770"/>
  <c r="G126" i="770"/>
  <c r="AA125" i="770"/>
  <c r="O125" i="770"/>
  <c r="M125" i="770"/>
  <c r="AB125" i="770" s="1"/>
  <c r="K125" i="770"/>
  <c r="G125" i="770"/>
  <c r="AB124" i="770"/>
  <c r="O124" i="770"/>
  <c r="M124" i="770"/>
  <c r="AA124" i="770" s="1"/>
  <c r="K124" i="770"/>
  <c r="G124" i="770"/>
  <c r="L123" i="770"/>
  <c r="O123" i="770" s="1"/>
  <c r="J123" i="770"/>
  <c r="I123" i="770"/>
  <c r="O113" i="770"/>
  <c r="M113" i="770"/>
  <c r="N113" i="770" s="1"/>
  <c r="K113" i="770"/>
  <c r="G113" i="770"/>
  <c r="O112" i="770"/>
  <c r="M112" i="770"/>
  <c r="AB112" i="770" s="1"/>
  <c r="K112" i="770"/>
  <c r="G112" i="770"/>
  <c r="O111" i="770"/>
  <c r="M111" i="770"/>
  <c r="AB111" i="770" s="1"/>
  <c r="K111" i="770"/>
  <c r="G111" i="770"/>
  <c r="AB110" i="770"/>
  <c r="P110" i="770"/>
  <c r="O110" i="770"/>
  <c r="N110" i="770"/>
  <c r="Q110" i="770" s="1"/>
  <c r="M110" i="770"/>
  <c r="AA110" i="770" s="1"/>
  <c r="K110" i="770"/>
  <c r="G110" i="770"/>
  <c r="O109" i="770"/>
  <c r="M109" i="770"/>
  <c r="N109" i="770" s="1"/>
  <c r="K109" i="770"/>
  <c r="G109" i="770"/>
  <c r="O108" i="770"/>
  <c r="M108" i="770"/>
  <c r="AB108" i="770" s="1"/>
  <c r="K108" i="770"/>
  <c r="G108" i="770"/>
  <c r="AB107" i="770"/>
  <c r="AA107" i="770"/>
  <c r="O107" i="770"/>
  <c r="N107" i="770"/>
  <c r="Q107" i="770" s="1"/>
  <c r="M107" i="770"/>
  <c r="M123" i="770" s="1"/>
  <c r="K107" i="770"/>
  <c r="G107" i="770"/>
  <c r="L106" i="770"/>
  <c r="J106" i="770"/>
  <c r="K106" i="770" s="1"/>
  <c r="I106" i="770"/>
  <c r="O94" i="770"/>
  <c r="M94" i="770"/>
  <c r="AB94" i="770" s="1"/>
  <c r="K94" i="770"/>
  <c r="G94" i="770"/>
  <c r="O93" i="770"/>
  <c r="M93" i="770"/>
  <c r="N93" i="770" s="1"/>
  <c r="K93" i="770"/>
  <c r="G93" i="770"/>
  <c r="AB92" i="770"/>
  <c r="AA92" i="770"/>
  <c r="P92" i="770"/>
  <c r="O92" i="770"/>
  <c r="N92" i="770"/>
  <c r="Q92" i="770" s="1"/>
  <c r="M92" i="770"/>
  <c r="K92" i="770"/>
  <c r="G92" i="770"/>
  <c r="O91" i="770"/>
  <c r="M91" i="770"/>
  <c r="AB91" i="770" s="1"/>
  <c r="K91" i="770"/>
  <c r="G91" i="770"/>
  <c r="O90" i="770"/>
  <c r="M90" i="770"/>
  <c r="AB90" i="770" s="1"/>
  <c r="K90" i="770"/>
  <c r="G90" i="770"/>
  <c r="L89" i="770"/>
  <c r="J89" i="770"/>
  <c r="K89" i="770" s="1"/>
  <c r="I89" i="770"/>
  <c r="O75" i="770"/>
  <c r="N75" i="770"/>
  <c r="Q75" i="770" s="1"/>
  <c r="M75" i="770"/>
  <c r="AB75" i="770" s="1"/>
  <c r="K75" i="770"/>
  <c r="G75" i="770"/>
  <c r="O74" i="770"/>
  <c r="M74" i="770"/>
  <c r="AA74" i="770" s="1"/>
  <c r="K74" i="770"/>
  <c r="G74" i="770"/>
  <c r="O73" i="770"/>
  <c r="M73" i="770"/>
  <c r="M89" i="770" s="1"/>
  <c r="K73" i="770"/>
  <c r="G73" i="770"/>
  <c r="O72" i="770"/>
  <c r="L72" i="770"/>
  <c r="J72" i="770"/>
  <c r="K72" i="770" s="1"/>
  <c r="I72" i="770"/>
  <c r="AA62" i="770"/>
  <c r="O62" i="770"/>
  <c r="M62" i="770"/>
  <c r="AB62" i="770" s="1"/>
  <c r="K62" i="770"/>
  <c r="G62" i="770"/>
  <c r="O61" i="770"/>
  <c r="M61" i="770"/>
  <c r="AB61" i="770" s="1"/>
  <c r="K61" i="770"/>
  <c r="G61" i="770"/>
  <c r="AA60" i="770"/>
  <c r="O60" i="770"/>
  <c r="M60" i="770"/>
  <c r="N60" i="770" s="1"/>
  <c r="K60" i="770"/>
  <c r="G60" i="770"/>
  <c r="O59" i="770"/>
  <c r="M59" i="770"/>
  <c r="AB59" i="770" s="1"/>
  <c r="K59" i="770"/>
  <c r="G59" i="770"/>
  <c r="AA58" i="770"/>
  <c r="O58" i="770"/>
  <c r="M58" i="770"/>
  <c r="AB58" i="770" s="1"/>
  <c r="K58" i="770"/>
  <c r="G58" i="770"/>
  <c r="AB57" i="770"/>
  <c r="O57" i="770"/>
  <c r="N57" i="770"/>
  <c r="Q57" i="770" s="1"/>
  <c r="M57" i="770"/>
  <c r="AA57" i="770" s="1"/>
  <c r="K57" i="770"/>
  <c r="G57" i="770"/>
  <c r="AB56" i="770"/>
  <c r="O56" i="770"/>
  <c r="N56" i="770"/>
  <c r="Q56" i="770" s="1"/>
  <c r="M56" i="770"/>
  <c r="AA56" i="770" s="1"/>
  <c r="K56" i="770"/>
  <c r="G56" i="770"/>
  <c r="L55" i="770"/>
  <c r="J55" i="770"/>
  <c r="K55" i="770" s="1"/>
  <c r="I55" i="770"/>
  <c r="O44" i="770"/>
  <c r="M44" i="770"/>
  <c r="N44" i="770" s="1"/>
  <c r="K44" i="770"/>
  <c r="G44" i="770"/>
  <c r="O43" i="770"/>
  <c r="M43" i="770"/>
  <c r="AB43" i="770" s="1"/>
  <c r="K43" i="770"/>
  <c r="G43" i="770"/>
  <c r="O42" i="770"/>
  <c r="M42" i="770"/>
  <c r="AB42" i="770" s="1"/>
  <c r="K42" i="770"/>
  <c r="G42" i="770"/>
  <c r="O41" i="770"/>
  <c r="M41" i="770"/>
  <c r="N41" i="770" s="1"/>
  <c r="K41" i="770"/>
  <c r="G41" i="770"/>
  <c r="AB40" i="770"/>
  <c r="O40" i="770"/>
  <c r="N40" i="770"/>
  <c r="Q40" i="770" s="1"/>
  <c r="M40" i="770"/>
  <c r="AA40" i="770" s="1"/>
  <c r="K40" i="770"/>
  <c r="G40" i="770"/>
  <c r="O39" i="770"/>
  <c r="M39" i="770"/>
  <c r="K39" i="770"/>
  <c r="G39" i="770"/>
  <c r="L38" i="770"/>
  <c r="O38" i="770" s="1"/>
  <c r="J38" i="770"/>
  <c r="K38" i="770" s="1"/>
  <c r="I38" i="770"/>
  <c r="O24" i="770"/>
  <c r="M24" i="770"/>
  <c r="AB24" i="770" s="1"/>
  <c r="K24" i="770"/>
  <c r="G24" i="770"/>
  <c r="O23" i="770"/>
  <c r="N23" i="770"/>
  <c r="Q23" i="770" s="1"/>
  <c r="M23" i="770"/>
  <c r="AB23" i="770" s="1"/>
  <c r="K23" i="770"/>
  <c r="G23" i="770"/>
  <c r="AA22" i="770"/>
  <c r="O22" i="770"/>
  <c r="M22" i="770"/>
  <c r="N22" i="770" s="1"/>
  <c r="K22" i="770"/>
  <c r="G22" i="770"/>
  <c r="L21" i="770"/>
  <c r="O21" i="770" s="1"/>
  <c r="J21" i="770"/>
  <c r="K21" i="770" s="1"/>
  <c r="I21" i="770"/>
  <c r="O9" i="770"/>
  <c r="M9" i="770"/>
  <c r="AB9" i="770" s="1"/>
  <c r="K9" i="770"/>
  <c r="G9" i="770"/>
  <c r="AA8" i="770"/>
  <c r="O8" i="770"/>
  <c r="M8" i="770"/>
  <c r="AB8" i="770" s="1"/>
  <c r="K8" i="770"/>
  <c r="G8" i="770"/>
  <c r="O7" i="770"/>
  <c r="N7" i="770"/>
  <c r="Q7" i="770" s="1"/>
  <c r="M7" i="770"/>
  <c r="AB7" i="770" s="1"/>
  <c r="K7" i="770"/>
  <c r="G7" i="770"/>
  <c r="AB6" i="770"/>
  <c r="AA6" i="770"/>
  <c r="O6" i="770"/>
  <c r="N6" i="770"/>
  <c r="Q6" i="770" s="1"/>
  <c r="M6" i="770"/>
  <c r="K6" i="770"/>
  <c r="G6" i="770"/>
  <c r="O5" i="770"/>
  <c r="M5" i="770"/>
  <c r="K5" i="770"/>
  <c r="G5" i="770"/>
  <c r="H2" i="770"/>
  <c r="D1" i="770"/>
  <c r="X34" i="769"/>
  <c r="W34" i="769"/>
  <c r="V34" i="769"/>
  <c r="P34" i="769"/>
  <c r="M8" i="769" s="1"/>
  <c r="O34" i="769"/>
  <c r="N34" i="769"/>
  <c r="M34" i="769"/>
  <c r="G34" i="769"/>
  <c r="N16" i="769"/>
  <c r="M16" i="769"/>
  <c r="J16" i="769"/>
  <c r="I16" i="769"/>
  <c r="H16" i="769"/>
  <c r="G16" i="769"/>
  <c r="F16" i="769"/>
  <c r="E16" i="769"/>
  <c r="I8" i="769"/>
  <c r="F8" i="769"/>
  <c r="M7" i="769"/>
  <c r="K7" i="769"/>
  <c r="I7" i="769"/>
  <c r="G7" i="769"/>
  <c r="F7" i="769"/>
  <c r="E7" i="769"/>
  <c r="M6" i="769"/>
  <c r="K6" i="769"/>
  <c r="I6" i="769"/>
  <c r="G6" i="769"/>
  <c r="F6" i="769"/>
  <c r="E6" i="769"/>
  <c r="AC140" i="762"/>
  <c r="AC123" i="762"/>
  <c r="AC106" i="762"/>
  <c r="AC89" i="762"/>
  <c r="AC72" i="762"/>
  <c r="AC55" i="762"/>
  <c r="AC38" i="762"/>
  <c r="AC21" i="762"/>
  <c r="AC2" i="762" s="1"/>
  <c r="Q6" i="760" s="1"/>
  <c r="AC140" i="759"/>
  <c r="AC123" i="759"/>
  <c r="AC106" i="759"/>
  <c r="AC89" i="759"/>
  <c r="AC72" i="759"/>
  <c r="AC55" i="759"/>
  <c r="AC38" i="759"/>
  <c r="AC2" i="759" s="1"/>
  <c r="Q6" i="757" s="1"/>
  <c r="AC21" i="759"/>
  <c r="AC140" i="756"/>
  <c r="AC123" i="756"/>
  <c r="AC106" i="756"/>
  <c r="AC89" i="756"/>
  <c r="AC72" i="756"/>
  <c r="AC55" i="756"/>
  <c r="AC38" i="756"/>
  <c r="AC21" i="756"/>
  <c r="AD140" i="768"/>
  <c r="AC140" i="768"/>
  <c r="Z140" i="768"/>
  <c r="Y140" i="768"/>
  <c r="L140" i="768"/>
  <c r="O140" i="768" s="1"/>
  <c r="J140" i="768"/>
  <c r="K140" i="768" s="1"/>
  <c r="I140" i="768"/>
  <c r="O126" i="768"/>
  <c r="M126" i="768"/>
  <c r="AF126" i="768" s="1"/>
  <c r="K126" i="768"/>
  <c r="G126" i="768"/>
  <c r="O125" i="768"/>
  <c r="M125" i="768"/>
  <c r="AF125" i="768" s="1"/>
  <c r="K125" i="768"/>
  <c r="G125" i="768"/>
  <c r="O124" i="768"/>
  <c r="M124" i="768"/>
  <c r="N124" i="768" s="1"/>
  <c r="K124" i="768"/>
  <c r="G124" i="768"/>
  <c r="AD123" i="768"/>
  <c r="AC123" i="768"/>
  <c r="Z123" i="768"/>
  <c r="Y123" i="768"/>
  <c r="L123" i="768"/>
  <c r="O123" i="768" s="1"/>
  <c r="J123" i="768"/>
  <c r="K123" i="768" s="1"/>
  <c r="I123" i="768"/>
  <c r="O109" i="768"/>
  <c r="M109" i="768"/>
  <c r="AE109" i="768" s="1"/>
  <c r="K109" i="768"/>
  <c r="G109" i="768"/>
  <c r="O108" i="768"/>
  <c r="M108" i="768"/>
  <c r="N108" i="768" s="1"/>
  <c r="K108" i="768"/>
  <c r="G108" i="768"/>
  <c r="O107" i="768"/>
  <c r="M107" i="768"/>
  <c r="N107" i="768" s="1"/>
  <c r="K107" i="768"/>
  <c r="G107" i="768"/>
  <c r="AD106" i="768"/>
  <c r="AC106" i="768"/>
  <c r="Z106" i="768"/>
  <c r="Y106" i="768"/>
  <c r="M106" i="768"/>
  <c r="L106" i="768"/>
  <c r="H1" i="768" s="1"/>
  <c r="J106" i="768"/>
  <c r="K106" i="768" s="1"/>
  <c r="I106" i="768"/>
  <c r="O91" i="768"/>
  <c r="M91" i="768"/>
  <c r="N91" i="768" s="1"/>
  <c r="K91" i="768"/>
  <c r="G91" i="768"/>
  <c r="O90" i="768"/>
  <c r="M90" i="768"/>
  <c r="N90" i="768" s="1"/>
  <c r="K90" i="768"/>
  <c r="G90" i="768"/>
  <c r="AD89" i="768"/>
  <c r="AC89" i="768"/>
  <c r="Z89" i="768"/>
  <c r="Y89" i="768"/>
  <c r="L89" i="768"/>
  <c r="J89" i="768"/>
  <c r="I89" i="768"/>
  <c r="AF75" i="768"/>
  <c r="O75" i="768"/>
  <c r="M75" i="768"/>
  <c r="AE75" i="768" s="1"/>
  <c r="K75" i="768"/>
  <c r="G75" i="768"/>
  <c r="O74" i="768"/>
  <c r="M74" i="768"/>
  <c r="AF74" i="768" s="1"/>
  <c r="K74" i="768"/>
  <c r="G74" i="768"/>
  <c r="O73" i="768"/>
  <c r="M73" i="768"/>
  <c r="AF73" i="768" s="1"/>
  <c r="K73" i="768"/>
  <c r="G73" i="768"/>
  <c r="AD72" i="768"/>
  <c r="AC72" i="768"/>
  <c r="Z72" i="768"/>
  <c r="Y72" i="768"/>
  <c r="L72" i="768"/>
  <c r="J72" i="768"/>
  <c r="I72" i="768"/>
  <c r="O72" i="768" s="1"/>
  <c r="O65" i="768"/>
  <c r="M65" i="768"/>
  <c r="AF65" i="768" s="1"/>
  <c r="K65" i="768"/>
  <c r="G65" i="768"/>
  <c r="O64" i="768"/>
  <c r="M64" i="768"/>
  <c r="AE64" i="768" s="1"/>
  <c r="K64" i="768"/>
  <c r="G64" i="768"/>
  <c r="O63" i="768"/>
  <c r="M63" i="768"/>
  <c r="N63" i="768" s="1"/>
  <c r="K63" i="768"/>
  <c r="G63" i="768"/>
  <c r="O62" i="768"/>
  <c r="N62" i="768"/>
  <c r="P62" i="768" s="1"/>
  <c r="M62" i="768"/>
  <c r="AF62" i="768" s="1"/>
  <c r="K62" i="768"/>
  <c r="G62" i="768"/>
  <c r="AF61" i="768"/>
  <c r="O61" i="768"/>
  <c r="N61" i="768"/>
  <c r="Q61" i="768" s="1"/>
  <c r="M61" i="768"/>
  <c r="AE61" i="768" s="1"/>
  <c r="K61" i="768"/>
  <c r="G61" i="768"/>
  <c r="O60" i="768"/>
  <c r="M60" i="768"/>
  <c r="AE60" i="768" s="1"/>
  <c r="K60" i="768"/>
  <c r="G60" i="768"/>
  <c r="O59" i="768"/>
  <c r="M59" i="768"/>
  <c r="N59" i="768" s="1"/>
  <c r="K59" i="768"/>
  <c r="G59" i="768"/>
  <c r="AF58" i="768"/>
  <c r="O58" i="768"/>
  <c r="M58" i="768"/>
  <c r="N58" i="768" s="1"/>
  <c r="K58" i="768"/>
  <c r="G58" i="768"/>
  <c r="O57" i="768"/>
  <c r="M57" i="768"/>
  <c r="AF57" i="768" s="1"/>
  <c r="K57" i="768"/>
  <c r="G57" i="768"/>
  <c r="AF56" i="768"/>
  <c r="AE56" i="768"/>
  <c r="O56" i="768"/>
  <c r="M56" i="768"/>
  <c r="K56" i="768"/>
  <c r="G56" i="768"/>
  <c r="AD55" i="768"/>
  <c r="AC55" i="768"/>
  <c r="Z55" i="768"/>
  <c r="Y55" i="768"/>
  <c r="L55" i="768"/>
  <c r="O55" i="768" s="1"/>
  <c r="J55" i="768"/>
  <c r="I55" i="768"/>
  <c r="AE44" i="768"/>
  <c r="O44" i="768"/>
  <c r="N44" i="768"/>
  <c r="Q44" i="768" s="1"/>
  <c r="M44" i="768"/>
  <c r="AF44" i="768" s="1"/>
  <c r="K44" i="768"/>
  <c r="G44" i="768"/>
  <c r="O43" i="768"/>
  <c r="M43" i="768"/>
  <c r="AF43" i="768" s="1"/>
  <c r="K43" i="768"/>
  <c r="G43" i="768"/>
  <c r="O42" i="768"/>
  <c r="M42" i="768"/>
  <c r="N42" i="768" s="1"/>
  <c r="K42" i="768"/>
  <c r="G42" i="768"/>
  <c r="O41" i="768"/>
  <c r="M41" i="768"/>
  <c r="AF41" i="768" s="1"/>
  <c r="K41" i="768"/>
  <c r="G41" i="768"/>
  <c r="AF40" i="768"/>
  <c r="AE40" i="768"/>
  <c r="O40" i="768"/>
  <c r="M40" i="768"/>
  <c r="N40" i="768" s="1"/>
  <c r="Q40" i="768" s="1"/>
  <c r="K40" i="768"/>
  <c r="G40" i="768"/>
  <c r="O39" i="768"/>
  <c r="N39" i="768"/>
  <c r="P39" i="768" s="1"/>
  <c r="M39" i="768"/>
  <c r="AE39" i="768" s="1"/>
  <c r="K39" i="768"/>
  <c r="G39" i="768"/>
  <c r="AD38" i="768"/>
  <c r="AC38" i="768"/>
  <c r="Z38" i="768"/>
  <c r="Y38" i="768"/>
  <c r="L38" i="768"/>
  <c r="J38" i="768"/>
  <c r="I38" i="768"/>
  <c r="O38" i="768" s="1"/>
  <c r="AE28" i="768"/>
  <c r="Q28" i="768"/>
  <c r="O28" i="768"/>
  <c r="N28" i="768"/>
  <c r="P28" i="768" s="1"/>
  <c r="M28" i="768"/>
  <c r="AF28" i="768" s="1"/>
  <c r="K28" i="768"/>
  <c r="G28" i="768"/>
  <c r="AE27" i="768"/>
  <c r="O27" i="768"/>
  <c r="M27" i="768"/>
  <c r="AF27" i="768" s="1"/>
  <c r="K27" i="768"/>
  <c r="G27" i="768"/>
  <c r="O26" i="768"/>
  <c r="M26" i="768"/>
  <c r="AE26" i="768" s="1"/>
  <c r="K26" i="768"/>
  <c r="G26" i="768"/>
  <c r="AE25" i="768"/>
  <c r="Q25" i="768"/>
  <c r="P25" i="768"/>
  <c r="O25" i="768"/>
  <c r="N25" i="768"/>
  <c r="M25" i="768"/>
  <c r="AF25" i="768" s="1"/>
  <c r="K25" i="768"/>
  <c r="G25" i="768"/>
  <c r="O24" i="768"/>
  <c r="M24" i="768"/>
  <c r="AF24" i="768" s="1"/>
  <c r="K24" i="768"/>
  <c r="G24" i="768"/>
  <c r="O23" i="768"/>
  <c r="M23" i="768"/>
  <c r="AF23" i="768" s="1"/>
  <c r="K23" i="768"/>
  <c r="G23" i="768"/>
  <c r="O22" i="768"/>
  <c r="M22" i="768"/>
  <c r="N22" i="768" s="1"/>
  <c r="K22" i="768"/>
  <c r="G22" i="768"/>
  <c r="AD21" i="768"/>
  <c r="AC21" i="768"/>
  <c r="Z21" i="768"/>
  <c r="Y21" i="768"/>
  <c r="L21" i="768"/>
  <c r="J21" i="768"/>
  <c r="K21" i="768" s="1"/>
  <c r="I21" i="768"/>
  <c r="O9" i="768"/>
  <c r="M9" i="768"/>
  <c r="N9" i="768" s="1"/>
  <c r="K9" i="768"/>
  <c r="G9" i="768"/>
  <c r="AE8" i="768"/>
  <c r="O8" i="768"/>
  <c r="M8" i="768"/>
  <c r="N8" i="768" s="1"/>
  <c r="K8" i="768"/>
  <c r="G8" i="768"/>
  <c r="O7" i="768"/>
  <c r="M7" i="768"/>
  <c r="AE7" i="768" s="1"/>
  <c r="K7" i="768"/>
  <c r="G7" i="768"/>
  <c r="O6" i="768"/>
  <c r="M6" i="768"/>
  <c r="AE6" i="768" s="1"/>
  <c r="K6" i="768"/>
  <c r="G6" i="768"/>
  <c r="O5" i="768"/>
  <c r="M5" i="768"/>
  <c r="M21" i="768" s="1"/>
  <c r="K5" i="768"/>
  <c r="G5" i="768"/>
  <c r="H2" i="768"/>
  <c r="D1" i="768"/>
  <c r="L140" i="767"/>
  <c r="O140" i="767" s="1"/>
  <c r="J140" i="767"/>
  <c r="K140" i="767" s="1"/>
  <c r="I140" i="767"/>
  <c r="O135" i="767"/>
  <c r="M135" i="767"/>
  <c r="N135" i="767" s="1"/>
  <c r="K135" i="767"/>
  <c r="G135" i="767"/>
  <c r="O134" i="767"/>
  <c r="M134" i="767"/>
  <c r="AA134" i="767" s="1"/>
  <c r="K134" i="767"/>
  <c r="G134" i="767"/>
  <c r="O133" i="767"/>
  <c r="M133" i="767"/>
  <c r="N133" i="767" s="1"/>
  <c r="K133" i="767"/>
  <c r="G133" i="767"/>
  <c r="O132" i="767"/>
  <c r="M132" i="767"/>
  <c r="N132" i="767" s="1"/>
  <c r="K132" i="767"/>
  <c r="G132" i="767"/>
  <c r="AB131" i="767"/>
  <c r="AA131" i="767"/>
  <c r="O131" i="767"/>
  <c r="M131" i="767"/>
  <c r="N131" i="767" s="1"/>
  <c r="K131" i="767"/>
  <c r="G131" i="767"/>
  <c r="O130" i="767"/>
  <c r="M130" i="767"/>
  <c r="AB130" i="767" s="1"/>
  <c r="K130" i="767"/>
  <c r="G130" i="767"/>
  <c r="O129" i="767"/>
  <c r="M129" i="767"/>
  <c r="N129" i="767" s="1"/>
  <c r="K129" i="767"/>
  <c r="G129" i="767"/>
  <c r="O128" i="767"/>
  <c r="M128" i="767"/>
  <c r="N128" i="767" s="1"/>
  <c r="K128" i="767"/>
  <c r="G128" i="767"/>
  <c r="O127" i="767"/>
  <c r="M127" i="767"/>
  <c r="N127" i="767" s="1"/>
  <c r="K127" i="767"/>
  <c r="G127" i="767"/>
  <c r="AA126" i="767"/>
  <c r="O126" i="767"/>
  <c r="N126" i="767"/>
  <c r="Q126" i="767" s="1"/>
  <c r="M126" i="767"/>
  <c r="AB126" i="767" s="1"/>
  <c r="K126" i="767"/>
  <c r="G126" i="767"/>
  <c r="O125" i="767"/>
  <c r="M125" i="767"/>
  <c r="N125" i="767" s="1"/>
  <c r="K125" i="767"/>
  <c r="G125" i="767"/>
  <c r="AB124" i="767"/>
  <c r="O124" i="767"/>
  <c r="M124" i="767"/>
  <c r="AA124" i="767" s="1"/>
  <c r="K124" i="767"/>
  <c r="G124" i="767"/>
  <c r="L123" i="767"/>
  <c r="J123" i="767"/>
  <c r="I123" i="767"/>
  <c r="K123" i="767" s="1"/>
  <c r="O114" i="767"/>
  <c r="M114" i="767"/>
  <c r="N114" i="767" s="1"/>
  <c r="K114" i="767"/>
  <c r="G114" i="767"/>
  <c r="AB113" i="767"/>
  <c r="O113" i="767"/>
  <c r="M113" i="767"/>
  <c r="AA113" i="767" s="1"/>
  <c r="K113" i="767"/>
  <c r="G113" i="767"/>
  <c r="O112" i="767"/>
  <c r="M112" i="767"/>
  <c r="AA112" i="767" s="1"/>
  <c r="K112" i="767"/>
  <c r="G112" i="767"/>
  <c r="O111" i="767"/>
  <c r="N111" i="767"/>
  <c r="Q111" i="767" s="1"/>
  <c r="M111" i="767"/>
  <c r="AB111" i="767" s="1"/>
  <c r="K111" i="767"/>
  <c r="G111" i="767"/>
  <c r="O110" i="767"/>
  <c r="M110" i="767"/>
  <c r="N110" i="767" s="1"/>
  <c r="K110" i="767"/>
  <c r="G110" i="767"/>
  <c r="AB109" i="767"/>
  <c r="O109" i="767"/>
  <c r="M109" i="767"/>
  <c r="AA109" i="767" s="1"/>
  <c r="K109" i="767"/>
  <c r="G109" i="767"/>
  <c r="O108" i="767"/>
  <c r="M108" i="767"/>
  <c r="AA108" i="767" s="1"/>
  <c r="K108" i="767"/>
  <c r="G108" i="767"/>
  <c r="O107" i="767"/>
  <c r="M107" i="767"/>
  <c r="K107" i="767"/>
  <c r="G107" i="767"/>
  <c r="L106" i="767"/>
  <c r="O106" i="767" s="1"/>
  <c r="J106" i="767"/>
  <c r="I106" i="767"/>
  <c r="O94" i="767"/>
  <c r="M94" i="767"/>
  <c r="AB94" i="767" s="1"/>
  <c r="K94" i="767"/>
  <c r="G94" i="767"/>
  <c r="O93" i="767"/>
  <c r="M93" i="767"/>
  <c r="AB93" i="767" s="1"/>
  <c r="K93" i="767"/>
  <c r="G93" i="767"/>
  <c r="AA92" i="767"/>
  <c r="O92" i="767"/>
  <c r="M92" i="767"/>
  <c r="AB92" i="767" s="1"/>
  <c r="K92" i="767"/>
  <c r="G92" i="767"/>
  <c r="O91" i="767"/>
  <c r="M91" i="767"/>
  <c r="AB91" i="767" s="1"/>
  <c r="K91" i="767"/>
  <c r="G91" i="767"/>
  <c r="O90" i="767"/>
  <c r="N90" i="767"/>
  <c r="Q90" i="767" s="1"/>
  <c r="M90" i="767"/>
  <c r="AB90" i="767" s="1"/>
  <c r="K90" i="767"/>
  <c r="G90" i="767"/>
  <c r="L89" i="767"/>
  <c r="O89" i="767" s="1"/>
  <c r="K89" i="767"/>
  <c r="J89" i="767"/>
  <c r="I89" i="767"/>
  <c r="AB75" i="767"/>
  <c r="AA75" i="767"/>
  <c r="O75" i="767"/>
  <c r="M75" i="767"/>
  <c r="N75" i="767" s="1"/>
  <c r="K75" i="767"/>
  <c r="G75" i="767"/>
  <c r="AA74" i="767"/>
  <c r="O74" i="767"/>
  <c r="N74" i="767"/>
  <c r="Q74" i="767" s="1"/>
  <c r="M74" i="767"/>
  <c r="AB74" i="767" s="1"/>
  <c r="K74" i="767"/>
  <c r="G74" i="767"/>
  <c r="O73" i="767"/>
  <c r="M73" i="767"/>
  <c r="K73" i="767"/>
  <c r="G73" i="767"/>
  <c r="L72" i="767"/>
  <c r="O72" i="767" s="1"/>
  <c r="K72" i="767"/>
  <c r="J72" i="767"/>
  <c r="I72" i="767"/>
  <c r="O62" i="767"/>
  <c r="N62" i="767"/>
  <c r="Q62" i="767" s="1"/>
  <c r="M62" i="767"/>
  <c r="AB62" i="767" s="1"/>
  <c r="K62" i="767"/>
  <c r="G62" i="767"/>
  <c r="AB61" i="767"/>
  <c r="AA61" i="767"/>
  <c r="O61" i="767"/>
  <c r="M61" i="767"/>
  <c r="N61" i="767" s="1"/>
  <c r="K61" i="767"/>
  <c r="G61" i="767"/>
  <c r="O60" i="767"/>
  <c r="M60" i="767"/>
  <c r="AB60" i="767" s="1"/>
  <c r="K60" i="767"/>
  <c r="G60" i="767"/>
  <c r="O59" i="767"/>
  <c r="M59" i="767"/>
  <c r="AA59" i="767" s="1"/>
  <c r="K59" i="767"/>
  <c r="G59" i="767"/>
  <c r="O58" i="767"/>
  <c r="N58" i="767"/>
  <c r="Q58" i="767" s="1"/>
  <c r="M58" i="767"/>
  <c r="AB58" i="767" s="1"/>
  <c r="K58" i="767"/>
  <c r="G58" i="767"/>
  <c r="O57" i="767"/>
  <c r="M57" i="767"/>
  <c r="N57" i="767" s="1"/>
  <c r="K57" i="767"/>
  <c r="G57" i="767"/>
  <c r="O56" i="767"/>
  <c r="M56" i="767"/>
  <c r="M72" i="767" s="1"/>
  <c r="K56" i="767"/>
  <c r="G56" i="767"/>
  <c r="O55" i="767"/>
  <c r="L55" i="767"/>
  <c r="J55" i="767"/>
  <c r="K55" i="767" s="1"/>
  <c r="I55" i="767"/>
  <c r="AA44" i="767"/>
  <c r="O44" i="767"/>
  <c r="M44" i="767"/>
  <c r="AB44" i="767" s="1"/>
  <c r="K44" i="767"/>
  <c r="G44" i="767"/>
  <c r="O43" i="767"/>
  <c r="M43" i="767"/>
  <c r="AB43" i="767" s="1"/>
  <c r="K43" i="767"/>
  <c r="G43" i="767"/>
  <c r="AB42" i="767"/>
  <c r="O42" i="767"/>
  <c r="M42" i="767"/>
  <c r="AA42" i="767" s="1"/>
  <c r="K42" i="767"/>
  <c r="G42" i="767"/>
  <c r="AB41" i="767"/>
  <c r="AA41" i="767"/>
  <c r="O41" i="767"/>
  <c r="M41" i="767"/>
  <c r="N41" i="767" s="1"/>
  <c r="K41" i="767"/>
  <c r="G41" i="767"/>
  <c r="O40" i="767"/>
  <c r="M40" i="767"/>
  <c r="AB40" i="767" s="1"/>
  <c r="K40" i="767"/>
  <c r="G40" i="767"/>
  <c r="O39" i="767"/>
  <c r="M39" i="767"/>
  <c r="N39" i="767" s="1"/>
  <c r="K39" i="767"/>
  <c r="G39" i="767"/>
  <c r="L38" i="767"/>
  <c r="J38" i="767"/>
  <c r="K38" i="767" s="1"/>
  <c r="I38" i="767"/>
  <c r="O24" i="767"/>
  <c r="M24" i="767"/>
  <c r="K24" i="767"/>
  <c r="G24" i="767"/>
  <c r="AA23" i="767"/>
  <c r="O23" i="767"/>
  <c r="M23" i="767"/>
  <c r="N23" i="767" s="1"/>
  <c r="K23" i="767"/>
  <c r="G23" i="767"/>
  <c r="O22" i="767"/>
  <c r="M22" i="767"/>
  <c r="AB22" i="767" s="1"/>
  <c r="K22" i="767"/>
  <c r="G22" i="767"/>
  <c r="O21" i="767"/>
  <c r="L21" i="767"/>
  <c r="J21" i="767"/>
  <c r="K21" i="767" s="1"/>
  <c r="I21" i="767"/>
  <c r="O9" i="767"/>
  <c r="M9" i="767"/>
  <c r="N9" i="767" s="1"/>
  <c r="K9" i="767"/>
  <c r="G9" i="767"/>
  <c r="O8" i="767"/>
  <c r="M8" i="767"/>
  <c r="AB8" i="767" s="1"/>
  <c r="K8" i="767"/>
  <c r="G8" i="767"/>
  <c r="O7" i="767"/>
  <c r="M7" i="767"/>
  <c r="AB7" i="767" s="1"/>
  <c r="K7" i="767"/>
  <c r="G7" i="767"/>
  <c r="AB6" i="767"/>
  <c r="AA6" i="767"/>
  <c r="O6" i="767"/>
  <c r="M6" i="767"/>
  <c r="N6" i="767" s="1"/>
  <c r="K6" i="767"/>
  <c r="G6" i="767"/>
  <c r="AA5" i="767"/>
  <c r="O5" i="767"/>
  <c r="M5" i="767"/>
  <c r="AB5" i="767" s="1"/>
  <c r="K5" i="767"/>
  <c r="G5" i="767"/>
  <c r="H2" i="767"/>
  <c r="D2" i="767"/>
  <c r="H1" i="767"/>
  <c r="D1" i="767"/>
  <c r="X34" i="766"/>
  <c r="W34" i="766"/>
  <c r="V34" i="766"/>
  <c r="P34" i="766"/>
  <c r="O34" i="766"/>
  <c r="N34" i="766"/>
  <c r="M34" i="766"/>
  <c r="G34" i="766"/>
  <c r="N16" i="766"/>
  <c r="M16" i="766"/>
  <c r="I8" i="766" s="1"/>
  <c r="J16" i="766"/>
  <c r="I16" i="766"/>
  <c r="H16" i="766"/>
  <c r="G16" i="766"/>
  <c r="F16" i="766"/>
  <c r="E16" i="766"/>
  <c r="G8" i="766" s="1"/>
  <c r="F8" i="766"/>
  <c r="M7" i="766"/>
  <c r="K7" i="766"/>
  <c r="I7" i="766"/>
  <c r="G7" i="766"/>
  <c r="F7" i="766"/>
  <c r="E7" i="766"/>
  <c r="M6" i="766"/>
  <c r="K6" i="766"/>
  <c r="I6" i="766"/>
  <c r="G6" i="766"/>
  <c r="F6" i="766"/>
  <c r="E6" i="766"/>
  <c r="AD140" i="765"/>
  <c r="AC140" i="765"/>
  <c r="Z140" i="765"/>
  <c r="Y140" i="765"/>
  <c r="L140" i="765"/>
  <c r="O140" i="765" s="1"/>
  <c r="J140" i="765"/>
  <c r="K140" i="765" s="1"/>
  <c r="I140" i="765"/>
  <c r="O126" i="765"/>
  <c r="N126" i="765"/>
  <c r="Q126" i="765" s="1"/>
  <c r="M126" i="765"/>
  <c r="AF126" i="765" s="1"/>
  <c r="K126" i="765"/>
  <c r="G126" i="765"/>
  <c r="AE125" i="765"/>
  <c r="O125" i="765"/>
  <c r="M125" i="765"/>
  <c r="AF125" i="765" s="1"/>
  <c r="K125" i="765"/>
  <c r="G125" i="765"/>
  <c r="AF124" i="765"/>
  <c r="O124" i="765"/>
  <c r="M124" i="765"/>
  <c r="N124" i="765" s="1"/>
  <c r="K124" i="765"/>
  <c r="G124" i="765"/>
  <c r="AD123" i="765"/>
  <c r="AC123" i="765"/>
  <c r="Z123" i="765"/>
  <c r="Y123" i="765"/>
  <c r="L123" i="765"/>
  <c r="O123" i="765" s="1"/>
  <c r="J123" i="765"/>
  <c r="K123" i="765" s="1"/>
  <c r="I123" i="765"/>
  <c r="AF109" i="765"/>
  <c r="O109" i="765"/>
  <c r="M109" i="765"/>
  <c r="AE109" i="765" s="1"/>
  <c r="K109" i="765"/>
  <c r="G109" i="765"/>
  <c r="O108" i="765"/>
  <c r="M108" i="765"/>
  <c r="AF108" i="765" s="1"/>
  <c r="K108" i="765"/>
  <c r="G108" i="765"/>
  <c r="O107" i="765"/>
  <c r="M107" i="765"/>
  <c r="N107" i="765" s="1"/>
  <c r="K107" i="765"/>
  <c r="G107" i="765"/>
  <c r="AD106" i="765"/>
  <c r="AC106" i="765"/>
  <c r="Z106" i="765"/>
  <c r="Y106" i="765"/>
  <c r="L106" i="765"/>
  <c r="O106" i="765" s="1"/>
  <c r="J106" i="765"/>
  <c r="K106" i="765" s="1"/>
  <c r="I106" i="765"/>
  <c r="O91" i="765"/>
  <c r="M91" i="765"/>
  <c r="N91" i="765" s="1"/>
  <c r="K91" i="765"/>
  <c r="G91" i="765"/>
  <c r="AE90" i="765"/>
  <c r="O90" i="765"/>
  <c r="M90" i="765"/>
  <c r="AF90" i="765" s="1"/>
  <c r="K90" i="765"/>
  <c r="G90" i="765"/>
  <c r="AD89" i="765"/>
  <c r="AC89" i="765"/>
  <c r="Z89" i="765"/>
  <c r="Z2" i="765" s="1"/>
  <c r="P6" i="763" s="1"/>
  <c r="Y89" i="765"/>
  <c r="L89" i="765"/>
  <c r="O89" i="765" s="1"/>
  <c r="J89" i="765"/>
  <c r="I89" i="765"/>
  <c r="AF75" i="765"/>
  <c r="AE75" i="765"/>
  <c r="O75" i="765"/>
  <c r="N75" i="765"/>
  <c r="Q75" i="765" s="1"/>
  <c r="M75" i="765"/>
  <c r="K75" i="765"/>
  <c r="G75" i="765"/>
  <c r="O74" i="765"/>
  <c r="M74" i="765"/>
  <c r="AF74" i="765" s="1"/>
  <c r="K74" i="765"/>
  <c r="G74" i="765"/>
  <c r="O73" i="765"/>
  <c r="N73" i="765"/>
  <c r="Q73" i="765" s="1"/>
  <c r="M73" i="765"/>
  <c r="AF73" i="765" s="1"/>
  <c r="K73" i="765"/>
  <c r="G73" i="765"/>
  <c r="AD72" i="765"/>
  <c r="AC72" i="765"/>
  <c r="Z72" i="765"/>
  <c r="Y72" i="765"/>
  <c r="L72" i="765"/>
  <c r="J72" i="765"/>
  <c r="I72" i="765"/>
  <c r="AF65" i="765"/>
  <c r="O65" i="765"/>
  <c r="M65" i="765"/>
  <c r="AE65" i="765" s="1"/>
  <c r="K65" i="765"/>
  <c r="G65" i="765"/>
  <c r="O64" i="765"/>
  <c r="M64" i="765"/>
  <c r="AE64" i="765" s="1"/>
  <c r="K64" i="765"/>
  <c r="G64" i="765"/>
  <c r="O63" i="765"/>
  <c r="N63" i="765"/>
  <c r="Q63" i="765" s="1"/>
  <c r="M63" i="765"/>
  <c r="AF63" i="765" s="1"/>
  <c r="K63" i="765"/>
  <c r="G63" i="765"/>
  <c r="O62" i="765"/>
  <c r="M62" i="765"/>
  <c r="AF62" i="765" s="1"/>
  <c r="K62" i="765"/>
  <c r="G62" i="765"/>
  <c r="AF61" i="765"/>
  <c r="O61" i="765"/>
  <c r="M61" i="765"/>
  <c r="AE61" i="765" s="1"/>
  <c r="K61" i="765"/>
  <c r="G61" i="765"/>
  <c r="O60" i="765"/>
  <c r="M60" i="765"/>
  <c r="AE60" i="765" s="1"/>
  <c r="K60" i="765"/>
  <c r="G60" i="765"/>
  <c r="O59" i="765"/>
  <c r="N59" i="765"/>
  <c r="Q59" i="765" s="1"/>
  <c r="M59" i="765"/>
  <c r="AF59" i="765" s="1"/>
  <c r="K59" i="765"/>
  <c r="G59" i="765"/>
  <c r="O58" i="765"/>
  <c r="M58" i="765"/>
  <c r="AF58" i="765" s="1"/>
  <c r="K58" i="765"/>
  <c r="G58" i="765"/>
  <c r="O57" i="765"/>
  <c r="M57" i="765"/>
  <c r="AE57" i="765" s="1"/>
  <c r="K57" i="765"/>
  <c r="G57" i="765"/>
  <c r="AE56" i="765"/>
  <c r="O56" i="765"/>
  <c r="M56" i="765"/>
  <c r="AF56" i="765" s="1"/>
  <c r="K56" i="765"/>
  <c r="G56" i="765"/>
  <c r="AD55" i="765"/>
  <c r="AC55" i="765"/>
  <c r="Z55" i="765"/>
  <c r="Y55" i="765"/>
  <c r="L55" i="765"/>
  <c r="O55" i="765" s="1"/>
  <c r="J55" i="765"/>
  <c r="I55" i="765"/>
  <c r="AF45" i="765"/>
  <c r="O45" i="765"/>
  <c r="M45" i="765"/>
  <c r="AE45" i="765" s="1"/>
  <c r="K45" i="765"/>
  <c r="G45" i="765"/>
  <c r="O44" i="765"/>
  <c r="M44" i="765"/>
  <c r="N44" i="765" s="1"/>
  <c r="K44" i="765"/>
  <c r="G44" i="765"/>
  <c r="O43" i="765"/>
  <c r="M43" i="765"/>
  <c r="N43" i="765" s="1"/>
  <c r="K43" i="765"/>
  <c r="G43" i="765"/>
  <c r="O42" i="765"/>
  <c r="M42" i="765"/>
  <c r="AF42" i="765" s="1"/>
  <c r="K42" i="765"/>
  <c r="G42" i="765"/>
  <c r="O41" i="765"/>
  <c r="M41" i="765"/>
  <c r="AE41" i="765" s="1"/>
  <c r="K41" i="765"/>
  <c r="G41" i="765"/>
  <c r="AF40" i="765"/>
  <c r="AE40" i="765"/>
  <c r="O40" i="765"/>
  <c r="M40" i="765"/>
  <c r="N40" i="765" s="1"/>
  <c r="K40" i="765"/>
  <c r="G40" i="765"/>
  <c r="AE39" i="765"/>
  <c r="O39" i="765"/>
  <c r="N39" i="765"/>
  <c r="P39" i="765" s="1"/>
  <c r="M39" i="765"/>
  <c r="K39" i="765"/>
  <c r="G39" i="765"/>
  <c r="AD38" i="765"/>
  <c r="AC38" i="765"/>
  <c r="Z38" i="765"/>
  <c r="Y38" i="765"/>
  <c r="O38" i="765"/>
  <c r="L38" i="765"/>
  <c r="J38" i="765"/>
  <c r="I38" i="765"/>
  <c r="AF28" i="765"/>
  <c r="O28" i="765"/>
  <c r="N28" i="765"/>
  <c r="P28" i="765" s="1"/>
  <c r="M28" i="765"/>
  <c r="AE28" i="765" s="1"/>
  <c r="K28" i="765"/>
  <c r="G28" i="765"/>
  <c r="AF27" i="765"/>
  <c r="AE27" i="765"/>
  <c r="O27" i="765"/>
  <c r="N27" i="765"/>
  <c r="Q27" i="765" s="1"/>
  <c r="M27" i="765"/>
  <c r="K27" i="765"/>
  <c r="G27" i="765"/>
  <c r="O26" i="765"/>
  <c r="N26" i="765"/>
  <c r="Q26" i="765" s="1"/>
  <c r="M26" i="765"/>
  <c r="AF26" i="765" s="1"/>
  <c r="K26" i="765"/>
  <c r="G26" i="765"/>
  <c r="AE25" i="765"/>
  <c r="O25" i="765"/>
  <c r="M25" i="765"/>
  <c r="AF25" i="765" s="1"/>
  <c r="K25" i="765"/>
  <c r="G25" i="765"/>
  <c r="AF24" i="765"/>
  <c r="AE24" i="765"/>
  <c r="Q24" i="765"/>
  <c r="O24" i="765"/>
  <c r="N24" i="765"/>
  <c r="P24" i="765" s="1"/>
  <c r="M24" i="765"/>
  <c r="K24" i="765"/>
  <c r="G24" i="765"/>
  <c r="AE23" i="765"/>
  <c r="O23" i="765"/>
  <c r="N23" i="765"/>
  <c r="Q23" i="765" s="1"/>
  <c r="M23" i="765"/>
  <c r="AF23" i="765" s="1"/>
  <c r="K23" i="765"/>
  <c r="G23" i="765"/>
  <c r="O22" i="765"/>
  <c r="M22" i="765"/>
  <c r="K22" i="765"/>
  <c r="G22" i="765"/>
  <c r="AD21" i="765"/>
  <c r="AC21" i="765"/>
  <c r="Z21" i="765"/>
  <c r="Y21" i="765"/>
  <c r="Y2" i="765" s="1"/>
  <c r="O6" i="763" s="1"/>
  <c r="L21" i="765"/>
  <c r="O21" i="765" s="1"/>
  <c r="K21" i="765"/>
  <c r="J21" i="765"/>
  <c r="I21" i="765"/>
  <c r="O9" i="765"/>
  <c r="M9" i="765"/>
  <c r="AF9" i="765" s="1"/>
  <c r="K9" i="765"/>
  <c r="G9" i="765"/>
  <c r="AF8" i="765"/>
  <c r="O8" i="765"/>
  <c r="M8" i="765"/>
  <c r="AE8" i="765" s="1"/>
  <c r="K8" i="765"/>
  <c r="G8" i="765"/>
  <c r="O7" i="765"/>
  <c r="M7" i="765"/>
  <c r="AE7" i="765" s="1"/>
  <c r="K7" i="765"/>
  <c r="G7" i="765"/>
  <c r="O6" i="765"/>
  <c r="N6" i="765"/>
  <c r="Q6" i="765" s="1"/>
  <c r="M6" i="765"/>
  <c r="AF6" i="765" s="1"/>
  <c r="K6" i="765"/>
  <c r="G6" i="765"/>
  <c r="O5" i="765"/>
  <c r="M5" i="765"/>
  <c r="K5" i="765"/>
  <c r="G5" i="765"/>
  <c r="H2" i="765"/>
  <c r="D1" i="765"/>
  <c r="F3" i="763" s="1"/>
  <c r="L140" i="764"/>
  <c r="O140" i="764" s="1"/>
  <c r="K140" i="764"/>
  <c r="J140" i="764"/>
  <c r="I140" i="764"/>
  <c r="O135" i="764"/>
  <c r="M135" i="764"/>
  <c r="AB135" i="764" s="1"/>
  <c r="K135" i="764"/>
  <c r="G135" i="764"/>
  <c r="AB134" i="764"/>
  <c r="AA134" i="764"/>
  <c r="O134" i="764"/>
  <c r="M134" i="764"/>
  <c r="N134" i="764" s="1"/>
  <c r="K134" i="764"/>
  <c r="G134" i="764"/>
  <c r="O133" i="764"/>
  <c r="M133" i="764"/>
  <c r="N133" i="764" s="1"/>
  <c r="K133" i="764"/>
  <c r="G133" i="764"/>
  <c r="O132" i="764"/>
  <c r="M132" i="764"/>
  <c r="AB132" i="764" s="1"/>
  <c r="K132" i="764"/>
  <c r="G132" i="764"/>
  <c r="O131" i="764"/>
  <c r="M131" i="764"/>
  <c r="AA131" i="764" s="1"/>
  <c r="K131" i="764"/>
  <c r="G131" i="764"/>
  <c r="AA130" i="764"/>
  <c r="O130" i="764"/>
  <c r="M130" i="764"/>
  <c r="N130" i="764" s="1"/>
  <c r="K130" i="764"/>
  <c r="G130" i="764"/>
  <c r="AB129" i="764"/>
  <c r="O129" i="764"/>
  <c r="M129" i="764"/>
  <c r="N129" i="764" s="1"/>
  <c r="K129" i="764"/>
  <c r="G129" i="764"/>
  <c r="O128" i="764"/>
  <c r="M128" i="764"/>
  <c r="AB128" i="764" s="1"/>
  <c r="K128" i="764"/>
  <c r="G128" i="764"/>
  <c r="O127" i="764"/>
  <c r="M127" i="764"/>
  <c r="AB127" i="764" s="1"/>
  <c r="K127" i="764"/>
  <c r="G127" i="764"/>
  <c r="AB126" i="764"/>
  <c r="O126" i="764"/>
  <c r="M126" i="764"/>
  <c r="N126" i="764" s="1"/>
  <c r="K126" i="764"/>
  <c r="G126" i="764"/>
  <c r="O125" i="764"/>
  <c r="M125" i="764"/>
  <c r="N125" i="764" s="1"/>
  <c r="K125" i="764"/>
  <c r="G125" i="764"/>
  <c r="AA124" i="764"/>
  <c r="O124" i="764"/>
  <c r="N124" i="764"/>
  <c r="P124" i="764" s="1"/>
  <c r="M124" i="764"/>
  <c r="K124" i="764"/>
  <c r="G124" i="764"/>
  <c r="L123" i="764"/>
  <c r="J123" i="764"/>
  <c r="I123" i="764"/>
  <c r="O114" i="764"/>
  <c r="N114" i="764"/>
  <c r="Q114" i="764" s="1"/>
  <c r="M114" i="764"/>
  <c r="AB114" i="764" s="1"/>
  <c r="K114" i="764"/>
  <c r="G114" i="764"/>
  <c r="O113" i="764"/>
  <c r="M113" i="764"/>
  <c r="AA113" i="764" s="1"/>
  <c r="K113" i="764"/>
  <c r="G113" i="764"/>
  <c r="O112" i="764"/>
  <c r="M112" i="764"/>
  <c r="AA112" i="764" s="1"/>
  <c r="K112" i="764"/>
  <c r="G112" i="764"/>
  <c r="O111" i="764"/>
  <c r="N111" i="764"/>
  <c r="P111" i="764" s="1"/>
  <c r="M111" i="764"/>
  <c r="AB111" i="764" s="1"/>
  <c r="K111" i="764"/>
  <c r="G111" i="764"/>
  <c r="O110" i="764"/>
  <c r="M110" i="764"/>
  <c r="AB110" i="764" s="1"/>
  <c r="K110" i="764"/>
  <c r="G110" i="764"/>
  <c r="O109" i="764"/>
  <c r="M109" i="764"/>
  <c r="AA109" i="764" s="1"/>
  <c r="K109" i="764"/>
  <c r="G109" i="764"/>
  <c r="O108" i="764"/>
  <c r="M108" i="764"/>
  <c r="AA108" i="764" s="1"/>
  <c r="K108" i="764"/>
  <c r="G108" i="764"/>
  <c r="O107" i="764"/>
  <c r="M107" i="764"/>
  <c r="N107" i="764" s="1"/>
  <c r="K107" i="764"/>
  <c r="G107" i="764"/>
  <c r="L106" i="764"/>
  <c r="O106" i="764" s="1"/>
  <c r="J106" i="764"/>
  <c r="K106" i="764" s="1"/>
  <c r="I106" i="764"/>
  <c r="O94" i="764"/>
  <c r="N94" i="764"/>
  <c r="Q94" i="764" s="1"/>
  <c r="M94" i="764"/>
  <c r="AB94" i="764" s="1"/>
  <c r="K94" i="764"/>
  <c r="G94" i="764"/>
  <c r="AB93" i="764"/>
  <c r="AA93" i="764"/>
  <c r="O93" i="764"/>
  <c r="M93" i="764"/>
  <c r="N93" i="764" s="1"/>
  <c r="K93" i="764"/>
  <c r="G93" i="764"/>
  <c r="AA92" i="764"/>
  <c r="O92" i="764"/>
  <c r="N92" i="764"/>
  <c r="P92" i="764" s="1"/>
  <c r="M92" i="764"/>
  <c r="AB92" i="764" s="1"/>
  <c r="K92" i="764"/>
  <c r="G92" i="764"/>
  <c r="O91" i="764"/>
  <c r="M91" i="764"/>
  <c r="AB91" i="764" s="1"/>
  <c r="K91" i="764"/>
  <c r="G91" i="764"/>
  <c r="O90" i="764"/>
  <c r="M90" i="764"/>
  <c r="AB90" i="764" s="1"/>
  <c r="K90" i="764"/>
  <c r="G90" i="764"/>
  <c r="L89" i="764"/>
  <c r="J89" i="764"/>
  <c r="I89" i="764"/>
  <c r="O75" i="764"/>
  <c r="M75" i="764"/>
  <c r="AA75" i="764" s="1"/>
  <c r="K75" i="764"/>
  <c r="G75" i="764"/>
  <c r="O74" i="764"/>
  <c r="M74" i="764"/>
  <c r="N74" i="764" s="1"/>
  <c r="K74" i="764"/>
  <c r="G74" i="764"/>
  <c r="AB73" i="764"/>
  <c r="AA73" i="764"/>
  <c r="Q73" i="764"/>
  <c r="P73" i="764"/>
  <c r="O73" i="764"/>
  <c r="N73" i="764"/>
  <c r="M73" i="764"/>
  <c r="K73" i="764"/>
  <c r="G73" i="764"/>
  <c r="L72" i="764"/>
  <c r="O72" i="764" s="1"/>
  <c r="J72" i="764"/>
  <c r="I72" i="764"/>
  <c r="O62" i="764"/>
  <c r="M62" i="764"/>
  <c r="AB62" i="764" s="1"/>
  <c r="K62" i="764"/>
  <c r="G62" i="764"/>
  <c r="O61" i="764"/>
  <c r="N61" i="764"/>
  <c r="Q61" i="764" s="1"/>
  <c r="M61" i="764"/>
  <c r="AB61" i="764" s="1"/>
  <c r="K61" i="764"/>
  <c r="G61" i="764"/>
  <c r="AB60" i="764"/>
  <c r="AA60" i="764"/>
  <c r="O60" i="764"/>
  <c r="M60" i="764"/>
  <c r="N60" i="764" s="1"/>
  <c r="K60" i="764"/>
  <c r="G60" i="764"/>
  <c r="AB59" i="764"/>
  <c r="O59" i="764"/>
  <c r="N59" i="764"/>
  <c r="Q59" i="764" s="1"/>
  <c r="M59" i="764"/>
  <c r="AA59" i="764" s="1"/>
  <c r="K59" i="764"/>
  <c r="G59" i="764"/>
  <c r="O58" i="764"/>
  <c r="M58" i="764"/>
  <c r="AB58" i="764" s="1"/>
  <c r="K58" i="764"/>
  <c r="G58" i="764"/>
  <c r="O57" i="764"/>
  <c r="M57" i="764"/>
  <c r="AB57" i="764" s="1"/>
  <c r="K57" i="764"/>
  <c r="G57" i="764"/>
  <c r="AA56" i="764"/>
  <c r="O56" i="764"/>
  <c r="M56" i="764"/>
  <c r="K56" i="764"/>
  <c r="G56" i="764"/>
  <c r="L55" i="764"/>
  <c r="J55" i="764"/>
  <c r="I55" i="764"/>
  <c r="O44" i="764"/>
  <c r="M44" i="764"/>
  <c r="N44" i="764" s="1"/>
  <c r="K44" i="764"/>
  <c r="G44" i="764"/>
  <c r="O43" i="764"/>
  <c r="M43" i="764"/>
  <c r="AB43" i="764" s="1"/>
  <c r="K43" i="764"/>
  <c r="G43" i="764"/>
  <c r="O42" i="764"/>
  <c r="N42" i="764"/>
  <c r="Q42" i="764" s="1"/>
  <c r="M42" i="764"/>
  <c r="AB42" i="764" s="1"/>
  <c r="K42" i="764"/>
  <c r="G42" i="764"/>
  <c r="O41" i="764"/>
  <c r="M41" i="764"/>
  <c r="AA41" i="764" s="1"/>
  <c r="K41" i="764"/>
  <c r="G41" i="764"/>
  <c r="O40" i="764"/>
  <c r="M40" i="764"/>
  <c r="N40" i="764" s="1"/>
  <c r="K40" i="764"/>
  <c r="G40" i="764"/>
  <c r="O39" i="764"/>
  <c r="N39" i="764"/>
  <c r="Q39" i="764" s="1"/>
  <c r="M39" i="764"/>
  <c r="K39" i="764"/>
  <c r="G39" i="764"/>
  <c r="L38" i="764"/>
  <c r="O38" i="764" s="1"/>
  <c r="K38" i="764"/>
  <c r="J38" i="764"/>
  <c r="I38" i="764"/>
  <c r="AB24" i="764"/>
  <c r="O24" i="764"/>
  <c r="M24" i="764"/>
  <c r="AA24" i="764" s="1"/>
  <c r="K24" i="764"/>
  <c r="G24" i="764"/>
  <c r="O23" i="764"/>
  <c r="M23" i="764"/>
  <c r="AA23" i="764" s="1"/>
  <c r="K23" i="764"/>
  <c r="G23" i="764"/>
  <c r="O22" i="764"/>
  <c r="N22" i="764"/>
  <c r="M22" i="764"/>
  <c r="M38" i="764" s="1"/>
  <c r="K22" i="764"/>
  <c r="G22" i="764"/>
  <c r="L21" i="764"/>
  <c r="J21" i="764"/>
  <c r="K21" i="764" s="1"/>
  <c r="I21" i="764"/>
  <c r="O9" i="764"/>
  <c r="N9" i="764"/>
  <c r="Q9" i="764" s="1"/>
  <c r="M9" i="764"/>
  <c r="AB9" i="764" s="1"/>
  <c r="K9" i="764"/>
  <c r="G9" i="764"/>
  <c r="O8" i="764"/>
  <c r="M8" i="764"/>
  <c r="AB8" i="764" s="1"/>
  <c r="K8" i="764"/>
  <c r="G8" i="764"/>
  <c r="O7" i="764"/>
  <c r="M7" i="764"/>
  <c r="N7" i="764" s="1"/>
  <c r="Q7" i="764" s="1"/>
  <c r="K7" i="764"/>
  <c r="G7" i="764"/>
  <c r="AA6" i="764"/>
  <c r="Q6" i="764"/>
  <c r="O6" i="764"/>
  <c r="N6" i="764"/>
  <c r="P6" i="764" s="1"/>
  <c r="M6" i="764"/>
  <c r="AB6" i="764" s="1"/>
  <c r="K6" i="764"/>
  <c r="G6" i="764"/>
  <c r="O5" i="764"/>
  <c r="M5" i="764"/>
  <c r="K5" i="764"/>
  <c r="G5" i="764"/>
  <c r="H2" i="764"/>
  <c r="D1" i="764"/>
  <c r="X34" i="763"/>
  <c r="W34" i="763"/>
  <c r="V34" i="763"/>
  <c r="P34" i="763"/>
  <c r="O34" i="763"/>
  <c r="N34" i="763"/>
  <c r="M34" i="763"/>
  <c r="G34" i="763"/>
  <c r="N16" i="763"/>
  <c r="M16" i="763"/>
  <c r="J16" i="763"/>
  <c r="I16" i="763"/>
  <c r="H16" i="763"/>
  <c r="G16" i="763"/>
  <c r="F16" i="763"/>
  <c r="E16" i="763"/>
  <c r="G8" i="763" s="1"/>
  <c r="I8" i="763"/>
  <c r="F8" i="763"/>
  <c r="M7" i="763"/>
  <c r="K7" i="763"/>
  <c r="I7" i="763"/>
  <c r="G7" i="763"/>
  <c r="F7" i="763"/>
  <c r="E7" i="763"/>
  <c r="M6" i="763"/>
  <c r="K6" i="763"/>
  <c r="I6" i="763"/>
  <c r="G6" i="763"/>
  <c r="F6" i="763"/>
  <c r="E6" i="763"/>
  <c r="AD140" i="762"/>
  <c r="Z140" i="762"/>
  <c r="Y140" i="762"/>
  <c r="L140" i="762"/>
  <c r="J140" i="762"/>
  <c r="I140" i="762"/>
  <c r="O126" i="762"/>
  <c r="M126" i="762"/>
  <c r="AF126" i="762" s="1"/>
  <c r="K126" i="762"/>
  <c r="G126" i="762"/>
  <c r="AE125" i="762"/>
  <c r="O125" i="762"/>
  <c r="M125" i="762"/>
  <c r="AF125" i="762" s="1"/>
  <c r="K125" i="762"/>
  <c r="G125" i="762"/>
  <c r="AF124" i="762"/>
  <c r="AE124" i="762"/>
  <c r="O124" i="762"/>
  <c r="M124" i="762"/>
  <c r="M140" i="762" s="1"/>
  <c r="AF140" i="762" s="1"/>
  <c r="AG124" i="762" s="1"/>
  <c r="K124" i="762"/>
  <c r="G124" i="762"/>
  <c r="AD123" i="762"/>
  <c r="Z123" i="762"/>
  <c r="Y123" i="762"/>
  <c r="L123" i="762"/>
  <c r="J123" i="762"/>
  <c r="I123" i="762"/>
  <c r="K123" i="762" s="1"/>
  <c r="O109" i="762"/>
  <c r="M109" i="762"/>
  <c r="AE109" i="762" s="1"/>
  <c r="K109" i="762"/>
  <c r="G109" i="762"/>
  <c r="O108" i="762"/>
  <c r="M108" i="762"/>
  <c r="N108" i="762" s="1"/>
  <c r="K108" i="762"/>
  <c r="G108" i="762"/>
  <c r="O107" i="762"/>
  <c r="M107" i="762"/>
  <c r="N107" i="762" s="1"/>
  <c r="K107" i="762"/>
  <c r="G107" i="762"/>
  <c r="AD106" i="762"/>
  <c r="Z106" i="762"/>
  <c r="Y106" i="762"/>
  <c r="L106" i="762"/>
  <c r="K106" i="762"/>
  <c r="J106" i="762"/>
  <c r="I106" i="762"/>
  <c r="AE91" i="762"/>
  <c r="O91" i="762"/>
  <c r="M91" i="762"/>
  <c r="N91" i="762" s="1"/>
  <c r="K91" i="762"/>
  <c r="G91" i="762"/>
  <c r="AE90" i="762"/>
  <c r="O90" i="762"/>
  <c r="N90" i="762"/>
  <c r="Q90" i="762" s="1"/>
  <c r="M90" i="762"/>
  <c r="AF90" i="762" s="1"/>
  <c r="K90" i="762"/>
  <c r="G90" i="762"/>
  <c r="AD89" i="762"/>
  <c r="Z89" i="762"/>
  <c r="Y89" i="762"/>
  <c r="L89" i="762"/>
  <c r="O89" i="762" s="1"/>
  <c r="J89" i="762"/>
  <c r="K89" i="762" s="1"/>
  <c r="I89" i="762"/>
  <c r="AF75" i="762"/>
  <c r="AE75" i="762"/>
  <c r="O75" i="762"/>
  <c r="N75" i="762"/>
  <c r="Q75" i="762" s="1"/>
  <c r="M75" i="762"/>
  <c r="K75" i="762"/>
  <c r="G75" i="762"/>
  <c r="O74" i="762"/>
  <c r="M74" i="762"/>
  <c r="AF74" i="762" s="1"/>
  <c r="K74" i="762"/>
  <c r="G74" i="762"/>
  <c r="AE73" i="762"/>
  <c r="O73" i="762"/>
  <c r="M73" i="762"/>
  <c r="K73" i="762"/>
  <c r="G73" i="762"/>
  <c r="AD72" i="762"/>
  <c r="Z72" i="762"/>
  <c r="Y72" i="762"/>
  <c r="L72" i="762"/>
  <c r="O72" i="762" s="1"/>
  <c r="K72" i="762"/>
  <c r="J72" i="762"/>
  <c r="I72" i="762"/>
  <c r="AF63" i="762"/>
  <c r="O63" i="762"/>
  <c r="M63" i="762"/>
  <c r="AE63" i="762" s="1"/>
  <c r="K63" i="762"/>
  <c r="G63" i="762"/>
  <c r="AF62" i="762"/>
  <c r="O62" i="762"/>
  <c r="M62" i="762"/>
  <c r="AE62" i="762" s="1"/>
  <c r="K62" i="762"/>
  <c r="G62" i="762"/>
  <c r="O61" i="762"/>
  <c r="M61" i="762"/>
  <c r="N61" i="762" s="1"/>
  <c r="K61" i="762"/>
  <c r="G61" i="762"/>
  <c r="O60" i="762"/>
  <c r="N60" i="762"/>
  <c r="Q60" i="762" s="1"/>
  <c r="M60" i="762"/>
  <c r="AF60" i="762" s="1"/>
  <c r="K60" i="762"/>
  <c r="G60" i="762"/>
  <c r="AF59" i="762"/>
  <c r="O59" i="762"/>
  <c r="M59" i="762"/>
  <c r="AE59" i="762" s="1"/>
  <c r="K59" i="762"/>
  <c r="G59" i="762"/>
  <c r="AF58" i="762"/>
  <c r="O58" i="762"/>
  <c r="M58" i="762"/>
  <c r="AE58" i="762" s="1"/>
  <c r="K58" i="762"/>
  <c r="G58" i="762"/>
  <c r="O57" i="762"/>
  <c r="M57" i="762"/>
  <c r="N57" i="762" s="1"/>
  <c r="K57" i="762"/>
  <c r="G57" i="762"/>
  <c r="O56" i="762"/>
  <c r="M56" i="762"/>
  <c r="N56" i="762" s="1"/>
  <c r="K56" i="762"/>
  <c r="G56" i="762"/>
  <c r="AD55" i="762"/>
  <c r="Z55" i="762"/>
  <c r="Y55" i="762"/>
  <c r="L55" i="762"/>
  <c r="J55" i="762"/>
  <c r="K55" i="762" s="1"/>
  <c r="I55" i="762"/>
  <c r="O45" i="762"/>
  <c r="M45" i="762"/>
  <c r="N45" i="762" s="1"/>
  <c r="K45" i="762"/>
  <c r="G45" i="762"/>
  <c r="O44" i="762"/>
  <c r="M44" i="762"/>
  <c r="AE44" i="762" s="1"/>
  <c r="K44" i="762"/>
  <c r="G44" i="762"/>
  <c r="AE43" i="762"/>
  <c r="P43" i="762"/>
  <c r="O43" i="762"/>
  <c r="N43" i="762"/>
  <c r="Q43" i="762" s="1"/>
  <c r="M43" i="762"/>
  <c r="AF43" i="762" s="1"/>
  <c r="K43" i="762"/>
  <c r="G43" i="762"/>
  <c r="O42" i="762"/>
  <c r="M42" i="762"/>
  <c r="N42" i="762" s="1"/>
  <c r="K42" i="762"/>
  <c r="G42" i="762"/>
  <c r="O41" i="762"/>
  <c r="M41" i="762"/>
  <c r="N41" i="762" s="1"/>
  <c r="K41" i="762"/>
  <c r="G41" i="762"/>
  <c r="AF40" i="762"/>
  <c r="O40" i="762"/>
  <c r="M40" i="762"/>
  <c r="AE40" i="762" s="1"/>
  <c r="K40" i="762"/>
  <c r="G40" i="762"/>
  <c r="AF39" i="762"/>
  <c r="O39" i="762"/>
  <c r="N39" i="762"/>
  <c r="Q39" i="762" s="1"/>
  <c r="M39" i="762"/>
  <c r="AE39" i="762" s="1"/>
  <c r="K39" i="762"/>
  <c r="G39" i="762"/>
  <c r="AD38" i="762"/>
  <c r="Z38" i="762"/>
  <c r="Y38" i="762"/>
  <c r="L38" i="762"/>
  <c r="J38" i="762"/>
  <c r="I38" i="762"/>
  <c r="O29" i="762"/>
  <c r="M29" i="762"/>
  <c r="AF29" i="762" s="1"/>
  <c r="K29" i="762"/>
  <c r="G29" i="762"/>
  <c r="O28" i="762"/>
  <c r="M28" i="762"/>
  <c r="AF28" i="762" s="1"/>
  <c r="K28" i="762"/>
  <c r="G28" i="762"/>
  <c r="AE27" i="762"/>
  <c r="O27" i="762"/>
  <c r="N27" i="762"/>
  <c r="M27" i="762"/>
  <c r="AF27" i="762" s="1"/>
  <c r="K27" i="762"/>
  <c r="G27" i="762"/>
  <c r="AF26" i="762"/>
  <c r="O26" i="762"/>
  <c r="M26" i="762"/>
  <c r="AE26" i="762" s="1"/>
  <c r="K26" i="762"/>
  <c r="G26" i="762"/>
  <c r="O25" i="762"/>
  <c r="M25" i="762"/>
  <c r="AF25" i="762" s="1"/>
  <c r="K25" i="762"/>
  <c r="G25" i="762"/>
  <c r="O24" i="762"/>
  <c r="M24" i="762"/>
  <c r="AF24" i="762" s="1"/>
  <c r="K24" i="762"/>
  <c r="G24" i="762"/>
  <c r="AE23" i="762"/>
  <c r="O23" i="762"/>
  <c r="N23" i="762"/>
  <c r="P23" i="762" s="1"/>
  <c r="M23" i="762"/>
  <c r="AF23" i="762" s="1"/>
  <c r="K23" i="762"/>
  <c r="G23" i="762"/>
  <c r="O22" i="762"/>
  <c r="M22" i="762"/>
  <c r="N22" i="762" s="1"/>
  <c r="K22" i="762"/>
  <c r="G22" i="762"/>
  <c r="AD21" i="762"/>
  <c r="Z21" i="762"/>
  <c r="Y21" i="762"/>
  <c r="L21" i="762"/>
  <c r="O21" i="762" s="1"/>
  <c r="J21" i="762"/>
  <c r="K21" i="762" s="1"/>
  <c r="I21" i="762"/>
  <c r="O9" i="762"/>
  <c r="M9" i="762"/>
  <c r="N9" i="762" s="1"/>
  <c r="K9" i="762"/>
  <c r="G9" i="762"/>
  <c r="O8" i="762"/>
  <c r="M8" i="762"/>
  <c r="AF8" i="762" s="1"/>
  <c r="K8" i="762"/>
  <c r="G8" i="762"/>
  <c r="AF7" i="762"/>
  <c r="O7" i="762"/>
  <c r="M7" i="762"/>
  <c r="AE7" i="762" s="1"/>
  <c r="K7" i="762"/>
  <c r="G7" i="762"/>
  <c r="O6" i="762"/>
  <c r="M6" i="762"/>
  <c r="AE6" i="762" s="1"/>
  <c r="K6" i="762"/>
  <c r="G6" i="762"/>
  <c r="O5" i="762"/>
  <c r="M5" i="762"/>
  <c r="K5" i="762"/>
  <c r="G5" i="762"/>
  <c r="H2" i="762"/>
  <c r="D1" i="762"/>
  <c r="F3" i="760" s="1"/>
  <c r="L140" i="761"/>
  <c r="J140" i="761"/>
  <c r="I140" i="761"/>
  <c r="AB135" i="761"/>
  <c r="O135" i="761"/>
  <c r="M135" i="761"/>
  <c r="AA135" i="761" s="1"/>
  <c r="K135" i="761"/>
  <c r="G135" i="761"/>
  <c r="AA134" i="761"/>
  <c r="O134" i="761"/>
  <c r="M134" i="761"/>
  <c r="AB134" i="761" s="1"/>
  <c r="K134" i="761"/>
  <c r="G134" i="761"/>
  <c r="O133" i="761"/>
  <c r="M133" i="761"/>
  <c r="N133" i="761" s="1"/>
  <c r="K133" i="761"/>
  <c r="G133" i="761"/>
  <c r="O132" i="761"/>
  <c r="M132" i="761"/>
  <c r="N132" i="761" s="1"/>
  <c r="K132" i="761"/>
  <c r="G132" i="761"/>
  <c r="AB131" i="761"/>
  <c r="O131" i="761"/>
  <c r="M131" i="761"/>
  <c r="AA131" i="761" s="1"/>
  <c r="K131" i="761"/>
  <c r="G131" i="761"/>
  <c r="AA130" i="761"/>
  <c r="O130" i="761"/>
  <c r="M130" i="761"/>
  <c r="AB130" i="761" s="1"/>
  <c r="K130" i="761"/>
  <c r="G130" i="761"/>
  <c r="O129" i="761"/>
  <c r="M129" i="761"/>
  <c r="N129" i="761" s="1"/>
  <c r="K129" i="761"/>
  <c r="G129" i="761"/>
  <c r="O128" i="761"/>
  <c r="M128" i="761"/>
  <c r="N128" i="761" s="1"/>
  <c r="K128" i="761"/>
  <c r="G128" i="761"/>
  <c r="AB127" i="761"/>
  <c r="O127" i="761"/>
  <c r="M127" i="761"/>
  <c r="AA127" i="761" s="1"/>
  <c r="K127" i="761"/>
  <c r="G127" i="761"/>
  <c r="AA126" i="761"/>
  <c r="O126" i="761"/>
  <c r="M126" i="761"/>
  <c r="AB126" i="761" s="1"/>
  <c r="K126" i="761"/>
  <c r="G126" i="761"/>
  <c r="O125" i="761"/>
  <c r="M125" i="761"/>
  <c r="N125" i="761" s="1"/>
  <c r="K125" i="761"/>
  <c r="G125" i="761"/>
  <c r="O124" i="761"/>
  <c r="M124" i="761"/>
  <c r="AA124" i="761" s="1"/>
  <c r="K124" i="761"/>
  <c r="G124" i="761"/>
  <c r="L123" i="761"/>
  <c r="J123" i="761"/>
  <c r="I123" i="761"/>
  <c r="O114" i="761"/>
  <c r="M114" i="761"/>
  <c r="AB114" i="761" s="1"/>
  <c r="K114" i="761"/>
  <c r="G114" i="761"/>
  <c r="AB113" i="761"/>
  <c r="O113" i="761"/>
  <c r="M113" i="761"/>
  <c r="AA113" i="761" s="1"/>
  <c r="K113" i="761"/>
  <c r="G113" i="761"/>
  <c r="O112" i="761"/>
  <c r="M112" i="761"/>
  <c r="AA112" i="761" s="1"/>
  <c r="K112" i="761"/>
  <c r="G112" i="761"/>
  <c r="O111" i="761"/>
  <c r="M111" i="761"/>
  <c r="N111" i="761" s="1"/>
  <c r="K111" i="761"/>
  <c r="G111" i="761"/>
  <c r="O110" i="761"/>
  <c r="M110" i="761"/>
  <c r="AB110" i="761" s="1"/>
  <c r="K110" i="761"/>
  <c r="G110" i="761"/>
  <c r="AB109" i="761"/>
  <c r="O109" i="761"/>
  <c r="M109" i="761"/>
  <c r="AA109" i="761" s="1"/>
  <c r="K109" i="761"/>
  <c r="G109" i="761"/>
  <c r="O108" i="761"/>
  <c r="M108" i="761"/>
  <c r="AA108" i="761" s="1"/>
  <c r="K108" i="761"/>
  <c r="G108" i="761"/>
  <c r="O107" i="761"/>
  <c r="M107" i="761"/>
  <c r="K107" i="761"/>
  <c r="G107" i="761"/>
  <c r="L106" i="761"/>
  <c r="J106" i="761"/>
  <c r="I106" i="761"/>
  <c r="O94" i="761"/>
  <c r="N94" i="761"/>
  <c r="Q94" i="761" s="1"/>
  <c r="M94" i="761"/>
  <c r="AB94" i="761" s="1"/>
  <c r="K94" i="761"/>
  <c r="G94" i="761"/>
  <c r="O93" i="761"/>
  <c r="M93" i="761"/>
  <c r="AA93" i="761" s="1"/>
  <c r="K93" i="761"/>
  <c r="G93" i="761"/>
  <c r="O92" i="761"/>
  <c r="M92" i="761"/>
  <c r="AB92" i="761" s="1"/>
  <c r="K92" i="761"/>
  <c r="G92" i="761"/>
  <c r="AA91" i="761"/>
  <c r="O91" i="761"/>
  <c r="N91" i="761"/>
  <c r="P91" i="761" s="1"/>
  <c r="M91" i="761"/>
  <c r="AB91" i="761" s="1"/>
  <c r="K91" i="761"/>
  <c r="G91" i="761"/>
  <c r="O90" i="761"/>
  <c r="M90" i="761"/>
  <c r="K90" i="761"/>
  <c r="G90" i="761"/>
  <c r="L89" i="761"/>
  <c r="O89" i="761" s="1"/>
  <c r="J89" i="761"/>
  <c r="I89" i="761"/>
  <c r="AB75" i="761"/>
  <c r="O75" i="761"/>
  <c r="M75" i="761"/>
  <c r="AA75" i="761" s="1"/>
  <c r="K75" i="761"/>
  <c r="G75" i="761"/>
  <c r="AA74" i="761"/>
  <c r="O74" i="761"/>
  <c r="M74" i="761"/>
  <c r="AB74" i="761" s="1"/>
  <c r="K74" i="761"/>
  <c r="G74" i="761"/>
  <c r="AB73" i="761"/>
  <c r="AA73" i="761"/>
  <c r="O73" i="761"/>
  <c r="M73" i="761"/>
  <c r="N73" i="761" s="1"/>
  <c r="Q73" i="761" s="1"/>
  <c r="K73" i="761"/>
  <c r="G73" i="761"/>
  <c r="L72" i="761"/>
  <c r="J72" i="761"/>
  <c r="I72" i="761"/>
  <c r="K72" i="761" s="1"/>
  <c r="O62" i="761"/>
  <c r="M62" i="761"/>
  <c r="N62" i="761" s="1"/>
  <c r="K62" i="761"/>
  <c r="G62" i="761"/>
  <c r="O61" i="761"/>
  <c r="M61" i="761"/>
  <c r="AB61" i="761" s="1"/>
  <c r="K61" i="761"/>
  <c r="G61" i="761"/>
  <c r="AB60" i="761"/>
  <c r="Q60" i="761"/>
  <c r="O60" i="761"/>
  <c r="N60" i="761"/>
  <c r="M60" i="761"/>
  <c r="AA60" i="761" s="1"/>
  <c r="K60" i="761"/>
  <c r="G60" i="761"/>
  <c r="AB59" i="761"/>
  <c r="O59" i="761"/>
  <c r="M59" i="761"/>
  <c r="AA59" i="761" s="1"/>
  <c r="K59" i="761"/>
  <c r="G59" i="761"/>
  <c r="O58" i="761"/>
  <c r="M58" i="761"/>
  <c r="N58" i="761" s="1"/>
  <c r="K58" i="761"/>
  <c r="G58" i="761"/>
  <c r="O57" i="761"/>
  <c r="N57" i="761"/>
  <c r="Q57" i="761" s="1"/>
  <c r="M57" i="761"/>
  <c r="AB57" i="761" s="1"/>
  <c r="K57" i="761"/>
  <c r="G57" i="761"/>
  <c r="AA56" i="761"/>
  <c r="O56" i="761"/>
  <c r="M56" i="761"/>
  <c r="K56" i="761"/>
  <c r="G56" i="761"/>
  <c r="L55" i="761"/>
  <c r="J55" i="761"/>
  <c r="I55" i="761"/>
  <c r="O44" i="761"/>
  <c r="M44" i="761"/>
  <c r="N44" i="761" s="1"/>
  <c r="K44" i="761"/>
  <c r="G44" i="761"/>
  <c r="AA43" i="761"/>
  <c r="O43" i="761"/>
  <c r="N43" i="761"/>
  <c r="P43" i="761" s="1"/>
  <c r="M43" i="761"/>
  <c r="AB43" i="761" s="1"/>
  <c r="K43" i="761"/>
  <c r="G43" i="761"/>
  <c r="O42" i="761"/>
  <c r="M42" i="761"/>
  <c r="AB42" i="761" s="1"/>
  <c r="K42" i="761"/>
  <c r="G42" i="761"/>
  <c r="O41" i="761"/>
  <c r="M41" i="761"/>
  <c r="AB41" i="761" s="1"/>
  <c r="K41" i="761"/>
  <c r="G41" i="761"/>
  <c r="AB40" i="761"/>
  <c r="AA40" i="761"/>
  <c r="O40" i="761"/>
  <c r="M40" i="761"/>
  <c r="N40" i="761" s="1"/>
  <c r="K40" i="761"/>
  <c r="G40" i="761"/>
  <c r="O39" i="761"/>
  <c r="M39" i="761"/>
  <c r="AB39" i="761" s="1"/>
  <c r="K39" i="761"/>
  <c r="G39" i="761"/>
  <c r="L38" i="761"/>
  <c r="J38" i="761"/>
  <c r="K38" i="761" s="1"/>
  <c r="I38" i="761"/>
  <c r="O24" i="761"/>
  <c r="M24" i="761"/>
  <c r="N24" i="761" s="1"/>
  <c r="K24" i="761"/>
  <c r="G24" i="761"/>
  <c r="AB23" i="761"/>
  <c r="O23" i="761"/>
  <c r="M23" i="761"/>
  <c r="AA23" i="761" s="1"/>
  <c r="K23" i="761"/>
  <c r="G23" i="761"/>
  <c r="AB22" i="761"/>
  <c r="AA22" i="761"/>
  <c r="O22" i="761"/>
  <c r="M22" i="761"/>
  <c r="N22" i="761" s="1"/>
  <c r="Q22" i="761" s="1"/>
  <c r="K22" i="761"/>
  <c r="G22" i="761"/>
  <c r="L21" i="761"/>
  <c r="O21" i="761" s="1"/>
  <c r="J21" i="761"/>
  <c r="I21" i="761"/>
  <c r="AB9" i="761"/>
  <c r="O9" i="761"/>
  <c r="N9" i="761"/>
  <c r="Q9" i="761" s="1"/>
  <c r="M9" i="761"/>
  <c r="AA9" i="761" s="1"/>
  <c r="K9" i="761"/>
  <c r="G9" i="761"/>
  <c r="O8" i="761"/>
  <c r="M8" i="761"/>
  <c r="N8" i="761" s="1"/>
  <c r="K8" i="761"/>
  <c r="G8" i="761"/>
  <c r="O7" i="761"/>
  <c r="M7" i="761"/>
  <c r="AB7" i="761" s="1"/>
  <c r="K7" i="761"/>
  <c r="G7" i="761"/>
  <c r="O6" i="761"/>
  <c r="N6" i="761"/>
  <c r="P6" i="761" s="1"/>
  <c r="M6" i="761"/>
  <c r="AA6" i="761" s="1"/>
  <c r="K6" i="761"/>
  <c r="G6" i="761"/>
  <c r="O5" i="761"/>
  <c r="M5" i="761"/>
  <c r="AB5" i="761" s="1"/>
  <c r="K5" i="761"/>
  <c r="G5" i="761"/>
  <c r="H2" i="761"/>
  <c r="D1" i="761"/>
  <c r="X34" i="760"/>
  <c r="W34" i="760"/>
  <c r="V34" i="760"/>
  <c r="P34" i="760"/>
  <c r="O34" i="760"/>
  <c r="N34" i="760"/>
  <c r="M34" i="760"/>
  <c r="K8" i="760" s="1"/>
  <c r="G34" i="760"/>
  <c r="N16" i="760"/>
  <c r="M16" i="760"/>
  <c r="I8" i="760" s="1"/>
  <c r="J16" i="760"/>
  <c r="I16" i="760"/>
  <c r="H16" i="760"/>
  <c r="G16" i="760"/>
  <c r="F16" i="760"/>
  <c r="E16" i="760"/>
  <c r="F8" i="760"/>
  <c r="M7" i="760"/>
  <c r="K7" i="760"/>
  <c r="I7" i="760"/>
  <c r="G7" i="760"/>
  <c r="F7" i="760"/>
  <c r="E7" i="760"/>
  <c r="M6" i="760"/>
  <c r="K6" i="760"/>
  <c r="I6" i="760"/>
  <c r="G6" i="760"/>
  <c r="F6" i="760"/>
  <c r="E6" i="760"/>
  <c r="AD140" i="759"/>
  <c r="Z140" i="759"/>
  <c r="Y140" i="759"/>
  <c r="M140" i="759"/>
  <c r="AF140" i="759" s="1"/>
  <c r="AG124" i="759" s="1"/>
  <c r="L140" i="759"/>
  <c r="O140" i="759" s="1"/>
  <c r="J140" i="759"/>
  <c r="K140" i="759" s="1"/>
  <c r="I140" i="759"/>
  <c r="O126" i="759"/>
  <c r="M126" i="759"/>
  <c r="AF126" i="759" s="1"/>
  <c r="K126" i="759"/>
  <c r="G126" i="759"/>
  <c r="AE125" i="759"/>
  <c r="O125" i="759"/>
  <c r="M125" i="759"/>
  <c r="AF125" i="759" s="1"/>
  <c r="K125" i="759"/>
  <c r="G125" i="759"/>
  <c r="AE124" i="759"/>
  <c r="O124" i="759"/>
  <c r="M124" i="759"/>
  <c r="N124" i="759" s="1"/>
  <c r="K124" i="759"/>
  <c r="G124" i="759"/>
  <c r="AD123" i="759"/>
  <c r="Z123" i="759"/>
  <c r="Y123" i="759"/>
  <c r="L123" i="759"/>
  <c r="O123" i="759" s="1"/>
  <c r="J123" i="759"/>
  <c r="K123" i="759" s="1"/>
  <c r="I123" i="759"/>
  <c r="O109" i="759"/>
  <c r="M109" i="759"/>
  <c r="AE109" i="759" s="1"/>
  <c r="K109" i="759"/>
  <c r="G109" i="759"/>
  <c r="O108" i="759"/>
  <c r="M108" i="759"/>
  <c r="AF108" i="759" s="1"/>
  <c r="K108" i="759"/>
  <c r="G108" i="759"/>
  <c r="O107" i="759"/>
  <c r="M107" i="759"/>
  <c r="N107" i="759" s="1"/>
  <c r="K107" i="759"/>
  <c r="G107" i="759"/>
  <c r="AD106" i="759"/>
  <c r="Z106" i="759"/>
  <c r="Y106" i="759"/>
  <c r="L106" i="759"/>
  <c r="J106" i="759"/>
  <c r="I106" i="759"/>
  <c r="AF91" i="759"/>
  <c r="O91" i="759"/>
  <c r="M91" i="759"/>
  <c r="N91" i="759" s="1"/>
  <c r="K91" i="759"/>
  <c r="G91" i="759"/>
  <c r="O90" i="759"/>
  <c r="N90" i="759"/>
  <c r="Q90" i="759" s="1"/>
  <c r="M90" i="759"/>
  <c r="AF90" i="759" s="1"/>
  <c r="K90" i="759"/>
  <c r="G90" i="759"/>
  <c r="AD89" i="759"/>
  <c r="Z89" i="759"/>
  <c r="Y89" i="759"/>
  <c r="L89" i="759"/>
  <c r="J89" i="759"/>
  <c r="K89" i="759" s="1"/>
  <c r="I89" i="759"/>
  <c r="O89" i="759" s="1"/>
  <c r="AE75" i="759"/>
  <c r="O75" i="759"/>
  <c r="N75" i="759"/>
  <c r="Q75" i="759" s="1"/>
  <c r="M75" i="759"/>
  <c r="AF75" i="759" s="1"/>
  <c r="K75" i="759"/>
  <c r="G75" i="759"/>
  <c r="O74" i="759"/>
  <c r="M74" i="759"/>
  <c r="N74" i="759" s="1"/>
  <c r="K74" i="759"/>
  <c r="G74" i="759"/>
  <c r="AF73" i="759"/>
  <c r="AE73" i="759"/>
  <c r="O73" i="759"/>
  <c r="M73" i="759"/>
  <c r="N73" i="759" s="1"/>
  <c r="Q73" i="759" s="1"/>
  <c r="K73" i="759"/>
  <c r="G73" i="759"/>
  <c r="AD72" i="759"/>
  <c r="Z72" i="759"/>
  <c r="Y72" i="759"/>
  <c r="L72" i="759"/>
  <c r="J72" i="759"/>
  <c r="K72" i="759" s="1"/>
  <c r="I72" i="759"/>
  <c r="AF63" i="759"/>
  <c r="O63" i="759"/>
  <c r="N63" i="759"/>
  <c r="Q63" i="759" s="1"/>
  <c r="M63" i="759"/>
  <c r="AE63" i="759" s="1"/>
  <c r="K63" i="759"/>
  <c r="G63" i="759"/>
  <c r="AF62" i="759"/>
  <c r="AE62" i="759"/>
  <c r="O62" i="759"/>
  <c r="N62" i="759"/>
  <c r="Q62" i="759" s="1"/>
  <c r="M62" i="759"/>
  <c r="K62" i="759"/>
  <c r="G62" i="759"/>
  <c r="O61" i="759"/>
  <c r="M61" i="759"/>
  <c r="N61" i="759" s="1"/>
  <c r="K61" i="759"/>
  <c r="G61" i="759"/>
  <c r="O60" i="759"/>
  <c r="M60" i="759"/>
  <c r="AF60" i="759" s="1"/>
  <c r="K60" i="759"/>
  <c r="G60" i="759"/>
  <c r="AF59" i="759"/>
  <c r="AE59" i="759"/>
  <c r="O59" i="759"/>
  <c r="N59" i="759"/>
  <c r="Q59" i="759" s="1"/>
  <c r="M59" i="759"/>
  <c r="K59" i="759"/>
  <c r="G59" i="759"/>
  <c r="AF58" i="759"/>
  <c r="AE58" i="759"/>
  <c r="O58" i="759"/>
  <c r="N58" i="759"/>
  <c r="Q58" i="759" s="1"/>
  <c r="M58" i="759"/>
  <c r="K58" i="759"/>
  <c r="G58" i="759"/>
  <c r="O57" i="759"/>
  <c r="M57" i="759"/>
  <c r="N57" i="759" s="1"/>
  <c r="K57" i="759"/>
  <c r="G57" i="759"/>
  <c r="O56" i="759"/>
  <c r="M56" i="759"/>
  <c r="N56" i="759" s="1"/>
  <c r="K56" i="759"/>
  <c r="G56" i="759"/>
  <c r="AD55" i="759"/>
  <c r="Z55" i="759"/>
  <c r="Y55" i="759"/>
  <c r="L55" i="759"/>
  <c r="O55" i="759" s="1"/>
  <c r="J55" i="759"/>
  <c r="K55" i="759" s="1"/>
  <c r="I55" i="759"/>
  <c r="O45" i="759"/>
  <c r="M45" i="759"/>
  <c r="N45" i="759" s="1"/>
  <c r="K45" i="759"/>
  <c r="G45" i="759"/>
  <c r="O44" i="759"/>
  <c r="M44" i="759"/>
  <c r="AF44" i="759" s="1"/>
  <c r="K44" i="759"/>
  <c r="G44" i="759"/>
  <c r="AE43" i="759"/>
  <c r="O43" i="759"/>
  <c r="M43" i="759"/>
  <c r="AF43" i="759" s="1"/>
  <c r="K43" i="759"/>
  <c r="G43" i="759"/>
  <c r="O42" i="759"/>
  <c r="M42" i="759"/>
  <c r="AE42" i="759" s="1"/>
  <c r="K42" i="759"/>
  <c r="G42" i="759"/>
  <c r="O41" i="759"/>
  <c r="M41" i="759"/>
  <c r="N41" i="759" s="1"/>
  <c r="K41" i="759"/>
  <c r="G41" i="759"/>
  <c r="O40" i="759"/>
  <c r="M40" i="759"/>
  <c r="M55" i="759" s="1"/>
  <c r="K40" i="759"/>
  <c r="G40" i="759"/>
  <c r="AF39" i="759"/>
  <c r="AE39" i="759"/>
  <c r="O39" i="759"/>
  <c r="N39" i="759"/>
  <c r="Q39" i="759" s="1"/>
  <c r="M39" i="759"/>
  <c r="K39" i="759"/>
  <c r="G39" i="759"/>
  <c r="AD38" i="759"/>
  <c r="Z38" i="759"/>
  <c r="Y38" i="759"/>
  <c r="L38" i="759"/>
  <c r="J38" i="759"/>
  <c r="I38" i="759"/>
  <c r="O28" i="759"/>
  <c r="M28" i="759"/>
  <c r="AE28" i="759" s="1"/>
  <c r="K28" i="759"/>
  <c r="G28" i="759"/>
  <c r="AE27" i="759"/>
  <c r="O27" i="759"/>
  <c r="M27" i="759"/>
  <c r="AF27" i="759" s="1"/>
  <c r="K27" i="759"/>
  <c r="G27" i="759"/>
  <c r="O26" i="759"/>
  <c r="M26" i="759"/>
  <c r="AF26" i="759" s="1"/>
  <c r="K26" i="759"/>
  <c r="G26" i="759"/>
  <c r="AE25" i="759"/>
  <c r="O25" i="759"/>
  <c r="N25" i="759"/>
  <c r="Q25" i="759" s="1"/>
  <c r="M25" i="759"/>
  <c r="AF25" i="759" s="1"/>
  <c r="K25" i="759"/>
  <c r="G25" i="759"/>
  <c r="AF24" i="759"/>
  <c r="O24" i="759"/>
  <c r="N24" i="759"/>
  <c r="Q24" i="759" s="1"/>
  <c r="M24" i="759"/>
  <c r="AE24" i="759" s="1"/>
  <c r="K24" i="759"/>
  <c r="G24" i="759"/>
  <c r="O23" i="759"/>
  <c r="M23" i="759"/>
  <c r="AE23" i="759" s="1"/>
  <c r="K23" i="759"/>
  <c r="G23" i="759"/>
  <c r="AE22" i="759"/>
  <c r="O22" i="759"/>
  <c r="N22" i="759"/>
  <c r="Q22" i="759" s="1"/>
  <c r="M22" i="759"/>
  <c r="K22" i="759"/>
  <c r="G22" i="759"/>
  <c r="AD21" i="759"/>
  <c r="AD2" i="759" s="1"/>
  <c r="R6" i="757" s="1"/>
  <c r="Z21" i="759"/>
  <c r="Z2" i="759" s="1"/>
  <c r="P6" i="757" s="1"/>
  <c r="Y21" i="759"/>
  <c r="Y2" i="759" s="1"/>
  <c r="O6" i="757" s="1"/>
  <c r="L21" i="759"/>
  <c r="O21" i="759" s="1"/>
  <c r="J21" i="759"/>
  <c r="K21" i="759" s="1"/>
  <c r="I21" i="759"/>
  <c r="AF9" i="759"/>
  <c r="AE9" i="759"/>
  <c r="O9" i="759"/>
  <c r="M9" i="759"/>
  <c r="N9" i="759" s="1"/>
  <c r="K9" i="759"/>
  <c r="G9" i="759"/>
  <c r="O8" i="759"/>
  <c r="M8" i="759"/>
  <c r="N8" i="759" s="1"/>
  <c r="K8" i="759"/>
  <c r="G8" i="759"/>
  <c r="O7" i="759"/>
  <c r="M7" i="759"/>
  <c r="AF7" i="759" s="1"/>
  <c r="K7" i="759"/>
  <c r="G7" i="759"/>
  <c r="AF6" i="759"/>
  <c r="O6" i="759"/>
  <c r="N6" i="759"/>
  <c r="Q6" i="759" s="1"/>
  <c r="M6" i="759"/>
  <c r="AE6" i="759" s="1"/>
  <c r="K6" i="759"/>
  <c r="G6" i="759"/>
  <c r="O5" i="759"/>
  <c r="M5" i="759"/>
  <c r="AF5" i="759" s="1"/>
  <c r="K5" i="759"/>
  <c r="G5" i="759"/>
  <c r="H2" i="759"/>
  <c r="D1" i="759"/>
  <c r="F3" i="757" s="1"/>
  <c r="L140" i="758"/>
  <c r="O140" i="758" s="1"/>
  <c r="K140" i="758"/>
  <c r="J140" i="758"/>
  <c r="I140" i="758"/>
  <c r="O135" i="758"/>
  <c r="N135" i="758"/>
  <c r="Q135" i="758" s="1"/>
  <c r="M135" i="758"/>
  <c r="AB135" i="758" s="1"/>
  <c r="K135" i="758"/>
  <c r="G135" i="758"/>
  <c r="O134" i="758"/>
  <c r="M134" i="758"/>
  <c r="AB134" i="758" s="1"/>
  <c r="K134" i="758"/>
  <c r="G134" i="758"/>
  <c r="AA133" i="758"/>
  <c r="O133" i="758"/>
  <c r="M133" i="758"/>
  <c r="N133" i="758" s="1"/>
  <c r="K133" i="758"/>
  <c r="G133" i="758"/>
  <c r="O132" i="758"/>
  <c r="M132" i="758"/>
  <c r="N132" i="758" s="1"/>
  <c r="K132" i="758"/>
  <c r="G132" i="758"/>
  <c r="O131" i="758"/>
  <c r="N131" i="758"/>
  <c r="Q131" i="758" s="1"/>
  <c r="M131" i="758"/>
  <c r="AB131" i="758" s="1"/>
  <c r="K131" i="758"/>
  <c r="G131" i="758"/>
  <c r="O130" i="758"/>
  <c r="M130" i="758"/>
  <c r="AB130" i="758" s="1"/>
  <c r="K130" i="758"/>
  <c r="G130" i="758"/>
  <c r="AA129" i="758"/>
  <c r="O129" i="758"/>
  <c r="M129" i="758"/>
  <c r="N129" i="758" s="1"/>
  <c r="K129" i="758"/>
  <c r="G129" i="758"/>
  <c r="O128" i="758"/>
  <c r="M128" i="758"/>
  <c r="N128" i="758" s="1"/>
  <c r="K128" i="758"/>
  <c r="G128" i="758"/>
  <c r="O127" i="758"/>
  <c r="N127" i="758"/>
  <c r="Q127" i="758" s="1"/>
  <c r="M127" i="758"/>
  <c r="AB127" i="758" s="1"/>
  <c r="K127" i="758"/>
  <c r="G127" i="758"/>
  <c r="O126" i="758"/>
  <c r="M126" i="758"/>
  <c r="AB126" i="758" s="1"/>
  <c r="K126" i="758"/>
  <c r="G126" i="758"/>
  <c r="AA125" i="758"/>
  <c r="O125" i="758"/>
  <c r="M125" i="758"/>
  <c r="N125" i="758" s="1"/>
  <c r="K125" i="758"/>
  <c r="G125" i="758"/>
  <c r="AB124" i="758"/>
  <c r="AA124" i="758"/>
  <c r="Q124" i="758"/>
  <c r="O124" i="758"/>
  <c r="N124" i="758"/>
  <c r="P124" i="758" s="1"/>
  <c r="M124" i="758"/>
  <c r="K124" i="758"/>
  <c r="G124" i="758"/>
  <c r="L123" i="758"/>
  <c r="J123" i="758"/>
  <c r="I123" i="758"/>
  <c r="O114" i="758"/>
  <c r="M114" i="758"/>
  <c r="N114" i="758" s="1"/>
  <c r="K114" i="758"/>
  <c r="G114" i="758"/>
  <c r="O113" i="758"/>
  <c r="M113" i="758"/>
  <c r="AB113" i="758" s="1"/>
  <c r="K113" i="758"/>
  <c r="G113" i="758"/>
  <c r="AB112" i="758"/>
  <c r="O112" i="758"/>
  <c r="M112" i="758"/>
  <c r="AA112" i="758" s="1"/>
  <c r="K112" i="758"/>
  <c r="G112" i="758"/>
  <c r="O111" i="758"/>
  <c r="M111" i="758"/>
  <c r="AA111" i="758" s="1"/>
  <c r="K111" i="758"/>
  <c r="G111" i="758"/>
  <c r="O110" i="758"/>
  <c r="M110" i="758"/>
  <c r="N110" i="758" s="1"/>
  <c r="K110" i="758"/>
  <c r="G110" i="758"/>
  <c r="O109" i="758"/>
  <c r="M109" i="758"/>
  <c r="AB109" i="758" s="1"/>
  <c r="K109" i="758"/>
  <c r="G109" i="758"/>
  <c r="AB108" i="758"/>
  <c r="AA108" i="758"/>
  <c r="O108" i="758"/>
  <c r="N108" i="758"/>
  <c r="Q108" i="758" s="1"/>
  <c r="M108" i="758"/>
  <c r="K108" i="758"/>
  <c r="G108" i="758"/>
  <c r="O107" i="758"/>
  <c r="M107" i="758"/>
  <c r="AB107" i="758" s="1"/>
  <c r="K107" i="758"/>
  <c r="G107" i="758"/>
  <c r="L106" i="758"/>
  <c r="J106" i="758"/>
  <c r="I106" i="758"/>
  <c r="O94" i="758"/>
  <c r="M94" i="758"/>
  <c r="N94" i="758" s="1"/>
  <c r="K94" i="758"/>
  <c r="G94" i="758"/>
  <c r="O93" i="758"/>
  <c r="M93" i="758"/>
  <c r="AB93" i="758" s="1"/>
  <c r="K93" i="758"/>
  <c r="G93" i="758"/>
  <c r="O92" i="758"/>
  <c r="M92" i="758"/>
  <c r="N92" i="758" s="1"/>
  <c r="K92" i="758"/>
  <c r="G92" i="758"/>
  <c r="O91" i="758"/>
  <c r="M91" i="758"/>
  <c r="AB91" i="758" s="1"/>
  <c r="K91" i="758"/>
  <c r="G91" i="758"/>
  <c r="AA90" i="758"/>
  <c r="O90" i="758"/>
  <c r="M90" i="758"/>
  <c r="K90" i="758"/>
  <c r="G90" i="758"/>
  <c r="L89" i="758"/>
  <c r="O89" i="758" s="1"/>
  <c r="J89" i="758"/>
  <c r="K89" i="758" s="1"/>
  <c r="I89" i="758"/>
  <c r="O75" i="758"/>
  <c r="M75" i="758"/>
  <c r="AA75" i="758" s="1"/>
  <c r="K75" i="758"/>
  <c r="G75" i="758"/>
  <c r="AB74" i="758"/>
  <c r="AA74" i="758"/>
  <c r="O74" i="758"/>
  <c r="M74" i="758"/>
  <c r="N74" i="758" s="1"/>
  <c r="K74" i="758"/>
  <c r="G74" i="758"/>
  <c r="O73" i="758"/>
  <c r="M73" i="758"/>
  <c r="M89" i="758" s="1"/>
  <c r="K73" i="758"/>
  <c r="G73" i="758"/>
  <c r="O72" i="758"/>
  <c r="L72" i="758"/>
  <c r="J72" i="758"/>
  <c r="K72" i="758" s="1"/>
  <c r="I72" i="758"/>
  <c r="AB61" i="758"/>
  <c r="O61" i="758"/>
  <c r="N61" i="758"/>
  <c r="Q61" i="758" s="1"/>
  <c r="M61" i="758"/>
  <c r="AA61" i="758" s="1"/>
  <c r="K61" i="758"/>
  <c r="G61" i="758"/>
  <c r="O60" i="758"/>
  <c r="M60" i="758"/>
  <c r="N60" i="758" s="1"/>
  <c r="K60" i="758"/>
  <c r="G60" i="758"/>
  <c r="O59" i="758"/>
  <c r="M59" i="758"/>
  <c r="AB59" i="758" s="1"/>
  <c r="K59" i="758"/>
  <c r="G59" i="758"/>
  <c r="AB58" i="758"/>
  <c r="AA58" i="758"/>
  <c r="Q58" i="758"/>
  <c r="O58" i="758"/>
  <c r="N58" i="758"/>
  <c r="P58" i="758" s="1"/>
  <c r="M58" i="758"/>
  <c r="K58" i="758"/>
  <c r="G58" i="758"/>
  <c r="AB57" i="758"/>
  <c r="O57" i="758"/>
  <c r="M57" i="758"/>
  <c r="AA57" i="758" s="1"/>
  <c r="K57" i="758"/>
  <c r="G57" i="758"/>
  <c r="O56" i="758"/>
  <c r="M56" i="758"/>
  <c r="N56" i="758" s="1"/>
  <c r="K56" i="758"/>
  <c r="G56" i="758"/>
  <c r="L55" i="758"/>
  <c r="O55" i="758" s="1"/>
  <c r="J55" i="758"/>
  <c r="I55" i="758"/>
  <c r="AB45" i="758"/>
  <c r="O45" i="758"/>
  <c r="N45" i="758"/>
  <c r="Q45" i="758" s="1"/>
  <c r="M45" i="758"/>
  <c r="AA45" i="758" s="1"/>
  <c r="K45" i="758"/>
  <c r="G45" i="758"/>
  <c r="AB44" i="758"/>
  <c r="O44" i="758"/>
  <c r="M44" i="758"/>
  <c r="N44" i="758" s="1"/>
  <c r="K44" i="758"/>
  <c r="G44" i="758"/>
  <c r="O43" i="758"/>
  <c r="M43" i="758"/>
  <c r="AB43" i="758" s="1"/>
  <c r="K43" i="758"/>
  <c r="G43" i="758"/>
  <c r="O42" i="758"/>
  <c r="M42" i="758"/>
  <c r="AB42" i="758" s="1"/>
  <c r="K42" i="758"/>
  <c r="G42" i="758"/>
  <c r="O41" i="758"/>
  <c r="M41" i="758"/>
  <c r="AA41" i="758" s="1"/>
  <c r="K41" i="758"/>
  <c r="G41" i="758"/>
  <c r="AB40" i="758"/>
  <c r="AA40" i="758"/>
  <c r="O40" i="758"/>
  <c r="M40" i="758"/>
  <c r="N40" i="758" s="1"/>
  <c r="K40" i="758"/>
  <c r="G40" i="758"/>
  <c r="AA39" i="758"/>
  <c r="O39" i="758"/>
  <c r="M39" i="758"/>
  <c r="K39" i="758"/>
  <c r="G39" i="758"/>
  <c r="L38" i="758"/>
  <c r="O38" i="758" s="1"/>
  <c r="J38" i="758"/>
  <c r="K38" i="758" s="1"/>
  <c r="I38" i="758"/>
  <c r="AA24" i="758"/>
  <c r="O24" i="758"/>
  <c r="M24" i="758"/>
  <c r="N24" i="758" s="1"/>
  <c r="K24" i="758"/>
  <c r="G24" i="758"/>
  <c r="O23" i="758"/>
  <c r="M23" i="758"/>
  <c r="N23" i="758" s="1"/>
  <c r="K23" i="758"/>
  <c r="G23" i="758"/>
  <c r="O22" i="758"/>
  <c r="N22" i="758"/>
  <c r="Q22" i="758" s="1"/>
  <c r="M22" i="758"/>
  <c r="M38" i="758" s="1"/>
  <c r="K22" i="758"/>
  <c r="G22" i="758"/>
  <c r="L21" i="758"/>
  <c r="O21" i="758" s="1"/>
  <c r="K21" i="758"/>
  <c r="J21" i="758"/>
  <c r="I21" i="758"/>
  <c r="O9" i="758"/>
  <c r="M9" i="758"/>
  <c r="AB9" i="758" s="1"/>
  <c r="K9" i="758"/>
  <c r="G9" i="758"/>
  <c r="AB8" i="758"/>
  <c r="O8" i="758"/>
  <c r="M8" i="758"/>
  <c r="AA8" i="758" s="1"/>
  <c r="K8" i="758"/>
  <c r="G8" i="758"/>
  <c r="O7" i="758"/>
  <c r="M7" i="758"/>
  <c r="N7" i="758" s="1"/>
  <c r="K7" i="758"/>
  <c r="G7" i="758"/>
  <c r="O6" i="758"/>
  <c r="M6" i="758"/>
  <c r="AB6" i="758" s="1"/>
  <c r="K6" i="758"/>
  <c r="G6" i="758"/>
  <c r="O5" i="758"/>
  <c r="M5" i="758"/>
  <c r="AB5" i="758" s="1"/>
  <c r="K5" i="758"/>
  <c r="G5" i="758"/>
  <c r="H2" i="758"/>
  <c r="D1" i="758"/>
  <c r="X34" i="757"/>
  <c r="W34" i="757"/>
  <c r="V34" i="757"/>
  <c r="P34" i="757"/>
  <c r="M8" i="757" s="1"/>
  <c r="O34" i="757"/>
  <c r="N34" i="757"/>
  <c r="M34" i="757"/>
  <c r="G34" i="757"/>
  <c r="N16" i="757"/>
  <c r="M16" i="757"/>
  <c r="I8" i="757" s="1"/>
  <c r="J16" i="757"/>
  <c r="I16" i="757"/>
  <c r="G8" i="757" s="1"/>
  <c r="H16" i="757"/>
  <c r="G16" i="757"/>
  <c r="F16" i="757"/>
  <c r="E16" i="757"/>
  <c r="F8" i="757"/>
  <c r="M7" i="757"/>
  <c r="K7" i="757"/>
  <c r="I7" i="757"/>
  <c r="G7" i="757"/>
  <c r="F7" i="757"/>
  <c r="E7" i="757"/>
  <c r="M6" i="757"/>
  <c r="K6" i="757"/>
  <c r="I6" i="757"/>
  <c r="G6" i="757"/>
  <c r="F6" i="757"/>
  <c r="E6" i="757"/>
  <c r="AD140" i="756"/>
  <c r="Z140" i="756"/>
  <c r="Y140" i="756"/>
  <c r="L140" i="756"/>
  <c r="J140" i="756"/>
  <c r="I140" i="756"/>
  <c r="O126" i="756"/>
  <c r="M126" i="756"/>
  <c r="AF126" i="756" s="1"/>
  <c r="K126" i="756"/>
  <c r="G126" i="756"/>
  <c r="O125" i="756"/>
  <c r="N125" i="756"/>
  <c r="P125" i="756" s="1"/>
  <c r="M125" i="756"/>
  <c r="AF125" i="756" s="1"/>
  <c r="K125" i="756"/>
  <c r="G125" i="756"/>
  <c r="AF124" i="756"/>
  <c r="AE124" i="756"/>
  <c r="O124" i="756"/>
  <c r="M124" i="756"/>
  <c r="N124" i="756" s="1"/>
  <c r="K124" i="756"/>
  <c r="G124" i="756"/>
  <c r="AD123" i="756"/>
  <c r="Z123" i="756"/>
  <c r="Y123" i="756"/>
  <c r="L123" i="756"/>
  <c r="J123" i="756"/>
  <c r="I123" i="756"/>
  <c r="AF109" i="756"/>
  <c r="O109" i="756"/>
  <c r="M109" i="756"/>
  <c r="AE109" i="756" s="1"/>
  <c r="K109" i="756"/>
  <c r="G109" i="756"/>
  <c r="O108" i="756"/>
  <c r="M108" i="756"/>
  <c r="N108" i="756" s="1"/>
  <c r="K108" i="756"/>
  <c r="G108" i="756"/>
  <c r="O107" i="756"/>
  <c r="M107" i="756"/>
  <c r="N107" i="756" s="1"/>
  <c r="K107" i="756"/>
  <c r="G107" i="756"/>
  <c r="AD106" i="756"/>
  <c r="Z106" i="756"/>
  <c r="Y106" i="756"/>
  <c r="L106" i="756"/>
  <c r="J106" i="756"/>
  <c r="I106" i="756"/>
  <c r="O91" i="756"/>
  <c r="M91" i="756"/>
  <c r="N91" i="756" s="1"/>
  <c r="K91" i="756"/>
  <c r="G91" i="756"/>
  <c r="O90" i="756"/>
  <c r="N90" i="756"/>
  <c r="Q90" i="756" s="1"/>
  <c r="M90" i="756"/>
  <c r="M106" i="756" s="1"/>
  <c r="N106" i="756" s="1"/>
  <c r="K90" i="756"/>
  <c r="G90" i="756"/>
  <c r="AD89" i="756"/>
  <c r="Z89" i="756"/>
  <c r="Y89" i="756"/>
  <c r="L89" i="756"/>
  <c r="O89" i="756" s="1"/>
  <c r="J89" i="756"/>
  <c r="I89" i="756"/>
  <c r="K89" i="756" s="1"/>
  <c r="O75" i="756"/>
  <c r="M75" i="756"/>
  <c r="AE75" i="756" s="1"/>
  <c r="K75" i="756"/>
  <c r="G75" i="756"/>
  <c r="O74" i="756"/>
  <c r="M74" i="756"/>
  <c r="M89" i="756" s="1"/>
  <c r="K74" i="756"/>
  <c r="G74" i="756"/>
  <c r="AF73" i="756"/>
  <c r="AE73" i="756"/>
  <c r="O73" i="756"/>
  <c r="M73" i="756"/>
  <c r="N73" i="756" s="1"/>
  <c r="Q73" i="756" s="1"/>
  <c r="K73" i="756"/>
  <c r="G73" i="756"/>
  <c r="AD72" i="756"/>
  <c r="Z72" i="756"/>
  <c r="Y72" i="756"/>
  <c r="L72" i="756"/>
  <c r="J72" i="756"/>
  <c r="K72" i="756" s="1"/>
  <c r="I72" i="756"/>
  <c r="O63" i="756"/>
  <c r="N63" i="756"/>
  <c r="Q63" i="756" s="1"/>
  <c r="M63" i="756"/>
  <c r="AF63" i="756" s="1"/>
  <c r="K63" i="756"/>
  <c r="G63" i="756"/>
  <c r="AF62" i="756"/>
  <c r="O62" i="756"/>
  <c r="M62" i="756"/>
  <c r="AE62" i="756" s="1"/>
  <c r="K62" i="756"/>
  <c r="G62" i="756"/>
  <c r="O61" i="756"/>
  <c r="M61" i="756"/>
  <c r="N61" i="756" s="1"/>
  <c r="K61" i="756"/>
  <c r="G61" i="756"/>
  <c r="O60" i="756"/>
  <c r="M60" i="756"/>
  <c r="AF60" i="756" s="1"/>
  <c r="K60" i="756"/>
  <c r="G60" i="756"/>
  <c r="O59" i="756"/>
  <c r="N59" i="756"/>
  <c r="Q59" i="756" s="1"/>
  <c r="M59" i="756"/>
  <c r="AF59" i="756" s="1"/>
  <c r="K59" i="756"/>
  <c r="G59" i="756"/>
  <c r="AF58" i="756"/>
  <c r="O58" i="756"/>
  <c r="M58" i="756"/>
  <c r="AE58" i="756" s="1"/>
  <c r="K58" i="756"/>
  <c r="G58" i="756"/>
  <c r="O57" i="756"/>
  <c r="M57" i="756"/>
  <c r="N57" i="756" s="1"/>
  <c r="K57" i="756"/>
  <c r="G57" i="756"/>
  <c r="O56" i="756"/>
  <c r="M56" i="756"/>
  <c r="N56" i="756" s="1"/>
  <c r="K56" i="756"/>
  <c r="G56" i="756"/>
  <c r="AD55" i="756"/>
  <c r="Z55" i="756"/>
  <c r="Y55" i="756"/>
  <c r="L55" i="756"/>
  <c r="O55" i="756" s="1"/>
  <c r="J55" i="756"/>
  <c r="K55" i="756" s="1"/>
  <c r="I55" i="756"/>
  <c r="O44" i="756"/>
  <c r="M44" i="756"/>
  <c r="N44" i="756" s="1"/>
  <c r="K44" i="756"/>
  <c r="G44" i="756"/>
  <c r="O43" i="756"/>
  <c r="M43" i="756"/>
  <c r="AF43" i="756" s="1"/>
  <c r="K43" i="756"/>
  <c r="G43" i="756"/>
  <c r="O42" i="756"/>
  <c r="M42" i="756"/>
  <c r="AF42" i="756" s="1"/>
  <c r="K42" i="756"/>
  <c r="G42" i="756"/>
  <c r="AF41" i="756"/>
  <c r="AE41" i="756"/>
  <c r="P41" i="756"/>
  <c r="O41" i="756"/>
  <c r="N41" i="756"/>
  <c r="Q41" i="756" s="1"/>
  <c r="M41" i="756"/>
  <c r="K41" i="756"/>
  <c r="G41" i="756"/>
  <c r="O40" i="756"/>
  <c r="M40" i="756"/>
  <c r="N40" i="756" s="1"/>
  <c r="K40" i="756"/>
  <c r="G40" i="756"/>
  <c r="AE39" i="756"/>
  <c r="O39" i="756"/>
  <c r="N39" i="756"/>
  <c r="Q39" i="756" s="1"/>
  <c r="M39" i="756"/>
  <c r="AF39" i="756" s="1"/>
  <c r="K39" i="756"/>
  <c r="G39" i="756"/>
  <c r="AD38" i="756"/>
  <c r="AD2" i="756" s="1"/>
  <c r="R6" i="754" s="1"/>
  <c r="Z38" i="756"/>
  <c r="Y38" i="756"/>
  <c r="O38" i="756"/>
  <c r="L38" i="756"/>
  <c r="J38" i="756"/>
  <c r="K38" i="756" s="1"/>
  <c r="I38" i="756"/>
  <c r="O28" i="756"/>
  <c r="M28" i="756"/>
  <c r="AE28" i="756" s="1"/>
  <c r="K28" i="756"/>
  <c r="G28" i="756"/>
  <c r="O27" i="756"/>
  <c r="M27" i="756"/>
  <c r="AF27" i="756" s="1"/>
  <c r="K27" i="756"/>
  <c r="G27" i="756"/>
  <c r="O26" i="756"/>
  <c r="M26" i="756"/>
  <c r="AF26" i="756" s="1"/>
  <c r="K26" i="756"/>
  <c r="G26" i="756"/>
  <c r="AF25" i="756"/>
  <c r="AE25" i="756"/>
  <c r="Q25" i="756"/>
  <c r="O25" i="756"/>
  <c r="N25" i="756"/>
  <c r="P25" i="756" s="1"/>
  <c r="M25" i="756"/>
  <c r="K25" i="756"/>
  <c r="G25" i="756"/>
  <c r="AE24" i="756"/>
  <c r="O24" i="756"/>
  <c r="M24" i="756"/>
  <c r="AF24" i="756" s="1"/>
  <c r="K24" i="756"/>
  <c r="G24" i="756"/>
  <c r="O23" i="756"/>
  <c r="M23" i="756"/>
  <c r="K23" i="756"/>
  <c r="G23" i="756"/>
  <c r="O22" i="756"/>
  <c r="N22" i="756"/>
  <c r="Q22" i="756" s="1"/>
  <c r="M22" i="756"/>
  <c r="AF22" i="756" s="1"/>
  <c r="K22" i="756"/>
  <c r="G22" i="756"/>
  <c r="AD21" i="756"/>
  <c r="Z21" i="756"/>
  <c r="Y21" i="756"/>
  <c r="L21" i="756"/>
  <c r="O21" i="756" s="1"/>
  <c r="K21" i="756"/>
  <c r="J21" i="756"/>
  <c r="I21" i="756"/>
  <c r="AF9" i="756"/>
  <c r="O9" i="756"/>
  <c r="M9" i="756"/>
  <c r="AE9" i="756" s="1"/>
  <c r="K9" i="756"/>
  <c r="G9" i="756"/>
  <c r="AF8" i="756"/>
  <c r="O8" i="756"/>
  <c r="M8" i="756"/>
  <c r="AE8" i="756" s="1"/>
  <c r="K8" i="756"/>
  <c r="G8" i="756"/>
  <c r="O7" i="756"/>
  <c r="M7" i="756"/>
  <c r="N7" i="756" s="1"/>
  <c r="K7" i="756"/>
  <c r="G7" i="756"/>
  <c r="O6" i="756"/>
  <c r="M6" i="756"/>
  <c r="AF6" i="756" s="1"/>
  <c r="K6" i="756"/>
  <c r="G6" i="756"/>
  <c r="O5" i="756"/>
  <c r="M5" i="756"/>
  <c r="AF5" i="756" s="1"/>
  <c r="K5" i="756"/>
  <c r="G5" i="756"/>
  <c r="Z2" i="756"/>
  <c r="Y2" i="756"/>
  <c r="O6" i="754" s="1"/>
  <c r="H2" i="756"/>
  <c r="D1" i="756"/>
  <c r="L140" i="755"/>
  <c r="O140" i="755" s="1"/>
  <c r="J140" i="755"/>
  <c r="K140" i="755" s="1"/>
  <c r="I140" i="755"/>
  <c r="AA135" i="755"/>
  <c r="O135" i="755"/>
  <c r="M135" i="755"/>
  <c r="N135" i="755" s="1"/>
  <c r="K135" i="755"/>
  <c r="G135" i="755"/>
  <c r="AA134" i="755"/>
  <c r="O134" i="755"/>
  <c r="M134" i="755"/>
  <c r="N134" i="755" s="1"/>
  <c r="K134" i="755"/>
  <c r="G134" i="755"/>
  <c r="O133" i="755"/>
  <c r="M133" i="755"/>
  <c r="AB133" i="755" s="1"/>
  <c r="K133" i="755"/>
  <c r="G133" i="755"/>
  <c r="AB132" i="755"/>
  <c r="AA132" i="755"/>
  <c r="O132" i="755"/>
  <c r="N132" i="755"/>
  <c r="Q132" i="755" s="1"/>
  <c r="M132" i="755"/>
  <c r="K132" i="755"/>
  <c r="G132" i="755"/>
  <c r="O131" i="755"/>
  <c r="M131" i="755"/>
  <c r="N131" i="755" s="1"/>
  <c r="K131" i="755"/>
  <c r="G131" i="755"/>
  <c r="AA130" i="755"/>
  <c r="O130" i="755"/>
  <c r="M130" i="755"/>
  <c r="N130" i="755" s="1"/>
  <c r="K130" i="755"/>
  <c r="G130" i="755"/>
  <c r="O129" i="755"/>
  <c r="N129" i="755"/>
  <c r="Q129" i="755" s="1"/>
  <c r="M129" i="755"/>
  <c r="AA129" i="755" s="1"/>
  <c r="K129" i="755"/>
  <c r="G129" i="755"/>
  <c r="AB128" i="755"/>
  <c r="O128" i="755"/>
  <c r="M128" i="755"/>
  <c r="AA128" i="755" s="1"/>
  <c r="K128" i="755"/>
  <c r="G128" i="755"/>
  <c r="O127" i="755"/>
  <c r="M127" i="755"/>
  <c r="N127" i="755" s="1"/>
  <c r="K127" i="755"/>
  <c r="G127" i="755"/>
  <c r="AA126" i="755"/>
  <c r="O126" i="755"/>
  <c r="M126" i="755"/>
  <c r="N126" i="755" s="1"/>
  <c r="K126" i="755"/>
  <c r="G126" i="755"/>
  <c r="AB125" i="755"/>
  <c r="AA125" i="755"/>
  <c r="O125" i="755"/>
  <c r="N125" i="755"/>
  <c r="P125" i="755" s="1"/>
  <c r="M125" i="755"/>
  <c r="K125" i="755"/>
  <c r="G125" i="755"/>
  <c r="AB124" i="755"/>
  <c r="O124" i="755"/>
  <c r="M124" i="755"/>
  <c r="AA124" i="755" s="1"/>
  <c r="K124" i="755"/>
  <c r="G124" i="755"/>
  <c r="L123" i="755"/>
  <c r="O123" i="755" s="1"/>
  <c r="J123" i="755"/>
  <c r="I123" i="755"/>
  <c r="O114" i="755"/>
  <c r="M114" i="755"/>
  <c r="AA114" i="755" s="1"/>
  <c r="K114" i="755"/>
  <c r="G114" i="755"/>
  <c r="O113" i="755"/>
  <c r="M113" i="755"/>
  <c r="N113" i="755" s="1"/>
  <c r="K113" i="755"/>
  <c r="G113" i="755"/>
  <c r="O112" i="755"/>
  <c r="M112" i="755"/>
  <c r="AB112" i="755" s="1"/>
  <c r="K112" i="755"/>
  <c r="G112" i="755"/>
  <c r="O111" i="755"/>
  <c r="M111" i="755"/>
  <c r="AA111" i="755" s="1"/>
  <c r="K111" i="755"/>
  <c r="G111" i="755"/>
  <c r="AB110" i="755"/>
  <c r="O110" i="755"/>
  <c r="M110" i="755"/>
  <c r="AA110" i="755" s="1"/>
  <c r="K110" i="755"/>
  <c r="G110" i="755"/>
  <c r="O109" i="755"/>
  <c r="M109" i="755"/>
  <c r="N109" i="755" s="1"/>
  <c r="K109" i="755"/>
  <c r="G109" i="755"/>
  <c r="O108" i="755"/>
  <c r="M108" i="755"/>
  <c r="AB108" i="755" s="1"/>
  <c r="K108" i="755"/>
  <c r="G108" i="755"/>
  <c r="AA107" i="755"/>
  <c r="O107" i="755"/>
  <c r="M107" i="755"/>
  <c r="AB107" i="755" s="1"/>
  <c r="K107" i="755"/>
  <c r="G107" i="755"/>
  <c r="L106" i="755"/>
  <c r="J106" i="755"/>
  <c r="I106" i="755"/>
  <c r="O106" i="755" s="1"/>
  <c r="O94" i="755"/>
  <c r="M94" i="755"/>
  <c r="AB94" i="755" s="1"/>
  <c r="K94" i="755"/>
  <c r="G94" i="755"/>
  <c r="AB93" i="755"/>
  <c r="AA93" i="755"/>
  <c r="O93" i="755"/>
  <c r="M93" i="755"/>
  <c r="N93" i="755" s="1"/>
  <c r="K93" i="755"/>
  <c r="G93" i="755"/>
  <c r="O92" i="755"/>
  <c r="M92" i="755"/>
  <c r="AB92" i="755" s="1"/>
  <c r="K92" i="755"/>
  <c r="G92" i="755"/>
  <c r="O91" i="755"/>
  <c r="M91" i="755"/>
  <c r="AB91" i="755" s="1"/>
  <c r="K91" i="755"/>
  <c r="G91" i="755"/>
  <c r="O90" i="755"/>
  <c r="M90" i="755"/>
  <c r="AB90" i="755" s="1"/>
  <c r="K90" i="755"/>
  <c r="G90" i="755"/>
  <c r="L89" i="755"/>
  <c r="O89" i="755" s="1"/>
  <c r="J89" i="755"/>
  <c r="I89" i="755"/>
  <c r="AA75" i="755"/>
  <c r="O75" i="755"/>
  <c r="M75" i="755"/>
  <c r="N75" i="755" s="1"/>
  <c r="K75" i="755"/>
  <c r="G75" i="755"/>
  <c r="O74" i="755"/>
  <c r="M74" i="755"/>
  <c r="N74" i="755" s="1"/>
  <c r="K74" i="755"/>
  <c r="G74" i="755"/>
  <c r="AB73" i="755"/>
  <c r="AA73" i="755"/>
  <c r="O73" i="755"/>
  <c r="M73" i="755"/>
  <c r="N73" i="755" s="1"/>
  <c r="Q73" i="755" s="1"/>
  <c r="K73" i="755"/>
  <c r="G73" i="755"/>
  <c r="L72" i="755"/>
  <c r="J72" i="755"/>
  <c r="K72" i="755" s="1"/>
  <c r="I72" i="755"/>
  <c r="O61" i="755"/>
  <c r="M61" i="755"/>
  <c r="AB61" i="755" s="1"/>
  <c r="K61" i="755"/>
  <c r="G61" i="755"/>
  <c r="O60" i="755"/>
  <c r="M60" i="755"/>
  <c r="AA60" i="755" s="1"/>
  <c r="K60" i="755"/>
  <c r="G60" i="755"/>
  <c r="O59" i="755"/>
  <c r="M59" i="755"/>
  <c r="N59" i="755" s="1"/>
  <c r="K59" i="755"/>
  <c r="G59" i="755"/>
  <c r="O58" i="755"/>
  <c r="M58" i="755"/>
  <c r="AB58" i="755" s="1"/>
  <c r="K58" i="755"/>
  <c r="G58" i="755"/>
  <c r="O57" i="755"/>
  <c r="M57" i="755"/>
  <c r="AB57" i="755" s="1"/>
  <c r="K57" i="755"/>
  <c r="G57" i="755"/>
  <c r="O56" i="755"/>
  <c r="M56" i="755"/>
  <c r="AB56" i="755" s="1"/>
  <c r="K56" i="755"/>
  <c r="G56" i="755"/>
  <c r="L55" i="755"/>
  <c r="O55" i="755" s="1"/>
  <c r="J55" i="755"/>
  <c r="I55" i="755"/>
  <c r="AB45" i="755"/>
  <c r="O45" i="755"/>
  <c r="M45" i="755"/>
  <c r="AA45" i="755" s="1"/>
  <c r="K45" i="755"/>
  <c r="G45" i="755"/>
  <c r="AA44" i="755"/>
  <c r="O44" i="755"/>
  <c r="N44" i="755"/>
  <c r="Q44" i="755" s="1"/>
  <c r="M44" i="755"/>
  <c r="AB44" i="755" s="1"/>
  <c r="K44" i="755"/>
  <c r="G44" i="755"/>
  <c r="O43" i="755"/>
  <c r="M43" i="755"/>
  <c r="AB43" i="755" s="1"/>
  <c r="K43" i="755"/>
  <c r="G43" i="755"/>
  <c r="O42" i="755"/>
  <c r="N42" i="755"/>
  <c r="Q42" i="755" s="1"/>
  <c r="M42" i="755"/>
  <c r="AB42" i="755" s="1"/>
  <c r="K42" i="755"/>
  <c r="G42" i="755"/>
  <c r="O41" i="755"/>
  <c r="N41" i="755"/>
  <c r="P41" i="755" s="1"/>
  <c r="M41" i="755"/>
  <c r="AA41" i="755" s="1"/>
  <c r="K41" i="755"/>
  <c r="G41" i="755"/>
  <c r="O40" i="755"/>
  <c r="M40" i="755"/>
  <c r="AB40" i="755" s="1"/>
  <c r="K40" i="755"/>
  <c r="G40" i="755"/>
  <c r="O39" i="755"/>
  <c r="M39" i="755"/>
  <c r="M55" i="755" s="1"/>
  <c r="K39" i="755"/>
  <c r="G39" i="755"/>
  <c r="L38" i="755"/>
  <c r="O38" i="755" s="1"/>
  <c r="J38" i="755"/>
  <c r="K38" i="755" s="1"/>
  <c r="I38" i="755"/>
  <c r="AA24" i="755"/>
  <c r="O24" i="755"/>
  <c r="N24" i="755"/>
  <c r="Q24" i="755" s="1"/>
  <c r="M24" i="755"/>
  <c r="AB24" i="755" s="1"/>
  <c r="K24" i="755"/>
  <c r="G24" i="755"/>
  <c r="AA23" i="755"/>
  <c r="O23" i="755"/>
  <c r="M23" i="755"/>
  <c r="N23" i="755" s="1"/>
  <c r="K23" i="755"/>
  <c r="G23" i="755"/>
  <c r="AB22" i="755"/>
  <c r="AA22" i="755"/>
  <c r="Q22" i="755"/>
  <c r="O22" i="755"/>
  <c r="N22" i="755"/>
  <c r="P22" i="755" s="1"/>
  <c r="M22" i="755"/>
  <c r="K22" i="755"/>
  <c r="G22" i="755"/>
  <c r="L21" i="755"/>
  <c r="J21" i="755"/>
  <c r="I21" i="755"/>
  <c r="K21" i="755" s="1"/>
  <c r="O9" i="755"/>
  <c r="M9" i="755"/>
  <c r="AB9" i="755" s="1"/>
  <c r="K9" i="755"/>
  <c r="G9" i="755"/>
  <c r="O8" i="755"/>
  <c r="M8" i="755"/>
  <c r="AB8" i="755" s="1"/>
  <c r="K8" i="755"/>
  <c r="G8" i="755"/>
  <c r="AB7" i="755"/>
  <c r="O7" i="755"/>
  <c r="M7" i="755"/>
  <c r="AA7" i="755" s="1"/>
  <c r="K7" i="755"/>
  <c r="G7" i="755"/>
  <c r="AB6" i="755"/>
  <c r="AA6" i="755"/>
  <c r="O6" i="755"/>
  <c r="M6" i="755"/>
  <c r="N6" i="755" s="1"/>
  <c r="K6" i="755"/>
  <c r="G6" i="755"/>
  <c r="O5" i="755"/>
  <c r="M5" i="755"/>
  <c r="K5" i="755"/>
  <c r="G5" i="755"/>
  <c r="H2" i="755"/>
  <c r="D1" i="755"/>
  <c r="F3" i="754" s="1"/>
  <c r="X34" i="754"/>
  <c r="W34" i="754"/>
  <c r="V34" i="754"/>
  <c r="P34" i="754"/>
  <c r="O34" i="754"/>
  <c r="N34" i="754"/>
  <c r="M34" i="754"/>
  <c r="G34" i="754"/>
  <c r="N16" i="754"/>
  <c r="M16" i="754"/>
  <c r="J16" i="754"/>
  <c r="I16" i="754"/>
  <c r="H16" i="754"/>
  <c r="G16" i="754"/>
  <c r="F16" i="754"/>
  <c r="E16" i="754"/>
  <c r="I8" i="754"/>
  <c r="F8" i="754"/>
  <c r="M7" i="754"/>
  <c r="K7" i="754"/>
  <c r="I7" i="754"/>
  <c r="G7" i="754"/>
  <c r="F7" i="754"/>
  <c r="E7" i="754"/>
  <c r="P6" i="754"/>
  <c r="M6" i="754"/>
  <c r="K6" i="754"/>
  <c r="I6" i="754"/>
  <c r="G6" i="754"/>
  <c r="F6" i="754"/>
  <c r="E6" i="754"/>
  <c r="Q41" i="767" l="1"/>
  <c r="P41" i="767"/>
  <c r="Q92" i="758"/>
  <c r="P92" i="758"/>
  <c r="N123" i="770"/>
  <c r="AB123" i="770"/>
  <c r="AC107" i="770" s="1"/>
  <c r="P6" i="767"/>
  <c r="Q6" i="767"/>
  <c r="P93" i="755"/>
  <c r="Q93" i="755"/>
  <c r="AE25" i="762"/>
  <c r="K8" i="754"/>
  <c r="AF28" i="756"/>
  <c r="AB75" i="758"/>
  <c r="AA92" i="758"/>
  <c r="AF23" i="759"/>
  <c r="AE26" i="759"/>
  <c r="AF42" i="759"/>
  <c r="AB93" i="761"/>
  <c r="M21" i="762"/>
  <c r="AB41" i="764"/>
  <c r="M72" i="764"/>
  <c r="M8" i="766"/>
  <c r="M38" i="767"/>
  <c r="AA93" i="767"/>
  <c r="AF7" i="768"/>
  <c r="AA59" i="770"/>
  <c r="AB74" i="770"/>
  <c r="Q109" i="771"/>
  <c r="P39" i="773"/>
  <c r="K89" i="774"/>
  <c r="I3" i="778"/>
  <c r="Q108" i="780"/>
  <c r="P108" i="780"/>
  <c r="AB74" i="755"/>
  <c r="AB129" i="755"/>
  <c r="AB92" i="758"/>
  <c r="M140" i="758"/>
  <c r="O21" i="764"/>
  <c r="M8" i="772"/>
  <c r="AC2" i="774"/>
  <c r="Q6" i="772" s="1"/>
  <c r="Q73" i="776"/>
  <c r="P55" i="776"/>
  <c r="P107" i="779"/>
  <c r="Q63" i="780"/>
  <c r="P63" i="780"/>
  <c r="K55" i="755"/>
  <c r="E8" i="760"/>
  <c r="M55" i="765"/>
  <c r="AC2" i="765"/>
  <c r="Q6" i="763" s="1"/>
  <c r="O38" i="767"/>
  <c r="F3" i="766"/>
  <c r="O106" i="768"/>
  <c r="K8" i="769"/>
  <c r="M55" i="770"/>
  <c r="M72" i="770"/>
  <c r="M106" i="771"/>
  <c r="N106" i="771" s="1"/>
  <c r="P135" i="779"/>
  <c r="Q94" i="779"/>
  <c r="P94" i="779"/>
  <c r="N42" i="758"/>
  <c r="K55" i="758"/>
  <c r="N112" i="758"/>
  <c r="AD2" i="765"/>
  <c r="R6" i="763" s="1"/>
  <c r="K89" i="765"/>
  <c r="F1" i="767"/>
  <c r="N64" i="771"/>
  <c r="Q64" i="771" s="1"/>
  <c r="N43" i="773"/>
  <c r="Q43" i="773" s="1"/>
  <c r="F1" i="774"/>
  <c r="F2" i="774" s="1"/>
  <c r="AA55" i="776"/>
  <c r="Q25" i="780"/>
  <c r="P25" i="780"/>
  <c r="AE22" i="756"/>
  <c r="AE90" i="756"/>
  <c r="M55" i="758"/>
  <c r="N93" i="758"/>
  <c r="Q93" i="758" s="1"/>
  <c r="F1" i="768"/>
  <c r="F2" i="768" s="1"/>
  <c r="K38" i="768"/>
  <c r="N57" i="768"/>
  <c r="N73" i="768"/>
  <c r="K89" i="768"/>
  <c r="N106" i="768"/>
  <c r="N111" i="770"/>
  <c r="Q111" i="770" s="1"/>
  <c r="N132" i="770"/>
  <c r="Q132" i="770" s="1"/>
  <c r="N23" i="774"/>
  <c r="Q40" i="779"/>
  <c r="P40" i="779"/>
  <c r="N94" i="755"/>
  <c r="Q94" i="755" s="1"/>
  <c r="N6" i="762"/>
  <c r="P6" i="762" s="1"/>
  <c r="N25" i="762"/>
  <c r="Q25" i="762" s="1"/>
  <c r="Y2" i="762"/>
  <c r="O6" i="760" s="1"/>
  <c r="N109" i="762"/>
  <c r="Q109" i="762" s="1"/>
  <c r="N125" i="762"/>
  <c r="K8" i="763"/>
  <c r="Q22" i="764"/>
  <c r="N91" i="764"/>
  <c r="Q91" i="764" s="1"/>
  <c r="F1" i="765"/>
  <c r="F2" i="765" s="1"/>
  <c r="N91" i="767"/>
  <c r="P91" i="767" s="1"/>
  <c r="M8" i="754"/>
  <c r="AB60" i="755"/>
  <c r="AA74" i="755"/>
  <c r="AA91" i="755"/>
  <c r="AB114" i="755"/>
  <c r="AE59" i="756"/>
  <c r="AE63" i="756"/>
  <c r="AF90" i="756"/>
  <c r="AE108" i="756"/>
  <c r="AA73" i="758"/>
  <c r="M106" i="758"/>
  <c r="AA128" i="758"/>
  <c r="AA132" i="758"/>
  <c r="M38" i="759"/>
  <c r="AE74" i="759"/>
  <c r="K21" i="761"/>
  <c r="AA24" i="761"/>
  <c r="N61" i="761"/>
  <c r="Q61" i="761" s="1"/>
  <c r="AA94" i="761"/>
  <c r="M55" i="764"/>
  <c r="N57" i="764"/>
  <c r="Q57" i="764" s="1"/>
  <c r="N110" i="764"/>
  <c r="Q110" i="764" s="1"/>
  <c r="AB130" i="764"/>
  <c r="AF39" i="765"/>
  <c r="M89" i="765"/>
  <c r="N89" i="765" s="1"/>
  <c r="N7" i="767"/>
  <c r="Q7" i="767" s="1"/>
  <c r="N22" i="767"/>
  <c r="K106" i="767"/>
  <c r="AA110" i="767"/>
  <c r="AA114" i="767"/>
  <c r="P126" i="767"/>
  <c r="N130" i="767"/>
  <c r="AF8" i="768"/>
  <c r="N23" i="768"/>
  <c r="P23" i="768" s="1"/>
  <c r="O89" i="768"/>
  <c r="AB60" i="770"/>
  <c r="O89" i="770"/>
  <c r="N128" i="770"/>
  <c r="Q128" i="770" s="1"/>
  <c r="K123" i="771"/>
  <c r="P23" i="773"/>
  <c r="AB91" i="773"/>
  <c r="N107" i="773"/>
  <c r="N110" i="773"/>
  <c r="AB124" i="773"/>
  <c r="N27" i="774"/>
  <c r="Q27" i="774" s="1"/>
  <c r="N60" i="774"/>
  <c r="N73" i="774"/>
  <c r="Q92" i="779"/>
  <c r="P92" i="779"/>
  <c r="P39" i="777"/>
  <c r="Q39" i="777"/>
  <c r="AF109" i="762"/>
  <c r="AB110" i="767"/>
  <c r="M89" i="768"/>
  <c r="N89" i="768" s="1"/>
  <c r="AA111" i="770"/>
  <c r="O106" i="762"/>
  <c r="E8" i="766"/>
  <c r="AA7" i="767"/>
  <c r="N56" i="767"/>
  <c r="N134" i="767"/>
  <c r="AE23" i="768"/>
  <c r="Y2" i="768"/>
  <c r="O6" i="766" s="1"/>
  <c r="K55" i="768"/>
  <c r="AE57" i="768"/>
  <c r="AE73" i="768"/>
  <c r="N90" i="771"/>
  <c r="F1" i="773"/>
  <c r="F2" i="773" s="1"/>
  <c r="AE23" i="774"/>
  <c r="AE27" i="774"/>
  <c r="P74" i="777"/>
  <c r="Q74" i="777"/>
  <c r="AB24" i="761"/>
  <c r="F3" i="769"/>
  <c r="N73" i="770"/>
  <c r="P22" i="759"/>
  <c r="N28" i="759"/>
  <c r="Q28" i="759" s="1"/>
  <c r="AE90" i="759"/>
  <c r="N108" i="759"/>
  <c r="AF124" i="759"/>
  <c r="Q6" i="761"/>
  <c r="N41" i="761"/>
  <c r="Q41" i="761" s="1"/>
  <c r="AA44" i="761"/>
  <c r="N92" i="761"/>
  <c r="Q92" i="761" s="1"/>
  <c r="O106" i="761"/>
  <c r="N29" i="762"/>
  <c r="Q29" i="762" s="1"/>
  <c r="AF44" i="762"/>
  <c r="M106" i="762"/>
  <c r="AA22" i="764"/>
  <c r="AB39" i="764"/>
  <c r="AA74" i="764"/>
  <c r="O123" i="764"/>
  <c r="AF7" i="765"/>
  <c r="Q28" i="765"/>
  <c r="AE73" i="765"/>
  <c r="M140" i="765"/>
  <c r="AF140" i="765" s="1"/>
  <c r="AG124" i="765" s="1"/>
  <c r="AA130" i="767"/>
  <c r="AF26" i="768"/>
  <c r="Z2" i="768"/>
  <c r="P6" i="766" s="1"/>
  <c r="AE41" i="768"/>
  <c r="P61" i="768"/>
  <c r="AC2" i="756"/>
  <c r="Q6" i="754" s="1"/>
  <c r="AA7" i="770"/>
  <c r="P40" i="770"/>
  <c r="AA44" i="770"/>
  <c r="F1" i="771"/>
  <c r="F2" i="771" s="1"/>
  <c r="AF8" i="771"/>
  <c r="AE61" i="771"/>
  <c r="O140" i="771"/>
  <c r="G8" i="772"/>
  <c r="AA61" i="773"/>
  <c r="N75" i="773"/>
  <c r="AA107" i="773"/>
  <c r="AA110" i="773"/>
  <c r="AE43" i="774"/>
  <c r="N57" i="774"/>
  <c r="Q57" i="774" s="1"/>
  <c r="AE60" i="774"/>
  <c r="AE73" i="774"/>
  <c r="M123" i="774"/>
  <c r="AA106" i="779"/>
  <c r="Q42" i="779"/>
  <c r="P42" i="779"/>
  <c r="K140" i="771"/>
  <c r="H1" i="755"/>
  <c r="M38" i="756"/>
  <c r="N75" i="756"/>
  <c r="Q75" i="756" s="1"/>
  <c r="Q125" i="756"/>
  <c r="AA22" i="758"/>
  <c r="AA40" i="755"/>
  <c r="N92" i="755"/>
  <c r="Q92" i="755" s="1"/>
  <c r="AA133" i="755"/>
  <c r="N42" i="756"/>
  <c r="Q42" i="756" s="1"/>
  <c r="AE125" i="756"/>
  <c r="AB22" i="758"/>
  <c r="AB6" i="761"/>
  <c r="AB44" i="761"/>
  <c r="K123" i="761"/>
  <c r="M89" i="762"/>
  <c r="AA7" i="764"/>
  <c r="AB22" i="764"/>
  <c r="AA43" i="764"/>
  <c r="AB74" i="764"/>
  <c r="M38" i="765"/>
  <c r="AE44" i="765"/>
  <c r="AF60" i="765"/>
  <c r="AF64" i="765"/>
  <c r="N5" i="767"/>
  <c r="Q5" i="767" s="1"/>
  <c r="AA22" i="767"/>
  <c r="N92" i="767"/>
  <c r="Q92" i="767" s="1"/>
  <c r="O123" i="767"/>
  <c r="AC2" i="768"/>
  <c r="Q6" i="766" s="1"/>
  <c r="N65" i="768"/>
  <c r="F1" i="770"/>
  <c r="AB44" i="770"/>
  <c r="N61" i="770"/>
  <c r="Q61" i="770" s="1"/>
  <c r="AB93" i="770"/>
  <c r="AF27" i="771"/>
  <c r="AE65" i="771"/>
  <c r="N125" i="773"/>
  <c r="AF43" i="774"/>
  <c r="AF73" i="774"/>
  <c r="N107" i="774"/>
  <c r="N140" i="776"/>
  <c r="P24" i="777"/>
  <c r="Q24" i="777"/>
  <c r="O72" i="756"/>
  <c r="AF28" i="759"/>
  <c r="O38" i="761"/>
  <c r="AA41" i="761"/>
  <c r="AE29" i="762"/>
  <c r="O123" i="762"/>
  <c r="M8" i="763"/>
  <c r="AB7" i="764"/>
  <c r="AF44" i="765"/>
  <c r="P91" i="776"/>
  <c r="Q91" i="776"/>
  <c r="AF6" i="762"/>
  <c r="AB114" i="767"/>
  <c r="N40" i="755"/>
  <c r="Q40" i="755" s="1"/>
  <c r="N56" i="755"/>
  <c r="Q56" i="755" s="1"/>
  <c r="K123" i="755"/>
  <c r="N133" i="755"/>
  <c r="Q133" i="755" s="1"/>
  <c r="N114" i="761"/>
  <c r="Q114" i="761" s="1"/>
  <c r="M123" i="767"/>
  <c r="AA92" i="755"/>
  <c r="AE42" i="756"/>
  <c r="AF75" i="756"/>
  <c r="K106" i="756"/>
  <c r="K106" i="758"/>
  <c r="AB125" i="758"/>
  <c r="AB129" i="758"/>
  <c r="AB133" i="758"/>
  <c r="AF22" i="759"/>
  <c r="M38" i="761"/>
  <c r="N38" i="761" s="1"/>
  <c r="K55" i="761"/>
  <c r="AA92" i="761"/>
  <c r="M123" i="761"/>
  <c r="N26" i="762"/>
  <c r="Q26" i="762" s="1"/>
  <c r="N126" i="762"/>
  <c r="Q126" i="762" s="1"/>
  <c r="N57" i="765"/>
  <c r="Q57" i="765" s="1"/>
  <c r="N40" i="767"/>
  <c r="Q40" i="767" s="1"/>
  <c r="N43" i="767"/>
  <c r="AA56" i="767"/>
  <c r="N60" i="767"/>
  <c r="AB134" i="767"/>
  <c r="M21" i="770"/>
  <c r="AA61" i="770"/>
  <c r="AA73" i="770"/>
  <c r="N90" i="770"/>
  <c r="Q90" i="770" s="1"/>
  <c r="N58" i="771"/>
  <c r="Q58" i="771" s="1"/>
  <c r="AF90" i="771"/>
  <c r="N133" i="773"/>
  <c r="AB55" i="776"/>
  <c r="AC39" i="776" s="1"/>
  <c r="P75" i="777"/>
  <c r="Q75" i="777"/>
  <c r="AB73" i="758"/>
  <c r="AF74" i="759"/>
  <c r="AA91" i="764"/>
  <c r="F1" i="758"/>
  <c r="H1" i="761"/>
  <c r="K106" i="761"/>
  <c r="N110" i="761"/>
  <c r="Q110" i="761" s="1"/>
  <c r="M21" i="755"/>
  <c r="P24" i="755"/>
  <c r="N107" i="755"/>
  <c r="Q107" i="755" s="1"/>
  <c r="AB111" i="755"/>
  <c r="AA127" i="755"/>
  <c r="N5" i="756"/>
  <c r="P5" i="756" s="1"/>
  <c r="O106" i="756"/>
  <c r="K123" i="756"/>
  <c r="N57" i="758"/>
  <c r="Q57" i="758" s="1"/>
  <c r="O106" i="758"/>
  <c r="F1" i="759"/>
  <c r="F2" i="759" s="1"/>
  <c r="K38" i="759"/>
  <c r="P58" i="759"/>
  <c r="N125" i="759"/>
  <c r="O55" i="761"/>
  <c r="N59" i="761"/>
  <c r="P59" i="761" s="1"/>
  <c r="O140" i="761"/>
  <c r="K38" i="762"/>
  <c r="AE41" i="762"/>
  <c r="N58" i="762"/>
  <c r="Q58" i="762" s="1"/>
  <c r="N62" i="762"/>
  <c r="Q62" i="762" s="1"/>
  <c r="Q111" i="764"/>
  <c r="Q124" i="764"/>
  <c r="N8" i="765"/>
  <c r="Q8" i="765" s="1"/>
  <c r="K38" i="765"/>
  <c r="N8" i="767"/>
  <c r="Q8" i="767" s="1"/>
  <c r="AB56" i="767"/>
  <c r="AA127" i="767"/>
  <c r="N24" i="768"/>
  <c r="N27" i="768"/>
  <c r="P27" i="768" s="1"/>
  <c r="Q62" i="768"/>
  <c r="AE65" i="768"/>
  <c r="N74" i="768"/>
  <c r="G8" i="769"/>
  <c r="N5" i="770"/>
  <c r="M21" i="771"/>
  <c r="N21" i="771" s="1"/>
  <c r="N62" i="771"/>
  <c r="Q62" i="771" s="1"/>
  <c r="P75" i="771"/>
  <c r="Q124" i="771"/>
  <c r="P129" i="773"/>
  <c r="P64" i="774"/>
  <c r="M140" i="774"/>
  <c r="AF140" i="774" s="1"/>
  <c r="AG124" i="774" s="1"/>
  <c r="AB140" i="776"/>
  <c r="AC124" i="776" s="1"/>
  <c r="P42" i="776"/>
  <c r="Q42" i="776"/>
  <c r="Q44" i="779"/>
  <c r="P44" i="779"/>
  <c r="M106" i="767"/>
  <c r="N106" i="767" s="1"/>
  <c r="K8" i="757"/>
  <c r="O72" i="759"/>
  <c r="G8" i="754"/>
  <c r="N5" i="755"/>
  <c r="O72" i="755"/>
  <c r="K89" i="755"/>
  <c r="N124" i="755"/>
  <c r="Q124" i="755" s="1"/>
  <c r="N24" i="756"/>
  <c r="Q24" i="756" s="1"/>
  <c r="O123" i="756"/>
  <c r="AA44" i="758"/>
  <c r="H1" i="759"/>
  <c r="N7" i="761"/>
  <c r="Q7" i="761" s="1"/>
  <c r="M55" i="761"/>
  <c r="O72" i="761"/>
  <c r="K89" i="761"/>
  <c r="K140" i="761"/>
  <c r="O38" i="762"/>
  <c r="AE45" i="762"/>
  <c r="AE126" i="762"/>
  <c r="K72" i="764"/>
  <c r="M140" i="764"/>
  <c r="AF57" i="765"/>
  <c r="N61" i="765"/>
  <c r="Q61" i="765" s="1"/>
  <c r="N65" i="765"/>
  <c r="Q65" i="765" s="1"/>
  <c r="N74" i="765"/>
  <c r="Q74" i="765" s="1"/>
  <c r="N90" i="765"/>
  <c r="Q90" i="765" s="1"/>
  <c r="AE124" i="765"/>
  <c r="AA40" i="767"/>
  <c r="N124" i="767"/>
  <c r="P124" i="767" s="1"/>
  <c r="AB127" i="767"/>
  <c r="O21" i="768"/>
  <c r="AD2" i="768"/>
  <c r="R6" i="766" s="1"/>
  <c r="AE58" i="768"/>
  <c r="O55" i="770"/>
  <c r="AA109" i="770"/>
  <c r="N41" i="771"/>
  <c r="Q41" i="771" s="1"/>
  <c r="O72" i="771"/>
  <c r="N6" i="773"/>
  <c r="Q6" i="773" s="1"/>
  <c r="K21" i="773"/>
  <c r="O55" i="773"/>
  <c r="K89" i="773"/>
  <c r="N41" i="774"/>
  <c r="N61" i="774"/>
  <c r="Q61" i="774" s="1"/>
  <c r="AE107" i="774"/>
  <c r="AA21" i="776"/>
  <c r="F1" i="756"/>
  <c r="F2" i="756" s="1"/>
  <c r="P40" i="780"/>
  <c r="Q40" i="780"/>
  <c r="P92" i="761"/>
  <c r="M72" i="771"/>
  <c r="AE72" i="771" s="1"/>
  <c r="M21" i="764"/>
  <c r="K55" i="764"/>
  <c r="K89" i="764"/>
  <c r="N108" i="764"/>
  <c r="Q108" i="764" s="1"/>
  <c r="N108" i="765"/>
  <c r="Q108" i="765" s="1"/>
  <c r="K8" i="766"/>
  <c r="AA60" i="767"/>
  <c r="M89" i="767"/>
  <c r="AB89" i="767" s="1"/>
  <c r="AC73" i="767" s="1"/>
  <c r="N93" i="767"/>
  <c r="N7" i="768"/>
  <c r="AE24" i="768"/>
  <c r="K72" i="768"/>
  <c r="AE90" i="768"/>
  <c r="E8" i="769"/>
  <c r="AA5" i="770"/>
  <c r="AB41" i="770"/>
  <c r="N59" i="770"/>
  <c r="N74" i="770"/>
  <c r="Q74" i="770" s="1"/>
  <c r="N126" i="770"/>
  <c r="Q126" i="770" s="1"/>
  <c r="N130" i="770"/>
  <c r="Q130" i="770" s="1"/>
  <c r="Y2" i="771"/>
  <c r="O6" i="769" s="1"/>
  <c r="I8" i="772"/>
  <c r="AB6" i="773"/>
  <c r="K38" i="773"/>
  <c r="O72" i="773"/>
  <c r="N6" i="774"/>
  <c r="Q6" i="774" s="1"/>
  <c r="AD2" i="774"/>
  <c r="R6" i="772" s="1"/>
  <c r="K55" i="774"/>
  <c r="AF61" i="774"/>
  <c r="M89" i="755"/>
  <c r="K140" i="756"/>
  <c r="N111" i="758"/>
  <c r="K140" i="762"/>
  <c r="Q41" i="755"/>
  <c r="N128" i="755"/>
  <c r="Q128" i="755" s="1"/>
  <c r="AA131" i="755"/>
  <c r="N28" i="756"/>
  <c r="Q28" i="756" s="1"/>
  <c r="H1" i="758"/>
  <c r="N41" i="758"/>
  <c r="Q41" i="758" s="1"/>
  <c r="N75" i="758"/>
  <c r="Q75" i="758" s="1"/>
  <c r="K123" i="758"/>
  <c r="N93" i="761"/>
  <c r="Q93" i="761" s="1"/>
  <c r="N108" i="761"/>
  <c r="Q108" i="761" s="1"/>
  <c r="N112" i="761"/>
  <c r="P112" i="761" s="1"/>
  <c r="AA128" i="761"/>
  <c r="AD2" i="762"/>
  <c r="R6" i="760" s="1"/>
  <c r="O140" i="762"/>
  <c r="N41" i="764"/>
  <c r="Q41" i="764" s="1"/>
  <c r="O55" i="764"/>
  <c r="O89" i="764"/>
  <c r="N112" i="764"/>
  <c r="Q112" i="764" s="1"/>
  <c r="AF41" i="765"/>
  <c r="O72" i="765"/>
  <c r="AB23" i="767"/>
  <c r="N73" i="767"/>
  <c r="Q73" i="767" s="1"/>
  <c r="AA135" i="767"/>
  <c r="Q39" i="768"/>
  <c r="N43" i="768"/>
  <c r="Q43" i="768" s="1"/>
  <c r="M72" i="768"/>
  <c r="N72" i="768" s="1"/>
  <c r="AE62" i="768"/>
  <c r="AE74" i="768"/>
  <c r="AF90" i="768"/>
  <c r="AE125" i="768"/>
  <c r="AA113" i="770"/>
  <c r="AE6" i="771"/>
  <c r="AE91" i="771"/>
  <c r="AE108" i="771"/>
  <c r="AE124" i="771"/>
  <c r="P59" i="773"/>
  <c r="N126" i="773"/>
  <c r="Q126" i="773" s="1"/>
  <c r="O38" i="774"/>
  <c r="H1" i="774"/>
  <c r="Q58" i="774"/>
  <c r="K72" i="774"/>
  <c r="P91" i="774"/>
  <c r="AF124" i="774"/>
  <c r="P5" i="780"/>
  <c r="P126" i="777"/>
  <c r="Q126" i="777"/>
  <c r="N23" i="759"/>
  <c r="F1" i="761"/>
  <c r="N39" i="761"/>
  <c r="P39" i="761" s="1"/>
  <c r="O140" i="756"/>
  <c r="AE5" i="759"/>
  <c r="N26" i="759"/>
  <c r="P62" i="759"/>
  <c r="K106" i="759"/>
  <c r="AF109" i="759"/>
  <c r="M8" i="760"/>
  <c r="AA132" i="761"/>
  <c r="O21" i="755"/>
  <c r="AB41" i="755"/>
  <c r="N45" i="755"/>
  <c r="Q125" i="755"/>
  <c r="O123" i="758"/>
  <c r="O106" i="759"/>
  <c r="AA39" i="761"/>
  <c r="AA42" i="761"/>
  <c r="M72" i="761"/>
  <c r="M106" i="761"/>
  <c r="AB124" i="761"/>
  <c r="AB128" i="761"/>
  <c r="AB132" i="761"/>
  <c r="F1" i="762"/>
  <c r="F2" i="762" s="1"/>
  <c r="O55" i="762"/>
  <c r="AE74" i="762"/>
  <c r="N124" i="762"/>
  <c r="Q124" i="762" s="1"/>
  <c r="F1" i="764"/>
  <c r="AB108" i="764"/>
  <c r="AB124" i="764"/>
  <c r="M21" i="765"/>
  <c r="AF21" i="765" s="1"/>
  <c r="AG5" i="765" s="1"/>
  <c r="K55" i="765"/>
  <c r="N58" i="765"/>
  <c r="N44" i="767"/>
  <c r="Q44" i="767" s="1"/>
  <c r="AA57" i="767"/>
  <c r="AB135" i="767"/>
  <c r="N56" i="768"/>
  <c r="Q56" i="768" s="1"/>
  <c r="P6" i="770"/>
  <c r="O106" i="770"/>
  <c r="O38" i="771"/>
  <c r="AF91" i="771"/>
  <c r="AF108" i="771"/>
  <c r="M38" i="773"/>
  <c r="AA38" i="773" s="1"/>
  <c r="AA42" i="773"/>
  <c r="M72" i="773"/>
  <c r="N72" i="773" s="1"/>
  <c r="AA59" i="773"/>
  <c r="M106" i="773"/>
  <c r="AA112" i="773"/>
  <c r="Q130" i="773"/>
  <c r="AF6" i="774"/>
  <c r="M38" i="774"/>
  <c r="AF38" i="774" s="1"/>
  <c r="AG22" i="774" s="1"/>
  <c r="AE58" i="774"/>
  <c r="O72" i="774"/>
  <c r="P133" i="779"/>
  <c r="P43" i="780"/>
  <c r="F1" i="755"/>
  <c r="Z2" i="771"/>
  <c r="P6" i="769" s="1"/>
  <c r="H1" i="771"/>
  <c r="H1" i="773"/>
  <c r="N42" i="759"/>
  <c r="N42" i="761"/>
  <c r="Q42" i="761" s="1"/>
  <c r="P73" i="761"/>
  <c r="N124" i="761"/>
  <c r="P124" i="761" s="1"/>
  <c r="N8" i="762"/>
  <c r="Q8" i="762" s="1"/>
  <c r="Z2" i="762"/>
  <c r="P6" i="760" s="1"/>
  <c r="N74" i="762"/>
  <c r="Q74" i="762" s="1"/>
  <c r="AB41" i="758"/>
  <c r="AB111" i="758"/>
  <c r="M89" i="759"/>
  <c r="N89" i="759" s="1"/>
  <c r="P60" i="761"/>
  <c r="AB108" i="761"/>
  <c r="AB112" i="761"/>
  <c r="P27" i="762"/>
  <c r="E8" i="763"/>
  <c r="AB112" i="764"/>
  <c r="AB57" i="767"/>
  <c r="AA73" i="767"/>
  <c r="AE43" i="768"/>
  <c r="K123" i="770"/>
  <c r="AB42" i="773"/>
  <c r="N56" i="773"/>
  <c r="M89" i="773"/>
  <c r="AA94" i="773"/>
  <c r="AB126" i="773"/>
  <c r="N134" i="773"/>
  <c r="Q134" i="773" s="1"/>
  <c r="Y2" i="774"/>
  <c r="O6" i="772" s="1"/>
  <c r="AF91" i="774"/>
  <c r="Q92" i="776"/>
  <c r="Q89" i="782"/>
  <c r="R73" i="782" s="1"/>
  <c r="P89" i="782"/>
  <c r="Q72" i="783"/>
  <c r="R56" i="783" s="1"/>
  <c r="P72" i="783"/>
  <c r="Q140" i="783"/>
  <c r="R124" i="783" s="1"/>
  <c r="P140" i="783"/>
  <c r="Q123" i="783"/>
  <c r="R107" i="783" s="1"/>
  <c r="P123" i="783"/>
  <c r="D2" i="782"/>
  <c r="Q21" i="782"/>
  <c r="R5" i="782" s="1"/>
  <c r="P21" i="782"/>
  <c r="Q106" i="782"/>
  <c r="R90" i="782" s="1"/>
  <c r="P106" i="782"/>
  <c r="Q21" i="783"/>
  <c r="R5" i="783" s="1"/>
  <c r="P21" i="783"/>
  <c r="D2" i="783"/>
  <c r="Q140" i="782"/>
  <c r="R124" i="782" s="1"/>
  <c r="P140" i="782"/>
  <c r="Q38" i="783"/>
  <c r="R22" i="783" s="1"/>
  <c r="P38" i="783"/>
  <c r="Q123" i="782"/>
  <c r="R107" i="782" s="1"/>
  <c r="P123" i="782"/>
  <c r="Q124" i="779"/>
  <c r="P124" i="779"/>
  <c r="Q73" i="780"/>
  <c r="P73" i="780"/>
  <c r="Q39" i="779"/>
  <c r="P39" i="779"/>
  <c r="AE140" i="780"/>
  <c r="AF140" i="780"/>
  <c r="AG124" i="780" s="1"/>
  <c r="N140" i="780"/>
  <c r="Q6" i="779"/>
  <c r="P6" i="779"/>
  <c r="Q90" i="779"/>
  <c r="P90" i="779"/>
  <c r="Q65" i="780"/>
  <c r="P65" i="780"/>
  <c r="Q9" i="779"/>
  <c r="P9" i="779"/>
  <c r="Q134" i="779"/>
  <c r="P134" i="779"/>
  <c r="Q41" i="779"/>
  <c r="P41" i="779"/>
  <c r="P106" i="779"/>
  <c r="Q106" i="779"/>
  <c r="R90" i="779" s="1"/>
  <c r="Q91" i="779"/>
  <c r="P91" i="779"/>
  <c r="Q57" i="780"/>
  <c r="P57" i="780"/>
  <c r="Q75" i="780"/>
  <c r="P75" i="780"/>
  <c r="Q126" i="779"/>
  <c r="P126" i="779"/>
  <c r="Q62" i="780"/>
  <c r="P62" i="780"/>
  <c r="Q109" i="779"/>
  <c r="P109" i="779"/>
  <c r="Q130" i="779"/>
  <c r="P130" i="779"/>
  <c r="N106" i="780"/>
  <c r="AF106" i="780"/>
  <c r="AG90" i="780" s="1"/>
  <c r="AE106" i="780"/>
  <c r="Q26" i="780"/>
  <c r="P26" i="780"/>
  <c r="Q58" i="780"/>
  <c r="P58" i="780"/>
  <c r="P72" i="780"/>
  <c r="Q72" i="780"/>
  <c r="R56" i="780" s="1"/>
  <c r="Q125" i="780"/>
  <c r="P125" i="780"/>
  <c r="Q43" i="779"/>
  <c r="P43" i="779"/>
  <c r="Q93" i="779"/>
  <c r="P93" i="779"/>
  <c r="Q89" i="780"/>
  <c r="R73" i="780" s="1"/>
  <c r="P89" i="780"/>
  <c r="Q90" i="780"/>
  <c r="P90" i="780"/>
  <c r="N21" i="780"/>
  <c r="AF21" i="780"/>
  <c r="AG5" i="780" s="1"/>
  <c r="AE21" i="780"/>
  <c r="N38" i="780"/>
  <c r="AF38" i="780"/>
  <c r="AG22" i="780" s="1"/>
  <c r="AE38" i="780"/>
  <c r="Q6" i="780"/>
  <c r="P6" i="780"/>
  <c r="Q22" i="779"/>
  <c r="P22" i="779"/>
  <c r="Q61" i="780"/>
  <c r="P61" i="780"/>
  <c r="Q113" i="779"/>
  <c r="P113" i="779"/>
  <c r="Q112" i="779"/>
  <c r="P112" i="779"/>
  <c r="Q126" i="780"/>
  <c r="P126" i="780"/>
  <c r="Q60" i="779"/>
  <c r="P60" i="779"/>
  <c r="N123" i="779"/>
  <c r="AB123" i="779"/>
  <c r="AC107" i="779" s="1"/>
  <c r="AA123" i="779"/>
  <c r="Q108" i="779"/>
  <c r="P108" i="779"/>
  <c r="Q7" i="780"/>
  <c r="P7" i="780"/>
  <c r="Q38" i="779"/>
  <c r="R22" i="779" s="1"/>
  <c r="P38" i="779"/>
  <c r="Q72" i="779"/>
  <c r="R56" i="779" s="1"/>
  <c r="P72" i="779"/>
  <c r="Q24" i="780"/>
  <c r="P24" i="780"/>
  <c r="AB21" i="779"/>
  <c r="AC5" i="779" s="1"/>
  <c r="AA21" i="779"/>
  <c r="N21" i="779"/>
  <c r="AB55" i="779"/>
  <c r="AC39" i="779" s="1"/>
  <c r="AA55" i="779"/>
  <c r="N55" i="779"/>
  <c r="Q59" i="779"/>
  <c r="P59" i="779"/>
  <c r="P74" i="780"/>
  <c r="Q74" i="780"/>
  <c r="P140" i="779"/>
  <c r="Q140" i="779"/>
  <c r="R124" i="779" s="1"/>
  <c r="N55" i="780"/>
  <c r="AF55" i="780"/>
  <c r="AG39" i="780" s="1"/>
  <c r="AE55" i="780"/>
  <c r="Q5" i="779"/>
  <c r="P5" i="779"/>
  <c r="P8" i="777"/>
  <c r="Q8" i="777"/>
  <c r="AE55" i="777"/>
  <c r="N55" i="777"/>
  <c r="AF55" i="777"/>
  <c r="AG39" i="777" s="1"/>
  <c r="P60" i="777"/>
  <c r="Q60" i="777"/>
  <c r="Q110" i="776"/>
  <c r="P110" i="776"/>
  <c r="AF38" i="777"/>
  <c r="AG22" i="777" s="1"/>
  <c r="AE38" i="777"/>
  <c r="N38" i="777"/>
  <c r="Q72" i="776"/>
  <c r="R56" i="776" s="1"/>
  <c r="P72" i="776"/>
  <c r="AF21" i="777"/>
  <c r="AG5" i="777" s="1"/>
  <c r="AE21" i="777"/>
  <c r="N21" i="777"/>
  <c r="Q57" i="776"/>
  <c r="P57" i="776"/>
  <c r="Q56" i="776"/>
  <c r="P56" i="776"/>
  <c r="Q7" i="776"/>
  <c r="P7" i="776"/>
  <c r="Q61" i="776"/>
  <c r="P61" i="776"/>
  <c r="Q5" i="776"/>
  <c r="P5" i="776"/>
  <c r="Q39" i="776"/>
  <c r="P39" i="776"/>
  <c r="N89" i="777"/>
  <c r="AF89" i="777"/>
  <c r="AG73" i="777" s="1"/>
  <c r="AE89" i="777"/>
  <c r="Q38" i="776"/>
  <c r="R22" i="776" s="1"/>
  <c r="P38" i="776"/>
  <c r="AB123" i="776"/>
  <c r="AC107" i="776" s="1"/>
  <c r="N123" i="776"/>
  <c r="AA123" i="776"/>
  <c r="Q109" i="777"/>
  <c r="P109" i="777"/>
  <c r="AB89" i="776"/>
  <c r="AC73" i="776" s="1"/>
  <c r="AA89" i="776"/>
  <c r="N89" i="776"/>
  <c r="Q111" i="776"/>
  <c r="P111" i="776"/>
  <c r="Q62" i="777"/>
  <c r="P62" i="777"/>
  <c r="Q106" i="776"/>
  <c r="R90" i="776" s="1"/>
  <c r="P106" i="776"/>
  <c r="P63" i="777"/>
  <c r="Q63" i="777"/>
  <c r="Q109" i="776"/>
  <c r="P109" i="776"/>
  <c r="AF140" i="777"/>
  <c r="AG124" i="777" s="1"/>
  <c r="AE140" i="777"/>
  <c r="N140" i="777"/>
  <c r="Q90" i="776"/>
  <c r="P90" i="776"/>
  <c r="Q58" i="777"/>
  <c r="P58" i="777"/>
  <c r="P21" i="776"/>
  <c r="Q21" i="776"/>
  <c r="R5" i="776" s="1"/>
  <c r="Q59" i="777"/>
  <c r="P59" i="777"/>
  <c r="P60" i="776"/>
  <c r="Q60" i="776"/>
  <c r="Q43" i="776"/>
  <c r="P43" i="776"/>
  <c r="P140" i="776"/>
  <c r="Q140" i="776"/>
  <c r="R124" i="776" s="1"/>
  <c r="P61" i="777"/>
  <c r="Q61" i="777"/>
  <c r="Q62" i="776"/>
  <c r="P62" i="776"/>
  <c r="Q6" i="777"/>
  <c r="P6" i="777"/>
  <c r="Q113" i="776"/>
  <c r="P113" i="776"/>
  <c r="N106" i="777"/>
  <c r="AF106" i="777"/>
  <c r="AG90" i="777" s="1"/>
  <c r="AE106" i="777"/>
  <c r="Q6" i="776"/>
  <c r="P6" i="776"/>
  <c r="Q73" i="777"/>
  <c r="P73" i="777"/>
  <c r="AE72" i="777"/>
  <c r="N72" i="777"/>
  <c r="AF72" i="777"/>
  <c r="AG56" i="777" s="1"/>
  <c r="Q57" i="777"/>
  <c r="P57" i="777"/>
  <c r="Q58" i="776"/>
  <c r="P58" i="776"/>
  <c r="N123" i="777"/>
  <c r="AF123" i="777"/>
  <c r="AG107" i="777" s="1"/>
  <c r="AE123" i="777"/>
  <c r="Q64" i="777"/>
  <c r="P64" i="777"/>
  <c r="Q61" i="773"/>
  <c r="P61" i="773"/>
  <c r="Q57" i="773"/>
  <c r="P57" i="773"/>
  <c r="P94" i="773"/>
  <c r="Q94" i="773"/>
  <c r="N89" i="774"/>
  <c r="AF89" i="774"/>
  <c r="AG73" i="774" s="1"/>
  <c r="AE89" i="774"/>
  <c r="N106" i="774"/>
  <c r="AF106" i="774"/>
  <c r="AG90" i="774" s="1"/>
  <c r="AE106" i="774"/>
  <c r="Q22" i="774"/>
  <c r="P22" i="774"/>
  <c r="N89" i="773"/>
  <c r="AB89" i="773"/>
  <c r="AC73" i="773" s="1"/>
  <c r="AA89" i="773"/>
  <c r="AB72" i="773"/>
  <c r="AC56" i="773" s="1"/>
  <c r="AA72" i="773"/>
  <c r="N106" i="773"/>
  <c r="AB106" i="773"/>
  <c r="AC90" i="773" s="1"/>
  <c r="AA106" i="773"/>
  <c r="Q43" i="774"/>
  <c r="P43" i="774"/>
  <c r="Q124" i="774"/>
  <c r="P124" i="774"/>
  <c r="P42" i="773"/>
  <c r="Q42" i="773"/>
  <c r="P26" i="774"/>
  <c r="Q26" i="774"/>
  <c r="N123" i="774"/>
  <c r="AF123" i="774"/>
  <c r="AG107" i="774" s="1"/>
  <c r="AE123" i="774"/>
  <c r="AB8" i="773"/>
  <c r="N22" i="773"/>
  <c r="AB38" i="773"/>
  <c r="AC22" i="773" s="1"/>
  <c r="N41" i="773"/>
  <c r="AB58" i="773"/>
  <c r="AB62" i="773"/>
  <c r="AA90" i="773"/>
  <c r="N93" i="773"/>
  <c r="AB111" i="773"/>
  <c r="N124" i="773"/>
  <c r="AF8" i="774"/>
  <c r="AE22" i="774"/>
  <c r="N25" i="774"/>
  <c r="M55" i="774"/>
  <c r="AF59" i="774"/>
  <c r="AF63" i="774"/>
  <c r="N75" i="774"/>
  <c r="N90" i="774"/>
  <c r="AF109" i="774"/>
  <c r="AE124" i="774"/>
  <c r="N5" i="773"/>
  <c r="M21" i="773"/>
  <c r="N55" i="773"/>
  <c r="N74" i="773"/>
  <c r="AB94" i="773"/>
  <c r="M123" i="773"/>
  <c r="N128" i="773"/>
  <c r="N132" i="773"/>
  <c r="N5" i="774"/>
  <c r="AF26" i="774"/>
  <c r="N40" i="774"/>
  <c r="N44" i="774"/>
  <c r="N56" i="774"/>
  <c r="M72" i="774"/>
  <c r="N140" i="774"/>
  <c r="P6" i="773"/>
  <c r="AA23" i="773"/>
  <c r="N40" i="773"/>
  <c r="N44" i="773"/>
  <c r="AB57" i="773"/>
  <c r="P60" i="773"/>
  <c r="AB61" i="773"/>
  <c r="N73" i="773"/>
  <c r="AA75" i="773"/>
  <c r="N92" i="773"/>
  <c r="P109" i="773"/>
  <c r="AA125" i="773"/>
  <c r="AA129" i="773"/>
  <c r="AA133" i="773"/>
  <c r="P6" i="774"/>
  <c r="N24" i="774"/>
  <c r="N28" i="774"/>
  <c r="N39" i="774"/>
  <c r="AE41" i="774"/>
  <c r="P57" i="774"/>
  <c r="P61" i="774"/>
  <c r="N74" i="774"/>
  <c r="N126" i="774"/>
  <c r="N9" i="773"/>
  <c r="O21" i="773"/>
  <c r="AA41" i="773"/>
  <c r="AA56" i="773"/>
  <c r="AA93" i="773"/>
  <c r="N108" i="773"/>
  <c r="N112" i="773"/>
  <c r="AE25" i="774"/>
  <c r="AE75" i="774"/>
  <c r="AB56" i="773"/>
  <c r="N127" i="773"/>
  <c r="N131" i="773"/>
  <c r="M21" i="774"/>
  <c r="AE90" i="774"/>
  <c r="AF107" i="774"/>
  <c r="AA55" i="773"/>
  <c r="AA74" i="773"/>
  <c r="AA128" i="773"/>
  <c r="AA132" i="773"/>
  <c r="M140" i="773"/>
  <c r="AE40" i="774"/>
  <c r="AE44" i="774"/>
  <c r="E8" i="772"/>
  <c r="AA5" i="773"/>
  <c r="N8" i="773"/>
  <c r="N38" i="773"/>
  <c r="AA40" i="773"/>
  <c r="AA44" i="773"/>
  <c r="N58" i="773"/>
  <c r="N62" i="773"/>
  <c r="N90" i="773"/>
  <c r="AA92" i="773"/>
  <c r="N111" i="773"/>
  <c r="AE5" i="774"/>
  <c r="N8" i="774"/>
  <c r="AE24" i="774"/>
  <c r="AE28" i="774"/>
  <c r="AE56" i="774"/>
  <c r="N59" i="774"/>
  <c r="N63" i="774"/>
  <c r="N109" i="774"/>
  <c r="AE126" i="774"/>
  <c r="P43" i="773"/>
  <c r="P91" i="773"/>
  <c r="P27" i="774"/>
  <c r="AE39" i="774"/>
  <c r="P125" i="774"/>
  <c r="AB73" i="773"/>
  <c r="AA127" i="773"/>
  <c r="AA131" i="773"/>
  <c r="P24" i="773"/>
  <c r="P126" i="773"/>
  <c r="P130" i="773"/>
  <c r="P42" i="774"/>
  <c r="AE140" i="774"/>
  <c r="I3" i="769"/>
  <c r="F2" i="770"/>
  <c r="P23" i="771"/>
  <c r="Q23" i="771"/>
  <c r="Q135" i="770"/>
  <c r="P135" i="770"/>
  <c r="Q91" i="771"/>
  <c r="P91" i="771"/>
  <c r="AB21" i="770"/>
  <c r="AC5" i="770" s="1"/>
  <c r="AA21" i="770"/>
  <c r="N21" i="770"/>
  <c r="P123" i="770"/>
  <c r="Q123" i="770"/>
  <c r="R107" i="770" s="1"/>
  <c r="Q63" i="771"/>
  <c r="P63" i="771"/>
  <c r="Q107" i="771"/>
  <c r="P107" i="771"/>
  <c r="N55" i="770"/>
  <c r="AB55" i="770"/>
  <c r="AC39" i="770" s="1"/>
  <c r="AA55" i="770"/>
  <c r="P41" i="770"/>
  <c r="Q41" i="770"/>
  <c r="Q8" i="771"/>
  <c r="P8" i="771"/>
  <c r="Q42" i="771"/>
  <c r="P42" i="771"/>
  <c r="N89" i="771"/>
  <c r="AF89" i="771"/>
  <c r="AG73" i="771" s="1"/>
  <c r="AE89" i="771"/>
  <c r="Q44" i="770"/>
  <c r="P44" i="770"/>
  <c r="Q60" i="770"/>
  <c r="P60" i="770"/>
  <c r="AA89" i="770"/>
  <c r="N89" i="770"/>
  <c r="AB89" i="770"/>
  <c r="AC73" i="770" s="1"/>
  <c r="Q131" i="770"/>
  <c r="P131" i="770"/>
  <c r="Q22" i="771"/>
  <c r="P22" i="771"/>
  <c r="Q59" i="771"/>
  <c r="P59" i="771"/>
  <c r="Q106" i="771"/>
  <c r="R90" i="771" s="1"/>
  <c r="P106" i="771"/>
  <c r="Q113" i="770"/>
  <c r="P113" i="770"/>
  <c r="Q108" i="771"/>
  <c r="P108" i="771"/>
  <c r="P93" i="770"/>
  <c r="Q93" i="770"/>
  <c r="Q109" i="770"/>
  <c r="P109" i="770"/>
  <c r="Q127" i="770"/>
  <c r="P127" i="770"/>
  <c r="P27" i="771"/>
  <c r="Q27" i="771"/>
  <c r="P22" i="770"/>
  <c r="Q22" i="770"/>
  <c r="P21" i="771"/>
  <c r="Q21" i="771"/>
  <c r="R5" i="771" s="1"/>
  <c r="AA23" i="770"/>
  <c r="AA75" i="770"/>
  <c r="AA128" i="770"/>
  <c r="AA132" i="770"/>
  <c r="AF39" i="771"/>
  <c r="AF72" i="771"/>
  <c r="AG56" i="771" s="1"/>
  <c r="N9" i="770"/>
  <c r="N39" i="770"/>
  <c r="AA41" i="770"/>
  <c r="AA93" i="770"/>
  <c r="N108" i="770"/>
  <c r="N112" i="770"/>
  <c r="AA123" i="770"/>
  <c r="AE23" i="771"/>
  <c r="AE27" i="771"/>
  <c r="M140" i="771"/>
  <c r="AB22" i="770"/>
  <c r="M38" i="770"/>
  <c r="N43" i="770"/>
  <c r="N72" i="770"/>
  <c r="N91" i="770"/>
  <c r="AB109" i="770"/>
  <c r="AB113" i="770"/>
  <c r="AA127" i="770"/>
  <c r="AA131" i="770"/>
  <c r="AA135" i="770"/>
  <c r="N25" i="771"/>
  <c r="M55" i="771"/>
  <c r="P58" i="771"/>
  <c r="AF59" i="771"/>
  <c r="P62" i="771"/>
  <c r="AF63" i="771"/>
  <c r="N72" i="771"/>
  <c r="N74" i="771"/>
  <c r="N126" i="771"/>
  <c r="H1" i="770"/>
  <c r="N8" i="770"/>
  <c r="N58" i="770"/>
  <c r="N62" i="770"/>
  <c r="M106" i="770"/>
  <c r="P107" i="770"/>
  <c r="P126" i="770"/>
  <c r="P130" i="770"/>
  <c r="AB131" i="770"/>
  <c r="P134" i="770"/>
  <c r="AB135" i="770"/>
  <c r="N6" i="771"/>
  <c r="M38" i="771"/>
  <c r="P41" i="771"/>
  <c r="AF42" i="771"/>
  <c r="N57" i="771"/>
  <c r="N61" i="771"/>
  <c r="N65" i="771"/>
  <c r="N73" i="771"/>
  <c r="AB5" i="770"/>
  <c r="AA9" i="770"/>
  <c r="N24" i="770"/>
  <c r="AA108" i="770"/>
  <c r="AA112" i="770"/>
  <c r="N125" i="770"/>
  <c r="N129" i="770"/>
  <c r="N133" i="770"/>
  <c r="N5" i="771"/>
  <c r="AE7" i="771"/>
  <c r="AE21" i="771"/>
  <c r="N40" i="771"/>
  <c r="N44" i="771"/>
  <c r="O55" i="771"/>
  <c r="N56" i="771"/>
  <c r="AE58" i="771"/>
  <c r="AE62" i="771"/>
  <c r="M123" i="771"/>
  <c r="AA39" i="770"/>
  <c r="N42" i="770"/>
  <c r="AB73" i="770"/>
  <c r="N94" i="770"/>
  <c r="P111" i="770"/>
  <c r="N124" i="770"/>
  <c r="AA126" i="770"/>
  <c r="AA130" i="770"/>
  <c r="AA134" i="770"/>
  <c r="AF21" i="771"/>
  <c r="AG5" i="771" s="1"/>
  <c r="N24" i="771"/>
  <c r="N28" i="771"/>
  <c r="N39" i="771"/>
  <c r="AE41" i="771"/>
  <c r="AE106" i="771"/>
  <c r="N125" i="771"/>
  <c r="AB39" i="770"/>
  <c r="AA43" i="770"/>
  <c r="AA91" i="770"/>
  <c r="AE25" i="771"/>
  <c r="AE74" i="771"/>
  <c r="AF106" i="771"/>
  <c r="AG90" i="771" s="1"/>
  <c r="AE126" i="771"/>
  <c r="P7" i="770"/>
  <c r="AA24" i="770"/>
  <c r="P57" i="770"/>
  <c r="P61" i="770"/>
  <c r="AA90" i="770"/>
  <c r="M140" i="770"/>
  <c r="AE40" i="771"/>
  <c r="AE44" i="771"/>
  <c r="P60" i="771"/>
  <c r="P64" i="771"/>
  <c r="AE73" i="771"/>
  <c r="P109" i="771"/>
  <c r="P124" i="771"/>
  <c r="P23" i="770"/>
  <c r="AA42" i="770"/>
  <c r="P56" i="770"/>
  <c r="P75" i="770"/>
  <c r="AA94" i="770"/>
  <c r="P128" i="770"/>
  <c r="AE5" i="771"/>
  <c r="AE24" i="771"/>
  <c r="AE28" i="771"/>
  <c r="P43" i="771"/>
  <c r="AE56" i="771"/>
  <c r="AF73" i="771"/>
  <c r="AE125" i="771"/>
  <c r="Q63" i="768"/>
  <c r="P63" i="768"/>
  <c r="Q59" i="768"/>
  <c r="P59" i="768"/>
  <c r="I3" i="766"/>
  <c r="F2" i="767"/>
  <c r="N72" i="767"/>
  <c r="AB72" i="767"/>
  <c r="AC56" i="767" s="1"/>
  <c r="AA72" i="767"/>
  <c r="Q132" i="767"/>
  <c r="P132" i="767"/>
  <c r="N38" i="767"/>
  <c r="AB38" i="767"/>
  <c r="AC22" i="767" s="1"/>
  <c r="AA38" i="767"/>
  <c r="AA89" i="767"/>
  <c r="N89" i="767"/>
  <c r="Q42" i="768"/>
  <c r="P42" i="768"/>
  <c r="Q108" i="768"/>
  <c r="P108" i="768"/>
  <c r="Q9" i="767"/>
  <c r="P9" i="767"/>
  <c r="Q75" i="767"/>
  <c r="P75" i="767"/>
  <c r="Q128" i="767"/>
  <c r="P128" i="767"/>
  <c r="Q9" i="768"/>
  <c r="P9" i="768"/>
  <c r="Q22" i="768"/>
  <c r="P22" i="768"/>
  <c r="AE72" i="768"/>
  <c r="AF72" i="768"/>
  <c r="AG56" i="768" s="1"/>
  <c r="Q106" i="768"/>
  <c r="R90" i="768" s="1"/>
  <c r="P106" i="768"/>
  <c r="Q90" i="768"/>
  <c r="P90" i="768"/>
  <c r="Q133" i="767"/>
  <c r="P133" i="767"/>
  <c r="Q135" i="767"/>
  <c r="P135" i="767"/>
  <c r="N21" i="768"/>
  <c r="AF21" i="768"/>
  <c r="AG5" i="768" s="1"/>
  <c r="AE21" i="768"/>
  <c r="Q124" i="768"/>
  <c r="P124" i="768"/>
  <c r="Q106" i="767"/>
  <c r="R90" i="767" s="1"/>
  <c r="P106" i="767"/>
  <c r="Q114" i="767"/>
  <c r="P114" i="767"/>
  <c r="Q58" i="768"/>
  <c r="P58" i="768"/>
  <c r="Q129" i="767"/>
  <c r="P129" i="767"/>
  <c r="Q131" i="767"/>
  <c r="P131" i="767"/>
  <c r="Q23" i="767"/>
  <c r="P23" i="767"/>
  <c r="P39" i="767"/>
  <c r="Q39" i="767"/>
  <c r="AB123" i="767"/>
  <c r="AC107" i="767" s="1"/>
  <c r="AA123" i="767"/>
  <c r="N123" i="767"/>
  <c r="Q125" i="767"/>
  <c r="P125" i="767"/>
  <c r="Q127" i="767"/>
  <c r="P127" i="767"/>
  <c r="Q8" i="768"/>
  <c r="P8" i="768"/>
  <c r="Q89" i="768"/>
  <c r="R73" i="768" s="1"/>
  <c r="P89" i="768"/>
  <c r="Q57" i="767"/>
  <c r="P57" i="767"/>
  <c r="Q61" i="767"/>
  <c r="P61" i="767"/>
  <c r="Q110" i="767"/>
  <c r="P110" i="767"/>
  <c r="Q91" i="768"/>
  <c r="P91" i="768"/>
  <c r="Q107" i="768"/>
  <c r="P107" i="768"/>
  <c r="P8" i="767"/>
  <c r="AB9" i="767"/>
  <c r="AA39" i="767"/>
  <c r="N42" i="767"/>
  <c r="P58" i="767"/>
  <c r="AB59" i="767"/>
  <c r="P62" i="767"/>
  <c r="AB73" i="767"/>
  <c r="P90" i="767"/>
  <c r="Q91" i="767"/>
  <c r="N94" i="767"/>
  <c r="AB108" i="767"/>
  <c r="P111" i="767"/>
  <c r="AB112" i="767"/>
  <c r="Q124" i="767"/>
  <c r="AA125" i="767"/>
  <c r="AA129" i="767"/>
  <c r="AA133" i="767"/>
  <c r="M140" i="767"/>
  <c r="AF6" i="768"/>
  <c r="Q23" i="768"/>
  <c r="N26" i="768"/>
  <c r="Q27" i="768"/>
  <c r="AF39" i="768"/>
  <c r="AF60" i="768"/>
  <c r="AF64" i="768"/>
  <c r="N75" i="768"/>
  <c r="AF109" i="768"/>
  <c r="AE124" i="768"/>
  <c r="AB39" i="767"/>
  <c r="AA43" i="767"/>
  <c r="AA91" i="767"/>
  <c r="AA107" i="767"/>
  <c r="AB125" i="767"/>
  <c r="AB129" i="767"/>
  <c r="AB133" i="767"/>
  <c r="AE5" i="768"/>
  <c r="AF124" i="768"/>
  <c r="M140" i="768"/>
  <c r="AA8" i="767"/>
  <c r="AA58" i="767"/>
  <c r="AA62" i="767"/>
  <c r="AB107" i="767"/>
  <c r="AA111" i="767"/>
  <c r="AF5" i="768"/>
  <c r="AE9" i="768"/>
  <c r="N41" i="768"/>
  <c r="AE59" i="768"/>
  <c r="AE63" i="768"/>
  <c r="AE108" i="768"/>
  <c r="AA9" i="767"/>
  <c r="N24" i="767"/>
  <c r="P7" i="767"/>
  <c r="AA24" i="767"/>
  <c r="AA90" i="767"/>
  <c r="AA106" i="767"/>
  <c r="AA128" i="767"/>
  <c r="AA132" i="767"/>
  <c r="AF9" i="768"/>
  <c r="AE22" i="768"/>
  <c r="AE42" i="768"/>
  <c r="M55" i="768"/>
  <c r="AF59" i="768"/>
  <c r="AF63" i="768"/>
  <c r="AE91" i="768"/>
  <c r="AF108" i="768"/>
  <c r="N126" i="768"/>
  <c r="AB24" i="767"/>
  <c r="M55" i="767"/>
  <c r="AA94" i="767"/>
  <c r="N109" i="767"/>
  <c r="N113" i="767"/>
  <c r="AB128" i="767"/>
  <c r="AB132" i="767"/>
  <c r="AF22" i="768"/>
  <c r="M38" i="768"/>
  <c r="AF42" i="768"/>
  <c r="AF91" i="768"/>
  <c r="AE107" i="768"/>
  <c r="M21" i="767"/>
  <c r="AF107" i="768"/>
  <c r="M123" i="768"/>
  <c r="AE106" i="768"/>
  <c r="N125" i="768"/>
  <c r="N59" i="767"/>
  <c r="P74" i="767"/>
  <c r="N108" i="767"/>
  <c r="N6" i="768"/>
  <c r="P40" i="768"/>
  <c r="P44" i="768"/>
  <c r="N60" i="768"/>
  <c r="N64" i="768"/>
  <c r="AE89" i="768"/>
  <c r="AF106" i="768"/>
  <c r="AG90" i="768" s="1"/>
  <c r="N109" i="768"/>
  <c r="AE126" i="768"/>
  <c r="P5" i="767"/>
  <c r="N112" i="767"/>
  <c r="P40" i="767"/>
  <c r="P44" i="767"/>
  <c r="P73" i="767"/>
  <c r="P92" i="767"/>
  <c r="N107" i="767"/>
  <c r="N5" i="768"/>
  <c r="AF89" i="768"/>
  <c r="AG73" i="768" s="1"/>
  <c r="P43" i="768"/>
  <c r="AB38" i="764"/>
  <c r="AC22" i="764" s="1"/>
  <c r="AA38" i="764"/>
  <c r="N38" i="764"/>
  <c r="N55" i="765"/>
  <c r="AF55" i="765"/>
  <c r="AG39" i="765" s="1"/>
  <c r="AE55" i="765"/>
  <c r="Q107" i="764"/>
  <c r="P107" i="764"/>
  <c r="Q130" i="764"/>
  <c r="P130" i="764"/>
  <c r="P40" i="764"/>
  <c r="Q40" i="764"/>
  <c r="P60" i="764"/>
  <c r="Q60" i="764"/>
  <c r="Q44" i="765"/>
  <c r="P44" i="765"/>
  <c r="Q124" i="765"/>
  <c r="P124" i="765"/>
  <c r="Q125" i="764"/>
  <c r="P125" i="764"/>
  <c r="Q133" i="764"/>
  <c r="P133" i="764"/>
  <c r="Q89" i="765"/>
  <c r="R73" i="765" s="1"/>
  <c r="P89" i="765"/>
  <c r="Q74" i="764"/>
  <c r="P74" i="764"/>
  <c r="Q107" i="765"/>
  <c r="P107" i="765"/>
  <c r="N21" i="764"/>
  <c r="AB21" i="764"/>
  <c r="AC5" i="764" s="1"/>
  <c r="AA21" i="764"/>
  <c r="AA72" i="764"/>
  <c r="AB72" i="764"/>
  <c r="AC56" i="764" s="1"/>
  <c r="N72" i="764"/>
  <c r="Q91" i="765"/>
  <c r="P91" i="765"/>
  <c r="Q126" i="764"/>
  <c r="P126" i="764"/>
  <c r="Q134" i="764"/>
  <c r="P134" i="764"/>
  <c r="Q40" i="765"/>
  <c r="P40" i="765"/>
  <c r="I3" i="763"/>
  <c r="F2" i="764"/>
  <c r="N55" i="764"/>
  <c r="AB55" i="764"/>
  <c r="AC39" i="764" s="1"/>
  <c r="AA55" i="764"/>
  <c r="AB140" i="764"/>
  <c r="AC124" i="764" s="1"/>
  <c r="AA140" i="764"/>
  <c r="N140" i="764"/>
  <c r="Q129" i="764"/>
  <c r="P129" i="764"/>
  <c r="N38" i="765"/>
  <c r="AF38" i="765"/>
  <c r="AG22" i="765" s="1"/>
  <c r="AE38" i="765"/>
  <c r="Q43" i="765"/>
  <c r="P43" i="765"/>
  <c r="P44" i="764"/>
  <c r="Q44" i="764"/>
  <c r="Q93" i="764"/>
  <c r="P93" i="764"/>
  <c r="P9" i="764"/>
  <c r="P39" i="764"/>
  <c r="N43" i="764"/>
  <c r="P59" i="764"/>
  <c r="Q92" i="764"/>
  <c r="P108" i="764"/>
  <c r="AB109" i="764"/>
  <c r="P112" i="764"/>
  <c r="AB113" i="764"/>
  <c r="K123" i="764"/>
  <c r="AA126" i="764"/>
  <c r="H1" i="765"/>
  <c r="P6" i="765"/>
  <c r="Q39" i="765"/>
  <c r="P59" i="765"/>
  <c r="P63" i="765"/>
  <c r="K72" i="765"/>
  <c r="P108" i="765"/>
  <c r="AB23" i="764"/>
  <c r="H1" i="764"/>
  <c r="AA5" i="764"/>
  <c r="N8" i="764"/>
  <c r="AA40" i="764"/>
  <c r="AA44" i="764"/>
  <c r="N58" i="764"/>
  <c r="N62" i="764"/>
  <c r="N90" i="764"/>
  <c r="M106" i="764"/>
  <c r="N9" i="765"/>
  <c r="N22" i="765"/>
  <c r="N62" i="765"/>
  <c r="AB131" i="764"/>
  <c r="AB5" i="764"/>
  <c r="AA9" i="764"/>
  <c r="N24" i="764"/>
  <c r="AB40" i="764"/>
  <c r="AB44" i="764"/>
  <c r="P91" i="764"/>
  <c r="M123" i="764"/>
  <c r="N128" i="764"/>
  <c r="N132" i="764"/>
  <c r="AE6" i="765"/>
  <c r="P23" i="765"/>
  <c r="P27" i="765"/>
  <c r="N42" i="765"/>
  <c r="AE59" i="765"/>
  <c r="AE63" i="765"/>
  <c r="M72" i="765"/>
  <c r="P75" i="765"/>
  <c r="P90" i="765"/>
  <c r="AE108" i="765"/>
  <c r="N140" i="765"/>
  <c r="AB75" i="764"/>
  <c r="AA39" i="764"/>
  <c r="M89" i="764"/>
  <c r="AA125" i="764"/>
  <c r="AA129" i="764"/>
  <c r="AA133" i="764"/>
  <c r="AE43" i="765"/>
  <c r="AE91" i="765"/>
  <c r="AE5" i="765"/>
  <c r="AF43" i="765"/>
  <c r="AF91" i="765"/>
  <c r="AE107" i="765"/>
  <c r="AA8" i="764"/>
  <c r="N23" i="764"/>
  <c r="P42" i="764"/>
  <c r="N56" i="764"/>
  <c r="AA58" i="764"/>
  <c r="AA62" i="764"/>
  <c r="N75" i="764"/>
  <c r="P94" i="764"/>
  <c r="AB107" i="764"/>
  <c r="AA111" i="764"/>
  <c r="N127" i="764"/>
  <c r="N131" i="764"/>
  <c r="N135" i="764"/>
  <c r="AF5" i="765"/>
  <c r="AE9" i="765"/>
  <c r="P26" i="765"/>
  <c r="N41" i="765"/>
  <c r="N45" i="765"/>
  <c r="N56" i="765"/>
  <c r="AE58" i="765"/>
  <c r="AE62" i="765"/>
  <c r="P74" i="765"/>
  <c r="AF107" i="765"/>
  <c r="M123" i="765"/>
  <c r="P126" i="765"/>
  <c r="AA107" i="764"/>
  <c r="AB133" i="764"/>
  <c r="P7" i="764"/>
  <c r="P57" i="764"/>
  <c r="P61" i="764"/>
  <c r="AA90" i="764"/>
  <c r="P110" i="764"/>
  <c r="P114" i="764"/>
  <c r="AA128" i="764"/>
  <c r="AA132" i="764"/>
  <c r="AE22" i="765"/>
  <c r="N25" i="765"/>
  <c r="AE42" i="765"/>
  <c r="P57" i="765"/>
  <c r="P61" i="765"/>
  <c r="P65" i="765"/>
  <c r="P73" i="765"/>
  <c r="N125" i="765"/>
  <c r="AB125" i="764"/>
  <c r="AA42" i="764"/>
  <c r="AA94" i="764"/>
  <c r="N109" i="764"/>
  <c r="N113" i="764"/>
  <c r="N7" i="765"/>
  <c r="AF22" i="765"/>
  <c r="AE26" i="765"/>
  <c r="N60" i="765"/>
  <c r="N64" i="765"/>
  <c r="AE74" i="765"/>
  <c r="AE89" i="765"/>
  <c r="N109" i="765"/>
  <c r="AE126" i="765"/>
  <c r="N5" i="764"/>
  <c r="P22" i="764"/>
  <c r="P41" i="764"/>
  <c r="AA57" i="764"/>
  <c r="AA61" i="764"/>
  <c r="AA110" i="764"/>
  <c r="AA114" i="764"/>
  <c r="AF89" i="765"/>
  <c r="AG73" i="765" s="1"/>
  <c r="AA127" i="764"/>
  <c r="AA135" i="764"/>
  <c r="M106" i="765"/>
  <c r="AE140" i="765"/>
  <c r="AB56" i="764"/>
  <c r="N5" i="765"/>
  <c r="I3" i="760"/>
  <c r="F2" i="761"/>
  <c r="Q8" i="761"/>
  <c r="P8" i="761"/>
  <c r="Q45" i="762"/>
  <c r="P45" i="762"/>
  <c r="N89" i="762"/>
  <c r="AF89" i="762"/>
  <c r="AG73" i="762" s="1"/>
  <c r="AE89" i="762"/>
  <c r="Q107" i="762"/>
  <c r="P107" i="762"/>
  <c r="Q22" i="762"/>
  <c r="P22" i="762"/>
  <c r="Q56" i="762"/>
  <c r="P56" i="762"/>
  <c r="Q61" i="762"/>
  <c r="P61" i="762"/>
  <c r="Q24" i="761"/>
  <c r="P24" i="761"/>
  <c r="Q111" i="761"/>
  <c r="P111" i="761"/>
  <c r="Q9" i="762"/>
  <c r="P9" i="762"/>
  <c r="Q129" i="761"/>
  <c r="P129" i="761"/>
  <c r="Q41" i="762"/>
  <c r="P41" i="762"/>
  <c r="Q62" i="761"/>
  <c r="P62" i="761"/>
  <c r="Q108" i="762"/>
  <c r="P108" i="762"/>
  <c r="Q91" i="762"/>
  <c r="P91" i="762"/>
  <c r="Q132" i="761"/>
  <c r="P132" i="761"/>
  <c r="Q57" i="762"/>
  <c r="P57" i="762"/>
  <c r="Q58" i="761"/>
  <c r="P58" i="761"/>
  <c r="AB123" i="761"/>
  <c r="AC107" i="761" s="1"/>
  <c r="AA123" i="761"/>
  <c r="N123" i="761"/>
  <c r="AF21" i="762"/>
  <c r="AG5" i="762" s="1"/>
  <c r="AE21" i="762"/>
  <c r="N21" i="762"/>
  <c r="Q125" i="761"/>
  <c r="P125" i="761"/>
  <c r="Q40" i="761"/>
  <c r="P40" i="761"/>
  <c r="N72" i="761"/>
  <c r="AB72" i="761"/>
  <c r="AC56" i="761" s="1"/>
  <c r="AA72" i="761"/>
  <c r="N106" i="761"/>
  <c r="AB106" i="761"/>
  <c r="AC90" i="761" s="1"/>
  <c r="AA106" i="761"/>
  <c r="Q42" i="762"/>
  <c r="P42" i="762"/>
  <c r="P44" i="761"/>
  <c r="Q44" i="761"/>
  <c r="Q128" i="761"/>
  <c r="P128" i="761"/>
  <c r="Q38" i="761"/>
  <c r="R22" i="761" s="1"/>
  <c r="P38" i="761"/>
  <c r="Q133" i="761"/>
  <c r="P133" i="761"/>
  <c r="P108" i="761"/>
  <c r="G8" i="760"/>
  <c r="Q43" i="761"/>
  <c r="M89" i="761"/>
  <c r="Q91" i="761"/>
  <c r="Q124" i="761"/>
  <c r="AA125" i="761"/>
  <c r="AA129" i="761"/>
  <c r="AA133" i="761"/>
  <c r="M140" i="761"/>
  <c r="Q23" i="762"/>
  <c r="Q27" i="762"/>
  <c r="AE42" i="762"/>
  <c r="P58" i="762"/>
  <c r="P124" i="762"/>
  <c r="AA107" i="761"/>
  <c r="O123" i="761"/>
  <c r="AB125" i="761"/>
  <c r="AB129" i="761"/>
  <c r="AB133" i="761"/>
  <c r="AE5" i="762"/>
  <c r="M38" i="762"/>
  <c r="AF42" i="762"/>
  <c r="AA8" i="761"/>
  <c r="N23" i="761"/>
  <c r="AA38" i="761"/>
  <c r="P42" i="761"/>
  <c r="N56" i="761"/>
  <c r="AA58" i="761"/>
  <c r="AA62" i="761"/>
  <c r="N75" i="761"/>
  <c r="P94" i="761"/>
  <c r="AB107" i="761"/>
  <c r="AA111" i="761"/>
  <c r="N127" i="761"/>
  <c r="N131" i="761"/>
  <c r="N135" i="761"/>
  <c r="AF5" i="762"/>
  <c r="AE9" i="762"/>
  <c r="P26" i="762"/>
  <c r="N40" i="762"/>
  <c r="N44" i="762"/>
  <c r="AE57" i="762"/>
  <c r="AE61" i="762"/>
  <c r="M72" i="762"/>
  <c r="P75" i="762"/>
  <c r="P90" i="762"/>
  <c r="AE108" i="762"/>
  <c r="N140" i="762"/>
  <c r="P109" i="762"/>
  <c r="P7" i="761"/>
  <c r="AB8" i="761"/>
  <c r="AB38" i="761"/>
  <c r="AC22" i="761" s="1"/>
  <c r="P57" i="761"/>
  <c r="AB58" i="761"/>
  <c r="P61" i="761"/>
  <c r="AB62" i="761"/>
  <c r="AA90" i="761"/>
  <c r="P110" i="761"/>
  <c r="AB111" i="761"/>
  <c r="P114" i="761"/>
  <c r="P8" i="762"/>
  <c r="AF9" i="762"/>
  <c r="AE22" i="762"/>
  <c r="AF57" i="762"/>
  <c r="P60" i="762"/>
  <c r="AF61" i="762"/>
  <c r="AF108" i="762"/>
  <c r="P62" i="762"/>
  <c r="AB90" i="761"/>
  <c r="N109" i="761"/>
  <c r="N113" i="761"/>
  <c r="N7" i="762"/>
  <c r="AF22" i="762"/>
  <c r="AF41" i="762"/>
  <c r="AF45" i="762"/>
  <c r="AE56" i="762"/>
  <c r="N59" i="762"/>
  <c r="N63" i="762"/>
  <c r="N73" i="762"/>
  <c r="AF91" i="762"/>
  <c r="AE107" i="762"/>
  <c r="M55" i="762"/>
  <c r="N5" i="761"/>
  <c r="AA7" i="761"/>
  <c r="M21" i="761"/>
  <c r="P22" i="761"/>
  <c r="P41" i="761"/>
  <c r="N55" i="761"/>
  <c r="AA57" i="761"/>
  <c r="AA61" i="761"/>
  <c r="N74" i="761"/>
  <c r="P93" i="761"/>
  <c r="AA110" i="761"/>
  <c r="AA114" i="761"/>
  <c r="N126" i="761"/>
  <c r="N130" i="761"/>
  <c r="N134" i="761"/>
  <c r="AE8" i="762"/>
  <c r="P25" i="762"/>
  <c r="P29" i="762"/>
  <c r="P39" i="762"/>
  <c r="AF56" i="762"/>
  <c r="AE60" i="762"/>
  <c r="P74" i="762"/>
  <c r="AF107" i="762"/>
  <c r="M123" i="762"/>
  <c r="P126" i="762"/>
  <c r="H1" i="762"/>
  <c r="N24" i="762"/>
  <c r="N28" i="762"/>
  <c r="AE106" i="762"/>
  <c r="AB56" i="761"/>
  <c r="N107" i="761"/>
  <c r="N5" i="762"/>
  <c r="P9" i="761"/>
  <c r="AA5" i="761"/>
  <c r="Q39" i="761"/>
  <c r="Q59" i="761"/>
  <c r="N90" i="761"/>
  <c r="Q112" i="761"/>
  <c r="Q6" i="762"/>
  <c r="AE24" i="762"/>
  <c r="AE28" i="762"/>
  <c r="AF73" i="762"/>
  <c r="AE140" i="762"/>
  <c r="F2" i="758"/>
  <c r="I3" i="757"/>
  <c r="Q44" i="758"/>
  <c r="P44" i="758"/>
  <c r="Q132" i="758"/>
  <c r="P132" i="758"/>
  <c r="Q24" i="758"/>
  <c r="P24" i="758"/>
  <c r="P94" i="758"/>
  <c r="Q94" i="758"/>
  <c r="Q125" i="758"/>
  <c r="P125" i="758"/>
  <c r="Q124" i="759"/>
  <c r="P124" i="759"/>
  <c r="AA38" i="758"/>
  <c r="N38" i="758"/>
  <c r="AB38" i="758"/>
  <c r="AC22" i="758" s="1"/>
  <c r="Q40" i="758"/>
  <c r="P40" i="758"/>
  <c r="P60" i="758"/>
  <c r="Q60" i="758"/>
  <c r="AA106" i="758"/>
  <c r="N106" i="758"/>
  <c r="AB106" i="758"/>
  <c r="AC90" i="758" s="1"/>
  <c r="Q9" i="759"/>
  <c r="P9" i="759"/>
  <c r="Q91" i="759"/>
  <c r="P91" i="759"/>
  <c r="Q107" i="759"/>
  <c r="P107" i="759"/>
  <c r="AF38" i="759"/>
  <c r="AG22" i="759" s="1"/>
  <c r="AE38" i="759"/>
  <c r="N38" i="759"/>
  <c r="Q56" i="758"/>
  <c r="P56" i="758"/>
  <c r="N89" i="758"/>
  <c r="AB89" i="758"/>
  <c r="AC73" i="758" s="1"/>
  <c r="AA89" i="758"/>
  <c r="Q128" i="758"/>
  <c r="P128" i="758"/>
  <c r="N140" i="758"/>
  <c r="AB140" i="758"/>
  <c r="AC124" i="758" s="1"/>
  <c r="AA140" i="758"/>
  <c r="Q133" i="758"/>
  <c r="P133" i="758"/>
  <c r="N55" i="759"/>
  <c r="AF55" i="759"/>
  <c r="AG39" i="759" s="1"/>
  <c r="AE55" i="759"/>
  <c r="Q56" i="759"/>
  <c r="P56" i="759"/>
  <c r="Q45" i="759"/>
  <c r="P45" i="759"/>
  <c r="Q74" i="759"/>
  <c r="P74" i="759"/>
  <c r="P7" i="758"/>
  <c r="Q7" i="758"/>
  <c r="Q23" i="758"/>
  <c r="P23" i="758"/>
  <c r="N55" i="758"/>
  <c r="AB55" i="758"/>
  <c r="AC39" i="758" s="1"/>
  <c r="AA55" i="758"/>
  <c r="Q129" i="758"/>
  <c r="P129" i="758"/>
  <c r="Q41" i="759"/>
  <c r="P41" i="759"/>
  <c r="P57" i="759"/>
  <c r="Q57" i="759"/>
  <c r="P61" i="759"/>
  <c r="Q61" i="759"/>
  <c r="Q74" i="758"/>
  <c r="P74" i="758"/>
  <c r="P114" i="758"/>
  <c r="Q114" i="758"/>
  <c r="P8" i="759"/>
  <c r="Q8" i="759"/>
  <c r="Q110" i="758"/>
  <c r="P110" i="758"/>
  <c r="Q89" i="759"/>
  <c r="R73" i="759" s="1"/>
  <c r="P89" i="759"/>
  <c r="N6" i="758"/>
  <c r="AB24" i="758"/>
  <c r="AA42" i="758"/>
  <c r="AA56" i="758"/>
  <c r="N59" i="758"/>
  <c r="P75" i="758"/>
  <c r="AB90" i="758"/>
  <c r="AA94" i="758"/>
  <c r="N109" i="758"/>
  <c r="N113" i="758"/>
  <c r="P127" i="758"/>
  <c r="AB128" i="758"/>
  <c r="P131" i="758"/>
  <c r="AB132" i="758"/>
  <c r="P135" i="758"/>
  <c r="N7" i="759"/>
  <c r="N60" i="759"/>
  <c r="N5" i="758"/>
  <c r="AA7" i="758"/>
  <c r="M21" i="758"/>
  <c r="P22" i="758"/>
  <c r="P41" i="758"/>
  <c r="P45" i="758"/>
  <c r="AB56" i="758"/>
  <c r="AA60" i="758"/>
  <c r="P93" i="758"/>
  <c r="AB94" i="758"/>
  <c r="AA110" i="758"/>
  <c r="AA114" i="758"/>
  <c r="N126" i="758"/>
  <c r="N130" i="758"/>
  <c r="N134" i="758"/>
  <c r="AE8" i="759"/>
  <c r="P25" i="759"/>
  <c r="N40" i="759"/>
  <c r="N44" i="759"/>
  <c r="AE57" i="759"/>
  <c r="AE61" i="759"/>
  <c r="M72" i="759"/>
  <c r="P75" i="759"/>
  <c r="P90" i="759"/>
  <c r="AE108" i="759"/>
  <c r="N140" i="759"/>
  <c r="AB7" i="758"/>
  <c r="AA23" i="758"/>
  <c r="AB60" i="758"/>
  <c r="N73" i="758"/>
  <c r="AB110" i="758"/>
  <c r="AB114" i="758"/>
  <c r="AA127" i="758"/>
  <c r="AA131" i="758"/>
  <c r="AA135" i="758"/>
  <c r="AF8" i="759"/>
  <c r="O38" i="759"/>
  <c r="AE41" i="759"/>
  <c r="AE45" i="759"/>
  <c r="AF57" i="759"/>
  <c r="AF61" i="759"/>
  <c r="AE91" i="759"/>
  <c r="N126" i="759"/>
  <c r="N9" i="758"/>
  <c r="AB23" i="758"/>
  <c r="N39" i="758"/>
  <c r="AA93" i="758"/>
  <c r="AF41" i="759"/>
  <c r="AF45" i="759"/>
  <c r="AE56" i="759"/>
  <c r="AE107" i="759"/>
  <c r="AA6" i="758"/>
  <c r="AA59" i="758"/>
  <c r="M72" i="758"/>
  <c r="N107" i="758"/>
  <c r="AA109" i="758"/>
  <c r="AA113" i="758"/>
  <c r="N5" i="759"/>
  <c r="AE7" i="759"/>
  <c r="M21" i="759"/>
  <c r="P24" i="759"/>
  <c r="P28" i="759"/>
  <c r="P39" i="759"/>
  <c r="N43" i="759"/>
  <c r="AF56" i="759"/>
  <c r="AE60" i="759"/>
  <c r="AF107" i="759"/>
  <c r="M123" i="759"/>
  <c r="N43" i="758"/>
  <c r="N91" i="758"/>
  <c r="P108" i="758"/>
  <c r="AA126" i="758"/>
  <c r="AA130" i="758"/>
  <c r="AA134" i="758"/>
  <c r="P6" i="759"/>
  <c r="N27" i="759"/>
  <c r="AE40" i="759"/>
  <c r="AE44" i="759"/>
  <c r="P59" i="759"/>
  <c r="P63" i="759"/>
  <c r="P73" i="759"/>
  <c r="E8" i="757"/>
  <c r="AA5" i="758"/>
  <c r="N8" i="758"/>
  <c r="N90" i="758"/>
  <c r="AF40" i="759"/>
  <c r="AE89" i="759"/>
  <c r="N109" i="759"/>
  <c r="AE126" i="759"/>
  <c r="AA9" i="758"/>
  <c r="M123" i="758"/>
  <c r="AF89" i="759"/>
  <c r="AG73" i="759" s="1"/>
  <c r="P57" i="758"/>
  <c r="P61" i="758"/>
  <c r="M106" i="759"/>
  <c r="AB39" i="758"/>
  <c r="AA43" i="758"/>
  <c r="AA91" i="758"/>
  <c r="AA107" i="758"/>
  <c r="AE140" i="759"/>
  <c r="Q75" i="755"/>
  <c r="P75" i="755"/>
  <c r="Q126" i="755"/>
  <c r="P126" i="755"/>
  <c r="Q130" i="755"/>
  <c r="P130" i="755"/>
  <c r="Q134" i="755"/>
  <c r="P134" i="755"/>
  <c r="P6" i="755"/>
  <c r="Q6" i="755"/>
  <c r="Q124" i="756"/>
  <c r="P124" i="756"/>
  <c r="N89" i="756"/>
  <c r="AF89" i="756"/>
  <c r="AG73" i="756" s="1"/>
  <c r="AE89" i="756"/>
  <c r="P7" i="756"/>
  <c r="Q7" i="756"/>
  <c r="P57" i="756"/>
  <c r="Q57" i="756"/>
  <c r="P109" i="755"/>
  <c r="Q109" i="755"/>
  <c r="Q91" i="756"/>
  <c r="P91" i="756"/>
  <c r="Q107" i="756"/>
  <c r="P107" i="756"/>
  <c r="Q127" i="755"/>
  <c r="P127" i="755"/>
  <c r="Q131" i="755"/>
  <c r="P131" i="755"/>
  <c r="Q135" i="755"/>
  <c r="P135" i="755"/>
  <c r="I3" i="754"/>
  <c r="F2" i="755"/>
  <c r="P59" i="755"/>
  <c r="Q59" i="755"/>
  <c r="Q74" i="755"/>
  <c r="P74" i="755"/>
  <c r="N21" i="755"/>
  <c r="AB21" i="755"/>
  <c r="AC5" i="755" s="1"/>
  <c r="AA21" i="755"/>
  <c r="Q23" i="755"/>
  <c r="P23" i="755"/>
  <c r="Q56" i="756"/>
  <c r="P56" i="756"/>
  <c r="P61" i="756"/>
  <c r="Q61" i="756"/>
  <c r="P108" i="756"/>
  <c r="Q108" i="756"/>
  <c r="N55" i="755"/>
  <c r="AA55" i="755"/>
  <c r="AB55" i="755"/>
  <c r="AC39" i="755" s="1"/>
  <c r="Q40" i="756"/>
  <c r="P40" i="756"/>
  <c r="P106" i="756"/>
  <c r="Q106" i="756"/>
  <c r="R90" i="756" s="1"/>
  <c r="N38" i="756"/>
  <c r="AF38" i="756"/>
  <c r="AG22" i="756" s="1"/>
  <c r="AE38" i="756"/>
  <c r="Q44" i="756"/>
  <c r="P44" i="756"/>
  <c r="P113" i="755"/>
  <c r="Q113" i="755"/>
  <c r="N9" i="755"/>
  <c r="AB23" i="755"/>
  <c r="N39" i="755"/>
  <c r="N58" i="755"/>
  <c r="AB75" i="755"/>
  <c r="N108" i="755"/>
  <c r="N112" i="755"/>
  <c r="AB127" i="755"/>
  <c r="AB131" i="755"/>
  <c r="AB135" i="755"/>
  <c r="N6" i="756"/>
  <c r="N60" i="756"/>
  <c r="M140" i="756"/>
  <c r="P40" i="755"/>
  <c r="P44" i="755"/>
  <c r="AA59" i="755"/>
  <c r="M72" i="755"/>
  <c r="P73" i="755"/>
  <c r="P92" i="755"/>
  <c r="K106" i="755"/>
  <c r="AA109" i="755"/>
  <c r="AA113" i="755"/>
  <c r="AE7" i="756"/>
  <c r="M21" i="756"/>
  <c r="P24" i="756"/>
  <c r="P28" i="756"/>
  <c r="P39" i="756"/>
  <c r="N43" i="756"/>
  <c r="AE57" i="756"/>
  <c r="AE61" i="756"/>
  <c r="M72" i="756"/>
  <c r="P75" i="756"/>
  <c r="P90" i="756"/>
  <c r="M38" i="755"/>
  <c r="N43" i="755"/>
  <c r="AB59" i="755"/>
  <c r="N91" i="755"/>
  <c r="AB109" i="755"/>
  <c r="AB113" i="755"/>
  <c r="H1" i="756"/>
  <c r="AF7" i="756"/>
  <c r="N23" i="756"/>
  <c r="N27" i="756"/>
  <c r="AE40" i="756"/>
  <c r="AE44" i="756"/>
  <c r="AF57" i="756"/>
  <c r="AF61" i="756"/>
  <c r="N74" i="756"/>
  <c r="AE91" i="756"/>
  <c r="AF108" i="756"/>
  <c r="N126" i="756"/>
  <c r="E8" i="754"/>
  <c r="AA5" i="755"/>
  <c r="N8" i="755"/>
  <c r="N57" i="755"/>
  <c r="N61" i="755"/>
  <c r="N90" i="755"/>
  <c r="M106" i="755"/>
  <c r="P107" i="755"/>
  <c r="N111" i="755"/>
  <c r="AB126" i="755"/>
  <c r="P129" i="755"/>
  <c r="AB130" i="755"/>
  <c r="P133" i="755"/>
  <c r="AB134" i="755"/>
  <c r="N9" i="756"/>
  <c r="AF40" i="756"/>
  <c r="AF44" i="756"/>
  <c r="AE56" i="756"/>
  <c r="AF91" i="756"/>
  <c r="AE107" i="756"/>
  <c r="AB5" i="755"/>
  <c r="AA9" i="755"/>
  <c r="AA58" i="755"/>
  <c r="AA108" i="755"/>
  <c r="AA112" i="755"/>
  <c r="M123" i="755"/>
  <c r="P124" i="755"/>
  <c r="AE6" i="756"/>
  <c r="AF56" i="756"/>
  <c r="AE60" i="756"/>
  <c r="AF107" i="756"/>
  <c r="M123" i="756"/>
  <c r="AA39" i="755"/>
  <c r="M140" i="755"/>
  <c r="P22" i="756"/>
  <c r="N26" i="756"/>
  <c r="AE43" i="756"/>
  <c r="P59" i="756"/>
  <c r="P63" i="756"/>
  <c r="P73" i="756"/>
  <c r="AE106" i="756"/>
  <c r="N7" i="755"/>
  <c r="AB39" i="755"/>
  <c r="AA43" i="755"/>
  <c r="P56" i="755"/>
  <c r="N60" i="755"/>
  <c r="N89" i="755"/>
  <c r="N110" i="755"/>
  <c r="N114" i="755"/>
  <c r="P128" i="755"/>
  <c r="P132" i="755"/>
  <c r="AE5" i="756"/>
  <c r="N8" i="756"/>
  <c r="AE23" i="756"/>
  <c r="AE27" i="756"/>
  <c r="P42" i="756"/>
  <c r="N58" i="756"/>
  <c r="N62" i="756"/>
  <c r="AE74" i="756"/>
  <c r="AF106" i="756"/>
  <c r="AG90" i="756" s="1"/>
  <c r="N109" i="756"/>
  <c r="AE126" i="756"/>
  <c r="AA8" i="755"/>
  <c r="P42" i="755"/>
  <c r="AA57" i="755"/>
  <c r="AA61" i="755"/>
  <c r="P94" i="755"/>
  <c r="AF23" i="756"/>
  <c r="AF74" i="756"/>
  <c r="AA90" i="755"/>
  <c r="M55" i="756"/>
  <c r="AA42" i="755"/>
  <c r="AA56" i="755"/>
  <c r="AA94" i="755"/>
  <c r="AE26" i="756"/>
  <c r="N38" i="774" l="1"/>
  <c r="P23" i="759"/>
  <c r="Q23" i="759"/>
  <c r="Q107" i="774"/>
  <c r="P107" i="774"/>
  <c r="Q57" i="768"/>
  <c r="P57" i="768"/>
  <c r="Q134" i="767"/>
  <c r="P134" i="767"/>
  <c r="Q56" i="767"/>
  <c r="P56" i="767"/>
  <c r="Q59" i="770"/>
  <c r="P59" i="770"/>
  <c r="Q125" i="773"/>
  <c r="P125" i="773"/>
  <c r="P108" i="759"/>
  <c r="Q108" i="759"/>
  <c r="AA72" i="770"/>
  <c r="AB72" i="770"/>
  <c r="AC56" i="770" s="1"/>
  <c r="P5" i="770"/>
  <c r="Q5" i="770"/>
  <c r="P125" i="759"/>
  <c r="Q125" i="759"/>
  <c r="Q74" i="768"/>
  <c r="P74" i="768"/>
  <c r="P125" i="762"/>
  <c r="Q125" i="762"/>
  <c r="P58" i="765"/>
  <c r="Q58" i="765"/>
  <c r="P45" i="755"/>
  <c r="Q45" i="755"/>
  <c r="P5" i="755"/>
  <c r="Q5" i="755"/>
  <c r="Q73" i="770"/>
  <c r="P73" i="770"/>
  <c r="Q111" i="758"/>
  <c r="P111" i="758"/>
  <c r="Q41" i="774"/>
  <c r="P41" i="774"/>
  <c r="Q133" i="773"/>
  <c r="P133" i="773"/>
  <c r="Q130" i="767"/>
  <c r="P130" i="767"/>
  <c r="AA89" i="755"/>
  <c r="AB89" i="755"/>
  <c r="AC73" i="755" s="1"/>
  <c r="Q7" i="768"/>
  <c r="P7" i="768"/>
  <c r="P24" i="768"/>
  <c r="Q24" i="768"/>
  <c r="Q65" i="768"/>
  <c r="P65" i="768"/>
  <c r="Q75" i="773"/>
  <c r="P75" i="773"/>
  <c r="Q93" i="767"/>
  <c r="P93" i="767"/>
  <c r="N106" i="762"/>
  <c r="AF106" i="762"/>
  <c r="AG90" i="762" s="1"/>
  <c r="Q73" i="774"/>
  <c r="P73" i="774"/>
  <c r="Q22" i="767"/>
  <c r="P22" i="767"/>
  <c r="Q23" i="774"/>
  <c r="P23" i="774"/>
  <c r="P26" i="759"/>
  <c r="Q26" i="759"/>
  <c r="Q90" i="771"/>
  <c r="P90" i="771"/>
  <c r="Q60" i="774"/>
  <c r="P60" i="774"/>
  <c r="P74" i="770"/>
  <c r="Q5" i="756"/>
  <c r="P112" i="758"/>
  <c r="Q112" i="758"/>
  <c r="AE21" i="765"/>
  <c r="AE38" i="774"/>
  <c r="P60" i="767"/>
  <c r="Q60" i="767"/>
  <c r="N21" i="765"/>
  <c r="Q21" i="765" s="1"/>
  <c r="R5" i="765" s="1"/>
  <c r="P8" i="765"/>
  <c r="P56" i="768"/>
  <c r="P134" i="773"/>
  <c r="I3" i="772"/>
  <c r="Q56" i="773"/>
  <c r="P56" i="773"/>
  <c r="AB55" i="761"/>
  <c r="AC39" i="761" s="1"/>
  <c r="AA55" i="761"/>
  <c r="P110" i="773"/>
  <c r="Q110" i="773"/>
  <c r="P42" i="758"/>
  <c r="Q42" i="758"/>
  <c r="AB106" i="767"/>
  <c r="AC90" i="767" s="1"/>
  <c r="P132" i="770"/>
  <c r="P90" i="770"/>
  <c r="Q42" i="759"/>
  <c r="P42" i="759"/>
  <c r="Q43" i="767"/>
  <c r="P43" i="767"/>
  <c r="P107" i="773"/>
  <c r="Q107" i="773"/>
  <c r="Q73" i="768"/>
  <c r="P73" i="768"/>
  <c r="P38" i="780"/>
  <c r="Q38" i="780"/>
  <c r="R22" i="780" s="1"/>
  <c r="D2" i="780"/>
  <c r="Q21" i="780"/>
  <c r="R5" i="780" s="1"/>
  <c r="P21" i="780"/>
  <c r="Q140" i="780"/>
  <c r="R124" i="780" s="1"/>
  <c r="P140" i="780"/>
  <c r="D2" i="779"/>
  <c r="P21" i="779"/>
  <c r="Q21" i="779"/>
  <c r="R5" i="779" s="1"/>
  <c r="Q55" i="780"/>
  <c r="R39" i="780" s="1"/>
  <c r="P55" i="780"/>
  <c r="P123" i="779"/>
  <c r="Q123" i="779"/>
  <c r="R107" i="779" s="1"/>
  <c r="P106" i="780"/>
  <c r="Q106" i="780"/>
  <c r="R90" i="780" s="1"/>
  <c r="Q55" i="779"/>
  <c r="R39" i="779" s="1"/>
  <c r="P55" i="779"/>
  <c r="Q123" i="776"/>
  <c r="R107" i="776" s="1"/>
  <c r="P123" i="776"/>
  <c r="Q38" i="777"/>
  <c r="R22" i="777" s="1"/>
  <c r="P38" i="777"/>
  <c r="Q123" i="777"/>
  <c r="R107" i="777" s="1"/>
  <c r="P123" i="777"/>
  <c r="Q106" i="777"/>
  <c r="R90" i="777" s="1"/>
  <c r="P106" i="777"/>
  <c r="Q140" i="777"/>
  <c r="R124" i="777" s="1"/>
  <c r="P140" i="777"/>
  <c r="P89" i="776"/>
  <c r="Q89" i="776"/>
  <c r="R73" i="776" s="1"/>
  <c r="Q89" i="777"/>
  <c r="R73" i="777" s="1"/>
  <c r="P89" i="777"/>
  <c r="Q21" i="777"/>
  <c r="R5" i="777" s="1"/>
  <c r="P21" i="777"/>
  <c r="D2" i="777"/>
  <c r="Q55" i="777"/>
  <c r="R39" i="777" s="1"/>
  <c r="P55" i="777"/>
  <c r="P72" i="777"/>
  <c r="Q72" i="777"/>
  <c r="R56" i="777" s="1"/>
  <c r="D2" i="776"/>
  <c r="Q8" i="773"/>
  <c r="P8" i="773"/>
  <c r="N21" i="774"/>
  <c r="AF21" i="774"/>
  <c r="AG5" i="774" s="1"/>
  <c r="AE21" i="774"/>
  <c r="Q9" i="773"/>
  <c r="P9" i="773"/>
  <c r="Q140" i="774"/>
  <c r="R124" i="774" s="1"/>
  <c r="P140" i="774"/>
  <c r="Q74" i="773"/>
  <c r="P74" i="773"/>
  <c r="Q8" i="774"/>
  <c r="P8" i="774"/>
  <c r="Q127" i="773"/>
  <c r="P127" i="773"/>
  <c r="Q74" i="774"/>
  <c r="P74" i="774"/>
  <c r="Q92" i="773"/>
  <c r="P92" i="773"/>
  <c r="Q56" i="774"/>
  <c r="P56" i="774"/>
  <c r="AB21" i="773"/>
  <c r="AC5" i="773" s="1"/>
  <c r="AA21" i="773"/>
  <c r="N21" i="773"/>
  <c r="Q124" i="773"/>
  <c r="P124" i="773"/>
  <c r="Q123" i="774"/>
  <c r="R107" i="774" s="1"/>
  <c r="P123" i="774"/>
  <c r="Q106" i="774"/>
  <c r="R90" i="774" s="1"/>
  <c r="P106" i="774"/>
  <c r="Q44" i="774"/>
  <c r="P44" i="774"/>
  <c r="Q5" i="773"/>
  <c r="P5" i="773"/>
  <c r="Q106" i="773"/>
  <c r="R90" i="773" s="1"/>
  <c r="P106" i="773"/>
  <c r="Q111" i="773"/>
  <c r="P111" i="773"/>
  <c r="Q73" i="773"/>
  <c r="P73" i="773"/>
  <c r="Q40" i="774"/>
  <c r="P40" i="774"/>
  <c r="Q93" i="773"/>
  <c r="P93" i="773"/>
  <c r="Q72" i="773"/>
  <c r="R56" i="773" s="1"/>
  <c r="P72" i="773"/>
  <c r="Q131" i="773"/>
  <c r="P131" i="773"/>
  <c r="AA140" i="773"/>
  <c r="N140" i="773"/>
  <c r="AB140" i="773"/>
  <c r="AC124" i="773" s="1"/>
  <c r="Q38" i="774"/>
  <c r="R22" i="774" s="1"/>
  <c r="P38" i="774"/>
  <c r="Q89" i="774"/>
  <c r="R73" i="774" s="1"/>
  <c r="P89" i="774"/>
  <c r="Q90" i="773"/>
  <c r="P90" i="773"/>
  <c r="Q112" i="773"/>
  <c r="P112" i="773"/>
  <c r="Q39" i="774"/>
  <c r="P39" i="774"/>
  <c r="Q90" i="774"/>
  <c r="P90" i="774"/>
  <c r="Q55" i="773"/>
  <c r="R39" i="773" s="1"/>
  <c r="P55" i="773"/>
  <c r="Q62" i="773"/>
  <c r="P62" i="773"/>
  <c r="Q108" i="773"/>
  <c r="P108" i="773"/>
  <c r="Q28" i="774"/>
  <c r="P28" i="774"/>
  <c r="Q5" i="774"/>
  <c r="P5" i="774"/>
  <c r="Q75" i="774"/>
  <c r="P75" i="774"/>
  <c r="Q126" i="774"/>
  <c r="P126" i="774"/>
  <c r="Q109" i="774"/>
  <c r="P109" i="774"/>
  <c r="Q58" i="773"/>
  <c r="P58" i="773"/>
  <c r="Q24" i="774"/>
  <c r="P24" i="774"/>
  <c r="Q44" i="773"/>
  <c r="P44" i="773"/>
  <c r="Q132" i="773"/>
  <c r="P132" i="773"/>
  <c r="Q41" i="773"/>
  <c r="P41" i="773"/>
  <c r="AE72" i="774"/>
  <c r="N72" i="774"/>
  <c r="AF72" i="774"/>
  <c r="AG56" i="774" s="1"/>
  <c r="Q63" i="774"/>
  <c r="P63" i="774"/>
  <c r="Q40" i="773"/>
  <c r="P40" i="773"/>
  <c r="Q128" i="773"/>
  <c r="P128" i="773"/>
  <c r="Q89" i="773"/>
  <c r="R73" i="773" s="1"/>
  <c r="P89" i="773"/>
  <c r="Q59" i="774"/>
  <c r="P59" i="774"/>
  <c r="AB123" i="773"/>
  <c r="AC107" i="773" s="1"/>
  <c r="AA123" i="773"/>
  <c r="N123" i="773"/>
  <c r="AF55" i="774"/>
  <c r="AG39" i="774" s="1"/>
  <c r="AE55" i="774"/>
  <c r="N55" i="774"/>
  <c r="Q22" i="773"/>
  <c r="P22" i="773"/>
  <c r="Q38" i="773"/>
  <c r="R22" i="773" s="1"/>
  <c r="P38" i="773"/>
  <c r="Q25" i="774"/>
  <c r="P25" i="774"/>
  <c r="Q6" i="771"/>
  <c r="P6" i="771"/>
  <c r="Q126" i="771"/>
  <c r="P126" i="771"/>
  <c r="Q108" i="770"/>
  <c r="P108" i="770"/>
  <c r="P21" i="770"/>
  <c r="Q21" i="770"/>
  <c r="R5" i="770" s="1"/>
  <c r="Q56" i="771"/>
  <c r="P56" i="771"/>
  <c r="Q24" i="770"/>
  <c r="P24" i="770"/>
  <c r="Q72" i="771"/>
  <c r="R56" i="771" s="1"/>
  <c r="P72" i="771"/>
  <c r="Q91" i="770"/>
  <c r="P91" i="770"/>
  <c r="Q72" i="770"/>
  <c r="R56" i="770" s="1"/>
  <c r="P72" i="770"/>
  <c r="Q39" i="770"/>
  <c r="P39" i="770"/>
  <c r="Q124" i="770"/>
  <c r="P124" i="770"/>
  <c r="Q44" i="771"/>
  <c r="P44" i="771"/>
  <c r="Q43" i="770"/>
  <c r="P43" i="770"/>
  <c r="Q9" i="770"/>
  <c r="P9" i="770"/>
  <c r="N140" i="770"/>
  <c r="AB140" i="770"/>
  <c r="AC124" i="770" s="1"/>
  <c r="AA140" i="770"/>
  <c r="Q40" i="771"/>
  <c r="P40" i="771"/>
  <c r="Q73" i="771"/>
  <c r="P73" i="771"/>
  <c r="AB38" i="770"/>
  <c r="AC22" i="770" s="1"/>
  <c r="AA38" i="770"/>
  <c r="N38" i="770"/>
  <c r="D2" i="770" s="1"/>
  <c r="Q125" i="771"/>
  <c r="P125" i="771"/>
  <c r="Q94" i="770"/>
  <c r="P94" i="770"/>
  <c r="Q65" i="771"/>
  <c r="P65" i="771"/>
  <c r="Q55" i="770"/>
  <c r="R39" i="770" s="1"/>
  <c r="P55" i="770"/>
  <c r="Q61" i="771"/>
  <c r="P61" i="771"/>
  <c r="AB106" i="770"/>
  <c r="AC90" i="770" s="1"/>
  <c r="AA106" i="770"/>
  <c r="N106" i="770"/>
  <c r="N55" i="771"/>
  <c r="AF55" i="771"/>
  <c r="AG39" i="771" s="1"/>
  <c r="AE55" i="771"/>
  <c r="AF140" i="771"/>
  <c r="AG124" i="771" s="1"/>
  <c r="AE140" i="771"/>
  <c r="N140" i="771"/>
  <c r="Q5" i="771"/>
  <c r="P5" i="771"/>
  <c r="Q57" i="771"/>
  <c r="P57" i="771"/>
  <c r="Q62" i="770"/>
  <c r="P62" i="770"/>
  <c r="Q25" i="771"/>
  <c r="P25" i="771"/>
  <c r="Q89" i="770"/>
  <c r="R73" i="770" s="1"/>
  <c r="P89" i="770"/>
  <c r="Q39" i="771"/>
  <c r="P39" i="771"/>
  <c r="Q42" i="770"/>
  <c r="P42" i="770"/>
  <c r="Q133" i="770"/>
  <c r="P133" i="770"/>
  <c r="Q58" i="770"/>
  <c r="P58" i="770"/>
  <c r="Q89" i="771"/>
  <c r="R73" i="771" s="1"/>
  <c r="P89" i="771"/>
  <c r="Q74" i="771"/>
  <c r="P74" i="771"/>
  <c r="Q28" i="771"/>
  <c r="P28" i="771"/>
  <c r="Q129" i="770"/>
  <c r="P129" i="770"/>
  <c r="Q8" i="770"/>
  <c r="P8" i="770"/>
  <c r="Q24" i="771"/>
  <c r="P24" i="771"/>
  <c r="N123" i="771"/>
  <c r="AF123" i="771"/>
  <c r="AG107" i="771" s="1"/>
  <c r="AE123" i="771"/>
  <c r="Q125" i="770"/>
  <c r="P125" i="770"/>
  <c r="N38" i="771"/>
  <c r="AF38" i="771"/>
  <c r="AG22" i="771" s="1"/>
  <c r="AE38" i="771"/>
  <c r="Q112" i="770"/>
  <c r="P112" i="770"/>
  <c r="Q59" i="767"/>
  <c r="P59" i="767"/>
  <c r="N55" i="768"/>
  <c r="AF55" i="768"/>
  <c r="AG39" i="768" s="1"/>
  <c r="AE55" i="768"/>
  <c r="Q38" i="767"/>
  <c r="R22" i="767" s="1"/>
  <c r="P38" i="767"/>
  <c r="Q109" i="768"/>
  <c r="P109" i="768"/>
  <c r="Q125" i="768"/>
  <c r="P125" i="768"/>
  <c r="Q113" i="767"/>
  <c r="P113" i="767"/>
  <c r="Q109" i="767"/>
  <c r="P109" i="767"/>
  <c r="N123" i="768"/>
  <c r="AF123" i="768"/>
  <c r="AG107" i="768" s="1"/>
  <c r="AE123" i="768"/>
  <c r="Q41" i="768"/>
  <c r="P41" i="768"/>
  <c r="Q94" i="767"/>
  <c r="P94" i="767"/>
  <c r="Q72" i="768"/>
  <c r="R56" i="768" s="1"/>
  <c r="P72" i="768"/>
  <c r="Q5" i="768"/>
  <c r="P5" i="768"/>
  <c r="Q64" i="768"/>
  <c r="P64" i="768"/>
  <c r="Q26" i="768"/>
  <c r="P26" i="768"/>
  <c r="Q107" i="767"/>
  <c r="P107" i="767"/>
  <c r="Q60" i="768"/>
  <c r="P60" i="768"/>
  <c r="N21" i="767"/>
  <c r="AB21" i="767"/>
  <c r="AC5" i="767" s="1"/>
  <c r="AA21" i="767"/>
  <c r="AB55" i="767"/>
  <c r="AC39" i="767" s="1"/>
  <c r="AA55" i="767"/>
  <c r="N55" i="767"/>
  <c r="P21" i="768"/>
  <c r="Q21" i="768"/>
  <c r="R5" i="768" s="1"/>
  <c r="P72" i="767"/>
  <c r="Q72" i="767"/>
  <c r="R56" i="767" s="1"/>
  <c r="Q126" i="768"/>
  <c r="P126" i="768"/>
  <c r="AB140" i="767"/>
  <c r="AC124" i="767" s="1"/>
  <c r="AA140" i="767"/>
  <c r="N140" i="767"/>
  <c r="Q89" i="767"/>
  <c r="R73" i="767" s="1"/>
  <c r="P89" i="767"/>
  <c r="Q123" i="767"/>
  <c r="R107" i="767" s="1"/>
  <c r="P123" i="767"/>
  <c r="Q6" i="768"/>
  <c r="P6" i="768"/>
  <c r="N38" i="768"/>
  <c r="AF38" i="768"/>
  <c r="AG22" i="768" s="1"/>
  <c r="AE38" i="768"/>
  <c r="Q112" i="767"/>
  <c r="P112" i="767"/>
  <c r="Q108" i="767"/>
  <c r="P108" i="767"/>
  <c r="Q24" i="767"/>
  <c r="P24" i="767"/>
  <c r="Q42" i="767"/>
  <c r="P42" i="767"/>
  <c r="AF140" i="768"/>
  <c r="AG124" i="768" s="1"/>
  <c r="AE140" i="768"/>
  <c r="N140" i="768"/>
  <c r="Q75" i="768"/>
  <c r="P75" i="768"/>
  <c r="Q56" i="764"/>
  <c r="P56" i="764"/>
  <c r="Q55" i="764"/>
  <c r="R39" i="764" s="1"/>
  <c r="P55" i="764"/>
  <c r="AB89" i="764"/>
  <c r="AC73" i="764" s="1"/>
  <c r="AA89" i="764"/>
  <c r="N89" i="764"/>
  <c r="Q62" i="765"/>
  <c r="P62" i="765"/>
  <c r="Q7" i="765"/>
  <c r="P7" i="765"/>
  <c r="Q25" i="765"/>
  <c r="P25" i="765"/>
  <c r="Q23" i="764"/>
  <c r="P23" i="764"/>
  <c r="Q22" i="765"/>
  <c r="P22" i="765"/>
  <c r="P113" i="764"/>
  <c r="Q113" i="764"/>
  <c r="Q135" i="764"/>
  <c r="P135" i="764"/>
  <c r="P132" i="764"/>
  <c r="Q132" i="764"/>
  <c r="Q9" i="765"/>
  <c r="P9" i="765"/>
  <c r="Q5" i="765"/>
  <c r="P5" i="765"/>
  <c r="P109" i="764"/>
  <c r="Q109" i="764"/>
  <c r="N123" i="765"/>
  <c r="AF123" i="765"/>
  <c r="AG107" i="765" s="1"/>
  <c r="AE123" i="765"/>
  <c r="Q131" i="764"/>
  <c r="P131" i="764"/>
  <c r="Q140" i="765"/>
  <c r="R124" i="765" s="1"/>
  <c r="P140" i="765"/>
  <c r="P128" i="764"/>
  <c r="Q128" i="764"/>
  <c r="AB106" i="764"/>
  <c r="AC90" i="764" s="1"/>
  <c r="AA106" i="764"/>
  <c r="N106" i="764"/>
  <c r="Q38" i="765"/>
  <c r="R22" i="765" s="1"/>
  <c r="P38" i="765"/>
  <c r="P21" i="764"/>
  <c r="Q21" i="764"/>
  <c r="R5" i="764" s="1"/>
  <c r="Q5" i="764"/>
  <c r="P5" i="764"/>
  <c r="Q127" i="764"/>
  <c r="P127" i="764"/>
  <c r="AB123" i="764"/>
  <c r="AC107" i="764" s="1"/>
  <c r="AA123" i="764"/>
  <c r="N123" i="764"/>
  <c r="D2" i="764" s="1"/>
  <c r="Q90" i="764"/>
  <c r="P90" i="764"/>
  <c r="Q43" i="764"/>
  <c r="P43" i="764"/>
  <c r="Q55" i="765"/>
  <c r="R39" i="765" s="1"/>
  <c r="P55" i="765"/>
  <c r="Q62" i="764"/>
  <c r="P62" i="764"/>
  <c r="P21" i="765"/>
  <c r="N106" i="765"/>
  <c r="AF106" i="765"/>
  <c r="AG90" i="765" s="1"/>
  <c r="AE106" i="765"/>
  <c r="Q109" i="765"/>
  <c r="P109" i="765"/>
  <c r="Q58" i="764"/>
  <c r="P58" i="764"/>
  <c r="Q140" i="764"/>
  <c r="R124" i="764" s="1"/>
  <c r="P140" i="764"/>
  <c r="Q125" i="765"/>
  <c r="P125" i="765"/>
  <c r="AE72" i="765"/>
  <c r="N72" i="765"/>
  <c r="AF72" i="765"/>
  <c r="AG56" i="765" s="1"/>
  <c r="Q56" i="765"/>
  <c r="P56" i="765"/>
  <c r="Q75" i="764"/>
  <c r="P75" i="764"/>
  <c r="P24" i="764"/>
  <c r="Q24" i="764"/>
  <c r="Q38" i="764"/>
  <c r="R22" i="764" s="1"/>
  <c r="P38" i="764"/>
  <c r="Q64" i="765"/>
  <c r="P64" i="765"/>
  <c r="Q45" i="765"/>
  <c r="P45" i="765"/>
  <c r="Q8" i="764"/>
  <c r="P8" i="764"/>
  <c r="Q60" i="765"/>
  <c r="P60" i="765"/>
  <c r="Q41" i="765"/>
  <c r="P41" i="765"/>
  <c r="Q42" i="765"/>
  <c r="P42" i="765"/>
  <c r="Q72" i="764"/>
  <c r="R56" i="764" s="1"/>
  <c r="P72" i="764"/>
  <c r="Q109" i="761"/>
  <c r="P109" i="761"/>
  <c r="Q55" i="761"/>
  <c r="R39" i="761" s="1"/>
  <c r="P55" i="761"/>
  <c r="Q40" i="762"/>
  <c r="P40" i="762"/>
  <c r="Q127" i="761"/>
  <c r="P127" i="761"/>
  <c r="AB89" i="761"/>
  <c r="AC73" i="761" s="1"/>
  <c r="AA89" i="761"/>
  <c r="N89" i="761"/>
  <c r="P21" i="762"/>
  <c r="Q21" i="762"/>
  <c r="R5" i="762" s="1"/>
  <c r="P28" i="762"/>
  <c r="Q28" i="762"/>
  <c r="P24" i="762"/>
  <c r="Q24" i="762"/>
  <c r="Q134" i="761"/>
  <c r="P134" i="761"/>
  <c r="AB21" i="761"/>
  <c r="AC5" i="761" s="1"/>
  <c r="AA21" i="761"/>
  <c r="N21" i="761"/>
  <c r="N123" i="762"/>
  <c r="AF123" i="762"/>
  <c r="AG107" i="762" s="1"/>
  <c r="AE123" i="762"/>
  <c r="Q56" i="761"/>
  <c r="P56" i="761"/>
  <c r="Q130" i="761"/>
  <c r="P130" i="761"/>
  <c r="Q7" i="762"/>
  <c r="P7" i="762"/>
  <c r="Q140" i="762"/>
  <c r="R124" i="762" s="1"/>
  <c r="P140" i="762"/>
  <c r="Q135" i="761"/>
  <c r="P135" i="761"/>
  <c r="Q23" i="761"/>
  <c r="P23" i="761"/>
  <c r="Q123" i="761"/>
  <c r="R107" i="761" s="1"/>
  <c r="P123" i="761"/>
  <c r="AB140" i="761"/>
  <c r="AC124" i="761" s="1"/>
  <c r="AA140" i="761"/>
  <c r="N140" i="761"/>
  <c r="Q90" i="761"/>
  <c r="P90" i="761"/>
  <c r="Q126" i="761"/>
  <c r="P126" i="761"/>
  <c r="Q5" i="761"/>
  <c r="P5" i="761"/>
  <c r="Q113" i="761"/>
  <c r="P113" i="761"/>
  <c r="Q131" i="761"/>
  <c r="P131" i="761"/>
  <c r="Q106" i="761"/>
  <c r="R90" i="761" s="1"/>
  <c r="P106" i="761"/>
  <c r="Q89" i="762"/>
  <c r="R73" i="762" s="1"/>
  <c r="P89" i="762"/>
  <c r="N55" i="762"/>
  <c r="AF55" i="762"/>
  <c r="AG39" i="762" s="1"/>
  <c r="AE55" i="762"/>
  <c r="AF38" i="762"/>
  <c r="AG22" i="762" s="1"/>
  <c r="AE38" i="762"/>
  <c r="N38" i="762"/>
  <c r="P72" i="761"/>
  <c r="Q72" i="761"/>
  <c r="R56" i="761" s="1"/>
  <c r="Q74" i="761"/>
  <c r="P74" i="761"/>
  <c r="Q5" i="762"/>
  <c r="P5" i="762"/>
  <c r="Q63" i="762"/>
  <c r="P63" i="762"/>
  <c r="Q75" i="761"/>
  <c r="P75" i="761"/>
  <c r="AE72" i="762"/>
  <c r="N72" i="762"/>
  <c r="AF72" i="762"/>
  <c r="AG56" i="762" s="1"/>
  <c r="Q73" i="762"/>
  <c r="P73" i="762"/>
  <c r="Q107" i="761"/>
  <c r="P107" i="761"/>
  <c r="Q59" i="762"/>
  <c r="P59" i="762"/>
  <c r="Q44" i="762"/>
  <c r="P44" i="762"/>
  <c r="N106" i="759"/>
  <c r="AF106" i="759"/>
  <c r="AG90" i="759" s="1"/>
  <c r="AE106" i="759"/>
  <c r="Q7" i="759"/>
  <c r="P7" i="759"/>
  <c r="Q55" i="758"/>
  <c r="R39" i="758" s="1"/>
  <c r="P55" i="758"/>
  <c r="Q106" i="758"/>
  <c r="R90" i="758" s="1"/>
  <c r="P106" i="758"/>
  <c r="Q91" i="758"/>
  <c r="P91" i="758"/>
  <c r="Q5" i="759"/>
  <c r="P5" i="759"/>
  <c r="Q39" i="758"/>
  <c r="P39" i="758"/>
  <c r="AE72" i="759"/>
  <c r="AF72" i="759"/>
  <c r="AG56" i="759" s="1"/>
  <c r="N72" i="759"/>
  <c r="P55" i="759"/>
  <c r="Q55" i="759"/>
  <c r="R39" i="759" s="1"/>
  <c r="Q8" i="758"/>
  <c r="P8" i="758"/>
  <c r="Q43" i="758"/>
  <c r="P43" i="758"/>
  <c r="Q38" i="759"/>
  <c r="R22" i="759" s="1"/>
  <c r="P38" i="759"/>
  <c r="N21" i="759"/>
  <c r="AF21" i="759"/>
  <c r="AG5" i="759" s="1"/>
  <c r="AE21" i="759"/>
  <c r="Q60" i="759"/>
  <c r="P60" i="759"/>
  <c r="N123" i="759"/>
  <c r="AF123" i="759"/>
  <c r="AG107" i="759" s="1"/>
  <c r="AE123" i="759"/>
  <c r="Q9" i="758"/>
  <c r="P9" i="758"/>
  <c r="Q6" i="758"/>
  <c r="P6" i="758"/>
  <c r="N123" i="758"/>
  <c r="AB123" i="758"/>
  <c r="AC107" i="758" s="1"/>
  <c r="AA123" i="758"/>
  <c r="Q107" i="758"/>
  <c r="P107" i="758"/>
  <c r="Q126" i="759"/>
  <c r="P126" i="759"/>
  <c r="Q44" i="759"/>
  <c r="P44" i="759"/>
  <c r="AB72" i="758"/>
  <c r="AC56" i="758" s="1"/>
  <c r="AA72" i="758"/>
  <c r="N72" i="758"/>
  <c r="Q73" i="758"/>
  <c r="P73" i="758"/>
  <c r="Q40" i="759"/>
  <c r="P40" i="759"/>
  <c r="Q113" i="758"/>
  <c r="P113" i="758"/>
  <c r="P140" i="758"/>
  <c r="Q140" i="758"/>
  <c r="R124" i="758" s="1"/>
  <c r="Q109" i="759"/>
  <c r="P109" i="759"/>
  <c r="Q27" i="759"/>
  <c r="P27" i="759"/>
  <c r="Q43" i="759"/>
  <c r="P43" i="759"/>
  <c r="Q109" i="758"/>
  <c r="P109" i="758"/>
  <c r="Q38" i="758"/>
  <c r="R22" i="758" s="1"/>
  <c r="P38" i="758"/>
  <c r="P89" i="758"/>
  <c r="Q89" i="758"/>
  <c r="R73" i="758" s="1"/>
  <c r="Q134" i="758"/>
  <c r="P134" i="758"/>
  <c r="AB21" i="758"/>
  <c r="AC5" i="758" s="1"/>
  <c r="AA21" i="758"/>
  <c r="N21" i="758"/>
  <c r="Q59" i="758"/>
  <c r="P59" i="758"/>
  <c r="Q140" i="759"/>
  <c r="R124" i="759" s="1"/>
  <c r="P140" i="759"/>
  <c r="Q130" i="758"/>
  <c r="P130" i="758"/>
  <c r="Q90" i="758"/>
  <c r="P90" i="758"/>
  <c r="Q126" i="758"/>
  <c r="P126" i="758"/>
  <c r="Q5" i="758"/>
  <c r="P5" i="758"/>
  <c r="Q7" i="755"/>
  <c r="P7" i="755"/>
  <c r="Q90" i="755"/>
  <c r="P90" i="755"/>
  <c r="Q8" i="756"/>
  <c r="P8" i="756"/>
  <c r="Q61" i="755"/>
  <c r="P61" i="755"/>
  <c r="AB38" i="755"/>
  <c r="AC22" i="755" s="1"/>
  <c r="AA38" i="755"/>
  <c r="N38" i="755"/>
  <c r="Q57" i="755"/>
  <c r="P57" i="755"/>
  <c r="Q27" i="756"/>
  <c r="P27" i="756"/>
  <c r="AE72" i="756"/>
  <c r="AF72" i="756"/>
  <c r="AG56" i="756" s="1"/>
  <c r="N72" i="756"/>
  <c r="Q112" i="755"/>
  <c r="P112" i="755"/>
  <c r="Q9" i="756"/>
  <c r="P9" i="756"/>
  <c r="Q8" i="755"/>
  <c r="P8" i="755"/>
  <c r="Q23" i="756"/>
  <c r="P23" i="756"/>
  <c r="Q108" i="755"/>
  <c r="P108" i="755"/>
  <c r="Q38" i="756"/>
  <c r="R22" i="756" s="1"/>
  <c r="P38" i="756"/>
  <c r="AB123" i="755"/>
  <c r="AC107" i="755" s="1"/>
  <c r="AA123" i="755"/>
  <c r="N123" i="755"/>
  <c r="AB72" i="755"/>
  <c r="AC56" i="755" s="1"/>
  <c r="AA72" i="755"/>
  <c r="N72" i="755"/>
  <c r="D2" i="755" s="1"/>
  <c r="Q114" i="755"/>
  <c r="P114" i="755"/>
  <c r="Q43" i="756"/>
  <c r="P43" i="756"/>
  <c r="Q58" i="755"/>
  <c r="P58" i="755"/>
  <c r="Q109" i="756"/>
  <c r="P109" i="756"/>
  <c r="Q110" i="755"/>
  <c r="P110" i="755"/>
  <c r="Q26" i="756"/>
  <c r="P26" i="756"/>
  <c r="Q126" i="756"/>
  <c r="P126" i="756"/>
  <c r="Q39" i="755"/>
  <c r="P39" i="755"/>
  <c r="N55" i="756"/>
  <c r="AF55" i="756"/>
  <c r="AG39" i="756" s="1"/>
  <c r="AE55" i="756"/>
  <c r="Q89" i="755"/>
  <c r="R73" i="755" s="1"/>
  <c r="P89" i="755"/>
  <c r="Q62" i="756"/>
  <c r="P62" i="756"/>
  <c r="Q60" i="755"/>
  <c r="P60" i="755"/>
  <c r="AA140" i="755"/>
  <c r="N140" i="755"/>
  <c r="AB140" i="755"/>
  <c r="AC124" i="755" s="1"/>
  <c r="Q91" i="755"/>
  <c r="P91" i="755"/>
  <c r="AF140" i="756"/>
  <c r="AG124" i="756" s="1"/>
  <c r="AE140" i="756"/>
  <c r="N140" i="756"/>
  <c r="Q9" i="755"/>
  <c r="P9" i="755"/>
  <c r="Q58" i="756"/>
  <c r="P58" i="756"/>
  <c r="Q111" i="755"/>
  <c r="P111" i="755"/>
  <c r="Q74" i="756"/>
  <c r="P74" i="756"/>
  <c r="AE21" i="756"/>
  <c r="AF21" i="756"/>
  <c r="AG5" i="756" s="1"/>
  <c r="N21" i="756"/>
  <c r="Q60" i="756"/>
  <c r="P60" i="756"/>
  <c r="Q21" i="755"/>
  <c r="R5" i="755" s="1"/>
  <c r="P21" i="755"/>
  <c r="AB106" i="755"/>
  <c r="AC90" i="755" s="1"/>
  <c r="AA106" i="755"/>
  <c r="N106" i="755"/>
  <c r="N123" i="756"/>
  <c r="AF123" i="756"/>
  <c r="AG107" i="756" s="1"/>
  <c r="AE123" i="756"/>
  <c r="Q43" i="755"/>
  <c r="P43" i="755"/>
  <c r="Q6" i="756"/>
  <c r="P6" i="756"/>
  <c r="Q55" i="755"/>
  <c r="R39" i="755" s="1"/>
  <c r="P55" i="755"/>
  <c r="Q89" i="756"/>
  <c r="R73" i="756" s="1"/>
  <c r="P89" i="756"/>
  <c r="Q106" i="762" l="1"/>
  <c r="R90" i="762" s="1"/>
  <c r="P106" i="762"/>
  <c r="Q55" i="774"/>
  <c r="R39" i="774" s="1"/>
  <c r="P55" i="774"/>
  <c r="D2" i="773"/>
  <c r="Q21" i="773"/>
  <c r="R5" i="773" s="1"/>
  <c r="P21" i="773"/>
  <c r="Q123" i="773"/>
  <c r="R107" i="773" s="1"/>
  <c r="P123" i="773"/>
  <c r="Q72" i="774"/>
  <c r="R56" i="774" s="1"/>
  <c r="P72" i="774"/>
  <c r="Q21" i="774"/>
  <c r="R5" i="774" s="1"/>
  <c r="P21" i="774"/>
  <c r="D2" i="774"/>
  <c r="Q140" i="773"/>
  <c r="R124" i="773" s="1"/>
  <c r="P140" i="773"/>
  <c r="Q38" i="771"/>
  <c r="R22" i="771" s="1"/>
  <c r="P38" i="771"/>
  <c r="D2" i="771"/>
  <c r="Q140" i="771"/>
  <c r="R124" i="771" s="1"/>
  <c r="P140" i="771"/>
  <c r="Q140" i="770"/>
  <c r="R124" i="770" s="1"/>
  <c r="P140" i="770"/>
  <c r="Q123" i="771"/>
  <c r="R107" i="771" s="1"/>
  <c r="P123" i="771"/>
  <c r="Q55" i="771"/>
  <c r="R39" i="771" s="1"/>
  <c r="P55" i="771"/>
  <c r="Q106" i="770"/>
  <c r="R90" i="770" s="1"/>
  <c r="P106" i="770"/>
  <c r="Q38" i="770"/>
  <c r="R22" i="770" s="1"/>
  <c r="P38" i="770"/>
  <c r="Q21" i="767"/>
  <c r="R5" i="767" s="1"/>
  <c r="P21" i="767"/>
  <c r="Q140" i="768"/>
  <c r="R124" i="768" s="1"/>
  <c r="P140" i="768"/>
  <c r="Q38" i="768"/>
  <c r="R22" i="768" s="1"/>
  <c r="P38" i="768"/>
  <c r="D2" i="768"/>
  <c r="Q55" i="767"/>
  <c r="R39" i="767" s="1"/>
  <c r="P55" i="767"/>
  <c r="Q123" i="768"/>
  <c r="R107" i="768" s="1"/>
  <c r="P123" i="768"/>
  <c r="Q55" i="768"/>
  <c r="R39" i="768" s="1"/>
  <c r="P55" i="768"/>
  <c r="Q140" i="767"/>
  <c r="R124" i="767" s="1"/>
  <c r="P140" i="767"/>
  <c r="Q89" i="764"/>
  <c r="R73" i="764" s="1"/>
  <c r="P89" i="764"/>
  <c r="Q123" i="765"/>
  <c r="R107" i="765" s="1"/>
  <c r="P123" i="765"/>
  <c r="Q72" i="765"/>
  <c r="R56" i="765" s="1"/>
  <c r="P72" i="765"/>
  <c r="Q106" i="765"/>
  <c r="R90" i="765" s="1"/>
  <c r="P106" i="765"/>
  <c r="Q123" i="764"/>
  <c r="R107" i="764" s="1"/>
  <c r="P123" i="764"/>
  <c r="P106" i="764"/>
  <c r="Q106" i="764"/>
  <c r="R90" i="764" s="1"/>
  <c r="D2" i="765"/>
  <c r="P123" i="762"/>
  <c r="Q123" i="762"/>
  <c r="R107" i="762" s="1"/>
  <c r="Q140" i="761"/>
  <c r="R124" i="761" s="1"/>
  <c r="P140" i="761"/>
  <c r="Q89" i="761"/>
  <c r="R73" i="761" s="1"/>
  <c r="P89" i="761"/>
  <c r="Q55" i="762"/>
  <c r="R39" i="762" s="1"/>
  <c r="P55" i="762"/>
  <c r="Q72" i="762"/>
  <c r="R56" i="762" s="1"/>
  <c r="P72" i="762"/>
  <c r="Q38" i="762"/>
  <c r="R22" i="762" s="1"/>
  <c r="P38" i="762"/>
  <c r="D2" i="761"/>
  <c r="P21" i="761"/>
  <c r="Q21" i="761"/>
  <c r="R5" i="761" s="1"/>
  <c r="D2" i="762"/>
  <c r="Q123" i="759"/>
  <c r="R107" i="759" s="1"/>
  <c r="P123" i="759"/>
  <c r="Q72" i="759"/>
  <c r="R56" i="759" s="1"/>
  <c r="P72" i="759"/>
  <c r="D2" i="758"/>
  <c r="Q21" i="758"/>
  <c r="R5" i="758" s="1"/>
  <c r="P21" i="758"/>
  <c r="P123" i="758"/>
  <c r="Q123" i="758"/>
  <c r="R107" i="758" s="1"/>
  <c r="Q21" i="759"/>
  <c r="R5" i="759" s="1"/>
  <c r="P21" i="759"/>
  <c r="D2" i="759"/>
  <c r="Q72" i="758"/>
  <c r="R56" i="758" s="1"/>
  <c r="P72" i="758"/>
  <c r="P106" i="759"/>
  <c r="Q106" i="759"/>
  <c r="R90" i="759" s="1"/>
  <c r="Q38" i="755"/>
  <c r="R22" i="755" s="1"/>
  <c r="P38" i="755"/>
  <c r="Q140" i="756"/>
  <c r="R124" i="756" s="1"/>
  <c r="P140" i="756"/>
  <c r="Q123" i="755"/>
  <c r="R107" i="755" s="1"/>
  <c r="P123" i="755"/>
  <c r="Q21" i="756"/>
  <c r="R5" i="756" s="1"/>
  <c r="P21" i="756"/>
  <c r="D2" i="756"/>
  <c r="Q72" i="756"/>
  <c r="R56" i="756" s="1"/>
  <c r="P72" i="756"/>
  <c r="Q123" i="756"/>
  <c r="R107" i="756" s="1"/>
  <c r="P123" i="756"/>
  <c r="P55" i="756"/>
  <c r="Q55" i="756"/>
  <c r="R39" i="756" s="1"/>
  <c r="Q72" i="755"/>
  <c r="R56" i="755" s="1"/>
  <c r="P72" i="755"/>
  <c r="Q106" i="755"/>
  <c r="R90" i="755" s="1"/>
  <c r="P106" i="755"/>
  <c r="Q140" i="755"/>
  <c r="R124" i="755" s="1"/>
  <c r="P140" i="755"/>
</calcChain>
</file>

<file path=xl/sharedStrings.xml><?xml version="1.0" encoding="utf-8"?>
<sst xmlns="http://schemas.openxmlformats.org/spreadsheetml/2006/main" count="5616" uniqueCount="244">
  <si>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</si>
  <si>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</si>
  <si>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115.08.10星期一</t>
    <phoneticPr fontId="9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</si>
  <si>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</si>
  <si>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</si>
  <si>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</si>
  <si>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</si>
  <si>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</si>
  <si>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</si>
  <si>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</si>
  <si>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</si>
  <si>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</si>
  <si>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</si>
  <si>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</si>
  <si>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</si>
  <si>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</si>
  <si>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</si>
  <si>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</si>
  <si>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</si>
  <si>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</si>
  <si>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</si>
  <si>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</si>
  <si>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</si>
  <si>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</si>
  <si>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</si>
  <si>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</si>
  <si>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</si>
  <si>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</si>
  <si>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</si>
  <si>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</si>
  <si>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</si>
  <si>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</si>
  <si>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</si>
  <si>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</si>
  <si>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</si>
  <si>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</si>
  <si>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</si>
  <si>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</si>
  <si>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</si>
  <si>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</si>
  <si>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</si>
  <si>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</si>
  <si>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</si>
  <si>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</si>
  <si>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</si>
  <si>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</si>
  <si>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</si>
  <si>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</si>
  <si>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</si>
  <si>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</si>
  <si>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</si>
  <si>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</si>
  <si>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</si>
  <si>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</si>
  <si>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</si>
  <si>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</si>
  <si>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</si>
  <si>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</si>
  <si>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</si>
  <si>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</si>
  <si>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</si>
  <si>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</si>
  <si>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</si>
  <si>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</si>
  <si>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</si>
  <si>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</si>
  <si>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</si>
  <si>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</si>
  <si>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</si>
  <si>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</si>
  <si>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</si>
  <si>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</si>
  <si>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</si>
  <si>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</si>
  <si>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</si>
  <si>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</si>
  <si>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</si>
  <si>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</si>
  <si>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</si>
  <si>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</si>
  <si>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</si>
  <si>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</si>
  <si>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</si>
  <si>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</si>
  <si>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</si>
  <si>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</si>
  <si>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</si>
  <si>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</si>
  <si>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</si>
  <si>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</si>
  <si>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</si>
  <si>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</si>
  <si>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</si>
  <si>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</si>
  <si>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</si>
  <si>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</si>
  <si>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</si>
  <si>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</si>
  <si>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</si>
  <si>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</si>
  <si>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</si>
  <si>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</si>
  <si>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</si>
  <si>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</si>
  <si>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</si>
  <si>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</si>
  <si>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</si>
  <si>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</si>
  <si>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</si>
  <si>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</si>
  <si>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</si>
  <si>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</si>
  <si>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</si>
  <si>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</si>
  <si>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</si>
  <si>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自動包裝機</t>
    <phoneticPr fontId="9" type="noConversion"/>
  </si>
  <si>
    <t>18℃-壽司手卷</t>
  </si>
  <si>
    <t>一配長野稻荷壽司</t>
  </si>
  <si>
    <t>一配經典人氣雙手卷</t>
  </si>
  <si>
    <t>一配鮭鮪海饌雙手卷</t>
  </si>
  <si>
    <t>一配青木瓜雞絲泰泰雙手卷</t>
  </si>
  <si>
    <t>18℃-飯糰</t>
  </si>
  <si>
    <t>一配兩粒飯糰(鮪魚.焦糖鮭魚)</t>
  </si>
  <si>
    <t>平均</t>
    <phoneticPr fontId="9" type="noConversion"/>
  </si>
  <si>
    <t>(新)
3300型飯糰機</t>
    <phoneticPr fontId="9" type="noConversion"/>
  </si>
  <si>
    <t>一配鮭魚奶油醬油飯糰</t>
  </si>
  <si>
    <t>一配壹號醬炙烤牛飯糰</t>
  </si>
  <si>
    <t>一配鹽蔥燒肉飯糰</t>
  </si>
  <si>
    <t>一配熟成紅鮭飯糰</t>
  </si>
  <si>
    <t>一配蔬食鮪魚飯糰</t>
  </si>
  <si>
    <t>一配北海道秋鮭親子飯糰</t>
  </si>
  <si>
    <t>一配黑胡椒洋蔥豬飯糰</t>
  </si>
  <si>
    <t>一配經典肉鬆飯糰</t>
  </si>
  <si>
    <t>一配鮪魚飯糰</t>
  </si>
  <si>
    <t>一配椒鹽檸檬鯖魚飯糰</t>
  </si>
  <si>
    <t>一配贅沢鮭魚肚飯糰</t>
  </si>
  <si>
    <t>一配筋子銀鮭飯糰</t>
  </si>
  <si>
    <t>一配鹽蔥生鮭飯糰</t>
  </si>
  <si>
    <t>一配明太子龍蝦風味沙拉飯糰</t>
  </si>
  <si>
    <t>一配雞肉飯飯糰</t>
  </si>
  <si>
    <t>自動包裝機
(二配)</t>
    <phoneticPr fontId="9" type="noConversion"/>
  </si>
  <si>
    <t>二配兩粒飯糰(鮪魚.焦糖鮭魚)</t>
  </si>
  <si>
    <t>二配柚香雞胸五穀飯糰</t>
  </si>
  <si>
    <t>二配鮭魚毛豆炊飯飯糰</t>
  </si>
  <si>
    <t>(新)
3300型飯糰機 (二配)</t>
    <phoneticPr fontId="9" type="noConversion"/>
  </si>
  <si>
    <t>二配大飯糰乾燒風味鮮蝦</t>
  </si>
  <si>
    <t>二配大飯糰韓式蒜烤豬五花</t>
  </si>
  <si>
    <t>二配大飯糰泡菜鮪魚</t>
  </si>
  <si>
    <t>二配壹號醬炙烤牛飯糰</t>
  </si>
  <si>
    <t>二配鹽蔥燒肉飯糰</t>
  </si>
  <si>
    <t>GKK3600型
飯糰機
(二配)</t>
    <phoneticPr fontId="9" type="noConversion"/>
  </si>
  <si>
    <t>二配芝麻香鬆飯糰</t>
  </si>
  <si>
    <t>二配蔬食鮪魚飯糰</t>
  </si>
  <si>
    <t>二配經典肉鬆飯糰</t>
  </si>
  <si>
    <t>二配鮪魚飯糰</t>
  </si>
  <si>
    <t>GKK3600型
飯糰機2
(二配)</t>
    <phoneticPr fontId="9" type="noConversion"/>
  </si>
  <si>
    <t>二配熟成紅鮭飯糰</t>
  </si>
  <si>
    <t>二配三杯醬爆菇菇飯糰</t>
  </si>
  <si>
    <t>二配贅沢鮭魚肚飯糰</t>
  </si>
  <si>
    <t>二配北海道秋鮭親子飯糰</t>
  </si>
  <si>
    <t>二配明太子龍蝦風味沙拉飯糰</t>
  </si>
  <si>
    <t>二配雞肉飯飯糰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</si>
  <si>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</si>
  <si>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</si>
  <si>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</si>
  <si>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</si>
  <si>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</si>
  <si>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</si>
  <si>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</si>
  <si>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</si>
  <si>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</si>
  <si>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</si>
  <si>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</si>
  <si>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</si>
  <si>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</si>
  <si>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合計次數</t>
  </si>
  <si>
    <t>合計(時間/分)</t>
  </si>
  <si>
    <t>產線異常
分析說明(5分鐘以上)</t>
    <phoneticPr fontId="9" type="noConversion"/>
  </si>
  <si>
    <t>合計(時間/分)</t>
    <phoneticPr fontId="6" type="noConversion"/>
  </si>
  <si>
    <t>產線異常統計(5分鐘以上)</t>
    <phoneticPr fontId="9" type="noConversion"/>
  </si>
  <si>
    <t>短暫停線統計(5分鐘以下)</t>
    <phoneticPr fontId="9" type="noConversion"/>
  </si>
  <si>
    <t>總次數</t>
    <phoneticPr fontId="5" type="noConversion"/>
  </si>
  <si>
    <t>設備因素(次數)</t>
    <phoneticPr fontId="5" type="noConversion"/>
  </si>
  <si>
    <t>便當二線</t>
    <phoneticPr fontId="9" type="noConversion"/>
  </si>
  <si>
    <t>微波小吃</t>
  </si>
  <si>
    <t>日式茶碗蒸</t>
  </si>
  <si>
    <t>微波主食</t>
  </si>
  <si>
    <t>糖燻野郎三十天熟成牛飯</t>
  </si>
  <si>
    <t>便當</t>
  </si>
  <si>
    <t>香檸奶油魚排蔬滿盒</t>
  </si>
  <si>
    <t>健身G肉餐盒</t>
  </si>
  <si>
    <t>涼麵一線</t>
    <phoneticPr fontId="9" type="noConversion"/>
  </si>
  <si>
    <t>4℃-壽司手卷</t>
  </si>
  <si>
    <t>海陸雙拼壽司</t>
  </si>
  <si>
    <t>馬鈴薯玉米濃湯</t>
  </si>
  <si>
    <t>三合一味噌湯</t>
  </si>
  <si>
    <t>越式牛肉寬粉</t>
  </si>
  <si>
    <t>日式鮭魚茶泡烤飯</t>
  </si>
  <si>
    <t>4℃-飯糰</t>
  </si>
  <si>
    <t>麻油雞飯糰</t>
  </si>
  <si>
    <t>涼麵二線</t>
    <phoneticPr fontId="9" type="noConversion"/>
  </si>
  <si>
    <t>香腸腿排雙拼便當</t>
  </si>
  <si>
    <t>蔬活腿排補力餐盒</t>
  </si>
  <si>
    <t>地中海布格麥烤魚餐盒</t>
  </si>
  <si>
    <t>烤蛋白餐盒</t>
  </si>
  <si>
    <t>海陸雙拼肉肉餐盒</t>
  </si>
  <si>
    <t>懷舊滷雙拼便當</t>
  </si>
  <si>
    <t>涼麵三線</t>
    <phoneticPr fontId="9" type="noConversion"/>
  </si>
  <si>
    <t>季節調理麵</t>
  </si>
  <si>
    <t>和風涓絲冷麵</t>
  </si>
  <si>
    <t>嘉義崇文白醋涼麵</t>
  </si>
  <si>
    <t>韓式泡菜冷麵</t>
  </si>
  <si>
    <t>招牌雞絲胡麻涼麵</t>
  </si>
  <si>
    <t>日式胡麻雞絲冷麵</t>
  </si>
  <si>
    <t>日式蕎麥沾麵</t>
  </si>
  <si>
    <t>大滿足麻醬涼麵</t>
  </si>
  <si>
    <t>大滿足香辣涼麵</t>
  </si>
  <si>
    <t>醬油生鮭脆卷</t>
  </si>
  <si>
    <t>韓式辣炒豬肉飯卷</t>
  </si>
  <si>
    <t>厚香料優格咖哩烤雞飯卷</t>
  </si>
  <si>
    <t>自動包裝機2</t>
    <phoneticPr fontId="9" type="noConversion"/>
  </si>
  <si>
    <t>鮪魚昆布細卷</t>
  </si>
  <si>
    <t>肉鬆火腿細卷</t>
  </si>
  <si>
    <t>便當二線
(二配)</t>
    <phoneticPr fontId="9" type="noConversion"/>
  </si>
  <si>
    <t>二配香烤魚排青醬燉飯</t>
  </si>
  <si>
    <t>二配濃起司燻腸紅醬焗烤飯</t>
  </si>
  <si>
    <t>二配西班牙風味海鮮燉飯</t>
  </si>
  <si>
    <t>涼麵一線
(二配)</t>
    <phoneticPr fontId="9" type="noConversion"/>
  </si>
  <si>
    <t>二配哞哞培根奶香海陸焗飯</t>
  </si>
  <si>
    <t>二配黃金雞排蘑菇白醬歐姆蛋飯</t>
  </si>
  <si>
    <t>二配里肌豬排可可咖哩歐姆蛋飯</t>
  </si>
  <si>
    <t>115.08.09星期日</t>
    <phoneticPr fontId="9" type="noConversion"/>
  </si>
  <si>
    <t>一配柚檸海灣貝飯糰</t>
  </si>
  <si>
    <t>月見烏龍冷麵</t>
  </si>
  <si>
    <t>115.08.08星期六</t>
    <phoneticPr fontId="9" type="noConversion"/>
  </si>
  <si>
    <t>蒸蛋湯</t>
  </si>
  <si>
    <t>115.08.07星期五</t>
    <phoneticPr fontId="9" type="noConversion"/>
  </si>
  <si>
    <t>115.08.06星期四</t>
    <phoneticPr fontId="9" type="noConversion"/>
  </si>
  <si>
    <t>115.08.05星期三</t>
    <phoneticPr fontId="9" type="noConversion"/>
  </si>
  <si>
    <t>嫩烤香料雞胸排蔬滿盒</t>
  </si>
  <si>
    <t>115.08.04星期二</t>
    <phoneticPr fontId="9" type="noConversion"/>
  </si>
  <si>
    <t>115.08.03星期一</t>
    <phoneticPr fontId="9" type="noConversion"/>
  </si>
  <si>
    <t>115.08.02星期日</t>
    <phoneticPr fontId="9" type="noConversion"/>
  </si>
  <si>
    <t>115.08.01星期六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</si>
</sst>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76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1" fillId="0" borderId="25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23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5C681-BACD-46DA-8C6B-2A7084F2853B}">
  <sheetPr>
    <tabColor theme="9" tint="0.59999389629810485"/>
  </sheetPr>
  <dimension ref="B1:AR42"/>
  <sheetViews>
    <sheetView tabSelected="1" zoomScale="70" zoomScaleNormal="70" workbookViewId="0">
      <selection activeCell="N41" sqref="N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</v>
      </c>
      <c r="D3" s="208"/>
      <c r="E3" s="3" t="s">
        <v>3</v>
      </c>
      <c r="F3" s="209">
        <f>'0810(18度C)'!D1+'0810(4度C)'!D1</f>
        <v>203928</v>
      </c>
      <c r="G3" s="210"/>
      <c r="H3" s="3" t="s">
        <v>4</v>
      </c>
      <c r="I3" s="211">
        <f>'0810(18度C)'!F1+'0810(4度C)'!F1</f>
        <v>6334097.5900000017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497.21850793469758</v>
      </c>
      <c r="F6" s="245" t="e">
        <f>AVERAGE(#REF!,D14:K14)</f>
        <v>#REF!</v>
      </c>
      <c r="G6" s="246">
        <f>AVERAGE(D14:K14)</f>
        <v>270.36047862999584</v>
      </c>
      <c r="H6" s="247"/>
      <c r="I6" s="246">
        <f>AVERAGE(L14:O14)</f>
        <v>94.325718496683862</v>
      </c>
      <c r="J6" s="247"/>
      <c r="K6" s="246">
        <f>AVERAGE(D32:O32)</f>
        <v>745.1704545454545</v>
      </c>
      <c r="L6" s="247"/>
      <c r="M6" s="246">
        <f>AVERAGE(P32:X32)</f>
        <v>791</v>
      </c>
      <c r="N6" s="247"/>
      <c r="O6" s="235">
        <f>'0810(4度C)'!Y2</f>
        <v>0</v>
      </c>
      <c r="P6" s="235">
        <f>'0810(4度C)'!Z2</f>
        <v>0</v>
      </c>
      <c r="Q6" s="235">
        <f>'0810(4度C)'!AC2</f>
        <v>0</v>
      </c>
      <c r="R6" s="235">
        <f>'0810(4度C)'!AD2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446.90709904110037</v>
      </c>
      <c r="F7" s="241" t="e">
        <f>AVERAGE(#REF!,D15:K15)</f>
        <v>#REF!</v>
      </c>
      <c r="G7" s="242">
        <f>AVERAGE(D15:K15)</f>
        <v>239.11905594840911</v>
      </c>
      <c r="H7" s="243"/>
      <c r="I7" s="242">
        <f>AVERAGE(L15:O15)</f>
        <v>87.501787310169519</v>
      </c>
      <c r="J7" s="243"/>
      <c r="K7" s="242">
        <f>AVERAGE(D33:O33)</f>
        <v>671.59199004131301</v>
      </c>
      <c r="L7" s="243"/>
      <c r="M7" s="242">
        <f>AVERAGE(P33:X33)</f>
        <v>713.60692854539002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0.90062993657554391</v>
      </c>
      <c r="F8" s="260" t="e">
        <f>AVERAGE(D16:K16,#REF!)</f>
        <v>#REF!</v>
      </c>
      <c r="G8" s="248">
        <f>AVERAGE(D16:K16)</f>
        <v>0.89344111985420982</v>
      </c>
      <c r="H8" s="249"/>
      <c r="I8" s="248">
        <f>AVERAGE(L16:O16)</f>
        <v>0.92580031597171142</v>
      </c>
      <c r="J8" s="249"/>
      <c r="K8" s="248">
        <f>AVERAGE(D34:O34)</f>
        <v>0.89786111409832614</v>
      </c>
      <c r="L8" s="249"/>
      <c r="M8" s="248">
        <f>AVERAGE(P34:X34)</f>
        <v>0.90159679443667939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83.720930232558146</v>
      </c>
      <c r="F14" s="28">
        <v>111.31578947368421</v>
      </c>
      <c r="G14" s="28">
        <v>90.322580645161295</v>
      </c>
      <c r="H14" s="28">
        <v>171.42857142857142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75.531326561707189</v>
      </c>
      <c r="F15" s="28">
        <v>100.52621136917142</v>
      </c>
      <c r="G15" s="28">
        <v>81.425878231247751</v>
      </c>
      <c r="H15" s="28">
        <v>154.24812111473025</v>
      </c>
      <c r="I15" s="28">
        <v>481.44776616271906</v>
      </c>
      <c r="J15" s="28">
        <v>541.535032250879</v>
      </c>
      <c r="K15" s="36" t="s">
        <v>43</v>
      </c>
      <c r="L15" s="34" t="s">
        <v>43</v>
      </c>
      <c r="M15" s="30">
        <v>96.564285714285688</v>
      </c>
      <c r="N15" s="28">
        <v>78.439288906053349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0.90217973393150241</v>
      </c>
      <c r="F16" s="42">
        <f t="shared" si="0"/>
        <v>0.90307234799728464</v>
      </c>
      <c r="G16" s="42">
        <f t="shared" si="0"/>
        <v>0.90150079470310007</v>
      </c>
      <c r="H16" s="42">
        <f t="shared" si="0"/>
        <v>0.89978070650259323</v>
      </c>
      <c r="I16" s="42">
        <f t="shared" si="0"/>
        <v>0.85155474890598093</v>
      </c>
      <c r="J16" s="42">
        <f t="shared" si="0"/>
        <v>0.9025583870847983</v>
      </c>
      <c r="K16" s="43" t="s">
        <v>43</v>
      </c>
      <c r="L16" s="41" t="s">
        <v>43</v>
      </c>
      <c r="M16" s="44">
        <f>M15/M14</f>
        <v>0.94954880952380927</v>
      </c>
      <c r="N16" s="42">
        <f>N15/N14</f>
        <v>0.90205182241961346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0.64444444444444438</v>
      </c>
      <c r="F18" s="47">
        <v>0.55238425925925916</v>
      </c>
      <c r="G18" s="47">
        <v>0.66355324074074062</v>
      </c>
      <c r="H18" s="47">
        <v>0.56504629629629621</v>
      </c>
      <c r="I18" s="47">
        <v>0.4632060185185185</v>
      </c>
      <c r="J18" s="47">
        <v>0.31898148148148148</v>
      </c>
      <c r="K18" s="47" t="s">
        <v>43</v>
      </c>
      <c r="L18" s="46" t="s">
        <v>43</v>
      </c>
      <c r="M18" s="48">
        <v>0.82371527777777775</v>
      </c>
      <c r="N18" s="47">
        <v>0.84960648148148143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21.5</v>
      </c>
      <c r="F23" s="57">
        <v>19.166666666666668</v>
      </c>
      <c r="G23" s="57">
        <v>22.142857142857142</v>
      </c>
      <c r="H23" s="57">
        <v>21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887.5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287.42850805150761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754.29135044136865</v>
      </c>
      <c r="N33" s="28">
        <v>847.83687426964161</v>
      </c>
      <c r="O33" s="28">
        <v>796.81122740273429</v>
      </c>
      <c r="P33" s="27">
        <v>438.60095184871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648.09034812646905</v>
      </c>
      <c r="W33" s="28">
        <v>994.79493042338299</v>
      </c>
      <c r="X33" s="31">
        <v>772.94148378299815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0.87825377460182885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0.9142925459895378</v>
      </c>
      <c r="N34" s="42">
        <f>N33/N32</f>
        <v>0.90108266830589923</v>
      </c>
      <c r="O34" s="42">
        <f>O33/O32</f>
        <v>0.89781546749603869</v>
      </c>
      <c r="P34" s="41">
        <f>P33/P32</f>
        <v>0.89344638339552029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0.91397356787066164</v>
      </c>
      <c r="W34" s="42">
        <f>W33/W32</f>
        <v>0.90435902765762088</v>
      </c>
      <c r="X34" s="45">
        <f>X33/X32</f>
        <v>0.89460819882291465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0.33680555555555552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0.73124999999999996</v>
      </c>
      <c r="X35" s="49">
        <v>0.74027777777777781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0.4632060185185185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0.43195601851851845</v>
      </c>
      <c r="N36" s="47">
        <v>0.53586805555555572</v>
      </c>
      <c r="O36" s="47">
        <v>0.51173611111111117</v>
      </c>
      <c r="P36" s="46">
        <v>0.7603240740740741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0.88039351851851855</v>
      </c>
      <c r="W36" s="47">
        <v>1.1289814814814811</v>
      </c>
      <c r="X36" s="49">
        <v>1.122893518518518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04F0-8262-4FA4-8775-A316C0FADCC4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1" sqref="N41"/>
      <selection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110952</v>
      </c>
      <c r="E1" s="87" t="s">
        <v>4</v>
      </c>
      <c r="F1" s="88">
        <f>SUM(G5:G140)</f>
        <v>2193328.69</v>
      </c>
      <c r="G1" s="89" t="s">
        <v>85</v>
      </c>
      <c r="H1" s="90">
        <f>L21+L38+L55+L72+L89+L106+L123+L140</f>
        <v>41.566666666666663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46244</v>
      </c>
      <c r="B2" s="294"/>
      <c r="C2" s="91" t="s">
        <v>41</v>
      </c>
      <c r="D2" s="92">
        <f>AVERAGE(N21,N38,N55,N72,N89,N106,N123,N140)</f>
        <v>692.59945929335152</v>
      </c>
      <c r="E2" s="92" t="s">
        <v>92</v>
      </c>
      <c r="F2" s="93">
        <f>F1/D1</f>
        <v>19.768266367438169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8.7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1887</v>
      </c>
      <c r="G5" s="147">
        <f t="shared" ref="G5:G9" si="0">E5*F5</f>
        <v>48382.68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3216.5295511531845</v>
      </c>
      <c r="N5" s="151">
        <f>M5/L5</f>
        <v>321.65295511531843</v>
      </c>
      <c r="O5" s="153">
        <f>L5-I5</f>
        <v>0</v>
      </c>
      <c r="P5" s="154">
        <f>N5-K5</f>
        <v>-38.347044884681566</v>
      </c>
      <c r="Q5" s="155">
        <f>N5/K5</f>
        <v>0.89348043087588458</v>
      </c>
      <c r="R5" s="321">
        <f>Q21</f>
        <v>0.87825377460182885</v>
      </c>
      <c r="S5" s="156">
        <v>0.20833333333333334</v>
      </c>
      <c r="T5" s="157">
        <v>0.23276620370370371</v>
      </c>
      <c r="U5" s="158"/>
      <c r="V5" s="159">
        <v>35.199427892527389</v>
      </c>
      <c r="W5" s="160"/>
      <c r="X5" s="161"/>
      <c r="Y5" s="324"/>
      <c r="Z5" s="325"/>
      <c r="AA5" s="114">
        <f>M5-J5</f>
        <v>-383.47044884681554</v>
      </c>
      <c r="AB5" s="155">
        <f>M5/J5</f>
        <v>0.89348043087588458</v>
      </c>
      <c r="AC5" s="326">
        <f>AB21</f>
        <v>0.87825377460182874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2887</v>
      </c>
      <c r="G6" s="102">
        <f t="shared" si="0"/>
        <v>85224.24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3156.8233410043867</v>
      </c>
      <c r="N6" s="105">
        <f>M6/L6</f>
        <v>286.98394009130789</v>
      </c>
      <c r="O6" s="107">
        <f>L6-I6</f>
        <v>0</v>
      </c>
      <c r="P6" s="108">
        <f>N6-K6</f>
        <v>-40.288787181419366</v>
      </c>
      <c r="Q6" s="109">
        <f>N6/K6</f>
        <v>0.87689537250121863</v>
      </c>
      <c r="R6" s="322"/>
      <c r="S6" s="46">
        <v>0.23680555555555557</v>
      </c>
      <c r="T6" s="47">
        <v>0.27490740740740743</v>
      </c>
      <c r="U6" s="110">
        <v>5.8166666666666833</v>
      </c>
      <c r="V6" s="111">
        <v>54.871616586846343</v>
      </c>
      <c r="W6" s="112"/>
      <c r="X6" s="115"/>
      <c r="Y6" s="331"/>
      <c r="Z6" s="332"/>
      <c r="AA6" s="116">
        <f>M6-J6</f>
        <v>-443.17665899561325</v>
      </c>
      <c r="AB6" s="109">
        <f>M6/J6</f>
        <v>0.87689537250121852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3340</v>
      </c>
      <c r="G7" s="102">
        <f t="shared" si="0"/>
        <v>99699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3158.3719051520084</v>
      </c>
      <c r="N7" s="105">
        <f>M7/L7</f>
        <v>287.12471865018256</v>
      </c>
      <c r="O7" s="107">
        <f>L7-I7</f>
        <v>0</v>
      </c>
      <c r="P7" s="108">
        <f>N7-K7</f>
        <v>-40.148008622544694</v>
      </c>
      <c r="Q7" s="109">
        <f>N7/K7</f>
        <v>0.87732552920889117</v>
      </c>
      <c r="R7" s="322"/>
      <c r="S7" s="46">
        <v>0.27777777777777779</v>
      </c>
      <c r="T7" s="47">
        <v>0.32184027777777779</v>
      </c>
      <c r="U7" s="110">
        <v>5</v>
      </c>
      <c r="V7" s="111">
        <v>63.450412433413227</v>
      </c>
      <c r="W7" s="112"/>
      <c r="X7" s="115"/>
      <c r="Y7" s="331"/>
      <c r="Z7" s="332"/>
      <c r="AA7" s="116">
        <f>M7-J7</f>
        <v>-441.62809484799163</v>
      </c>
      <c r="AB7" s="109">
        <f>M7/J7</f>
        <v>0.87732552920889117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2650</v>
      </c>
      <c r="G8" s="102">
        <f t="shared" si="0"/>
        <v>79500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3156.3951621769088</v>
      </c>
      <c r="N8" s="105">
        <f>M8/L8</f>
        <v>286.94501474335533</v>
      </c>
      <c r="O8" s="107">
        <f>L8-I8</f>
        <v>0</v>
      </c>
      <c r="P8" s="108">
        <f>N8-K8</f>
        <v>-40.327712529371922</v>
      </c>
      <c r="Q8" s="109">
        <f>N8/K8</f>
        <v>0.87677643393803018</v>
      </c>
      <c r="R8" s="322"/>
      <c r="S8" s="46">
        <v>0.32500000000000001</v>
      </c>
      <c r="T8" s="47">
        <v>0.35997685185185185</v>
      </c>
      <c r="U8" s="110">
        <v>4.5499999999999918</v>
      </c>
      <c r="V8" s="111">
        <v>50.373920827562216</v>
      </c>
      <c r="W8" s="112"/>
      <c r="X8" s="115"/>
      <c r="Y8" s="331"/>
      <c r="Z8" s="332"/>
      <c r="AA8" s="116">
        <f>M8-J8</f>
        <v>-443.6048378230912</v>
      </c>
      <c r="AB8" s="109">
        <f>M8/J8</f>
        <v>0.87677643393803018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1416</v>
      </c>
      <c r="G9" s="102">
        <f t="shared" si="0"/>
        <v>40455.120000000003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3120.4479833464293</v>
      </c>
      <c r="N9" s="105">
        <f>M9/L9</f>
        <v>260.03733194553575</v>
      </c>
      <c r="O9" s="107">
        <f>L9-I9</f>
        <v>0</v>
      </c>
      <c r="P9" s="108">
        <f>N9-K9</f>
        <v>-39.962668054464245</v>
      </c>
      <c r="Q9" s="109">
        <f>N9/K9</f>
        <v>0.86679110648511914</v>
      </c>
      <c r="R9" s="322"/>
      <c r="S9" s="46">
        <v>0.36319444444444443</v>
      </c>
      <c r="T9" s="47">
        <v>0.38209490740740737</v>
      </c>
      <c r="U9" s="110">
        <v>4.6333333333333115</v>
      </c>
      <c r="V9" s="111">
        <v>27.2268598782689</v>
      </c>
      <c r="W9" s="112"/>
      <c r="X9" s="115"/>
      <c r="Y9" s="331"/>
      <c r="Z9" s="332"/>
      <c r="AA9" s="116">
        <f>M9-J9</f>
        <v>-479.55201665357072</v>
      </c>
      <c r="AB9" s="109">
        <f>M9/J9</f>
        <v>0.86679110648511926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3161.7135885665834</v>
      </c>
      <c r="N21" s="137">
        <f>M21/L21</f>
        <v>287.42850805150761</v>
      </c>
      <c r="O21" s="138">
        <f>L21-I21</f>
        <v>0</v>
      </c>
      <c r="P21" s="139">
        <f>N21-K21</f>
        <v>-39.844219221219646</v>
      </c>
      <c r="Q21" s="140">
        <f>N21/K21</f>
        <v>0.87825377460182885</v>
      </c>
      <c r="R21" s="323"/>
      <c r="S21" s="141">
        <v>0.20833333333333334</v>
      </c>
      <c r="T21" s="142">
        <v>0.4632060185185185</v>
      </c>
      <c r="U21" s="143"/>
      <c r="V21" s="165"/>
      <c r="W21" s="166"/>
      <c r="X21" s="137"/>
      <c r="Y21" s="353"/>
      <c r="Z21" s="354"/>
      <c r="AA21" s="167">
        <f>M21-J21</f>
        <v>-438.28641143341656</v>
      </c>
      <c r="AB21" s="140">
        <f>M21/J21</f>
        <v>0.87825377460182874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2482</v>
      </c>
      <c r="G22" s="147">
        <f t="shared" ref="G22:G24" si="5">E22*F22</f>
        <v>45991.460000000006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3015.7334405697479</v>
      </c>
      <c r="N22" s="151">
        <f>M22/L22</f>
        <v>1005.244480189916</v>
      </c>
      <c r="O22" s="153">
        <f>L22-I22</f>
        <v>0</v>
      </c>
      <c r="P22" s="154">
        <f>N22-K22</f>
        <v>-94.755519810084024</v>
      </c>
      <c r="Q22" s="155">
        <f>N22/K22</f>
        <v>0.91385861835446902</v>
      </c>
      <c r="R22" s="321">
        <f>Q38</f>
        <v>0.9142925459895378</v>
      </c>
      <c r="S22" s="156">
        <v>0.33680555555555552</v>
      </c>
      <c r="T22" s="157">
        <v>0.37108796296296293</v>
      </c>
      <c r="U22" s="158"/>
      <c r="V22" s="111">
        <v>49.381022207276139</v>
      </c>
      <c r="W22" s="160"/>
      <c r="X22" s="161"/>
      <c r="Y22" s="324"/>
      <c r="Z22" s="325"/>
      <c r="AA22" s="114">
        <f>M22-J22</f>
        <v>-284.26655943025207</v>
      </c>
      <c r="AB22" s="155">
        <f>M22/J22</f>
        <v>0.91385861835446902</v>
      </c>
      <c r="AC22" s="326">
        <f>AB38</f>
        <v>0.9142925459895378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766</v>
      </c>
      <c r="G23" s="102">
        <f t="shared" si="5"/>
        <v>17066.48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3019.0098070850163</v>
      </c>
      <c r="N23" s="105">
        <f>M23/L23</f>
        <v>603.80196141700321</v>
      </c>
      <c r="O23" s="107">
        <f>L23-I23</f>
        <v>0</v>
      </c>
      <c r="P23" s="108">
        <f>N23-K23</f>
        <v>-56.198038582996787</v>
      </c>
      <c r="Q23" s="109">
        <f>N23/K23</f>
        <v>0.91485145669242907</v>
      </c>
      <c r="R23" s="322"/>
      <c r="S23" s="46">
        <v>0.37499999999999994</v>
      </c>
      <c r="T23" s="47">
        <v>0.38556712962962958</v>
      </c>
      <c r="U23" s="110">
        <v>5.633333333333308</v>
      </c>
      <c r="V23" s="111">
        <v>15.223534515237747</v>
      </c>
      <c r="W23" s="112"/>
      <c r="X23" s="115"/>
      <c r="Y23" s="331"/>
      <c r="Z23" s="332"/>
      <c r="AA23" s="116">
        <f>M23-J23</f>
        <v>-280.99019291498371</v>
      </c>
      <c r="AB23" s="109">
        <f>M23/J23</f>
        <v>0.91485145669242918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3068</v>
      </c>
      <c r="G24" s="102">
        <f t="shared" si="5"/>
        <v>54886.520000000004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3016.75295764166</v>
      </c>
      <c r="N24" s="105">
        <f>M24/L24</f>
        <v>754.18823941041501</v>
      </c>
      <c r="O24" s="107">
        <f>L24-I24</f>
        <v>0</v>
      </c>
      <c r="P24" s="108">
        <f>N24-K24</f>
        <v>-70.811760589584992</v>
      </c>
      <c r="Q24" s="109">
        <f>N24/K24</f>
        <v>0.91416756292171519</v>
      </c>
      <c r="R24" s="322"/>
      <c r="S24" s="46">
        <v>0.38958333333333328</v>
      </c>
      <c r="T24" s="47">
        <v>0.43195601851851845</v>
      </c>
      <c r="U24" s="110">
        <v>5.7833333333333314</v>
      </c>
      <c r="V24" s="111">
        <v>61.019249035195827</v>
      </c>
      <c r="W24" s="112"/>
      <c r="X24" s="115"/>
      <c r="Y24" s="331"/>
      <c r="Z24" s="332"/>
      <c r="AA24" s="116">
        <f>M24-J24</f>
        <v>-283.24704235833997</v>
      </c>
      <c r="AB24" s="109">
        <f>M24/J24</f>
        <v>0.91416756292171519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3017.1654017654746</v>
      </c>
      <c r="N38" s="137">
        <f t="shared" ref="N38:N44" si="10">M38/L38</f>
        <v>754.29135044136865</v>
      </c>
      <c r="O38" s="138">
        <f t="shared" ref="O38:O44" si="11">L38-I38</f>
        <v>0</v>
      </c>
      <c r="P38" s="139">
        <f t="shared" ref="P38:P44" si="12">N38-K38</f>
        <v>-70.70864955863135</v>
      </c>
      <c r="Q38" s="140">
        <f t="shared" ref="Q38:Q44" si="13">N38/K38</f>
        <v>0.9142925459895378</v>
      </c>
      <c r="R38" s="323"/>
      <c r="S38" s="141">
        <v>0.33680555555555552</v>
      </c>
      <c r="T38" s="142">
        <v>0.43195601851851845</v>
      </c>
      <c r="U38" s="143"/>
      <c r="V38" s="165"/>
      <c r="W38" s="98"/>
      <c r="X38" s="68"/>
      <c r="Y38" s="353"/>
      <c r="Z38" s="354"/>
      <c r="AA38" s="167">
        <f t="shared" ref="AA38:AA44" si="14">M38-J38</f>
        <v>-282.8345982345254</v>
      </c>
      <c r="AB38" s="140">
        <f t="shared" ref="AB38:AB44" si="15">M38/J38</f>
        <v>0.9142925459895378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971</v>
      </c>
      <c r="G39" s="147">
        <f t="shared" ref="G39:G44" si="16">E39*F39</f>
        <v>24304.13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3221.3895508629148</v>
      </c>
      <c r="N39" s="151">
        <f t="shared" si="10"/>
        <v>644.27791017258301</v>
      </c>
      <c r="O39" s="153">
        <f t="shared" si="11"/>
        <v>0</v>
      </c>
      <c r="P39" s="154">
        <f t="shared" si="12"/>
        <v>-75.722089827416994</v>
      </c>
      <c r="Q39" s="155">
        <f t="shared" si="13"/>
        <v>0.89483043079525415</v>
      </c>
      <c r="R39" s="321">
        <f>Q55</f>
        <v>0.90108266830589923</v>
      </c>
      <c r="S39" s="156">
        <v>0.25</v>
      </c>
      <c r="T39" s="157">
        <v>0.26255787037037037</v>
      </c>
      <c r="U39" s="158"/>
      <c r="V39" s="159">
        <v>18.085363188812067</v>
      </c>
      <c r="W39" s="160"/>
      <c r="X39" s="161"/>
      <c r="Y39" s="324"/>
      <c r="Z39" s="325"/>
      <c r="AA39" s="114">
        <f t="shared" si="14"/>
        <v>-378.6104491370852</v>
      </c>
      <c r="AB39" s="155">
        <f t="shared" si="15"/>
        <v>0.89483043079525415</v>
      </c>
      <c r="AC39" s="326">
        <f>AB55</f>
        <v>0.90108266830589923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1229</v>
      </c>
      <c r="G40" s="102">
        <f t="shared" si="16"/>
        <v>22343.22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3218.8818073801158</v>
      </c>
      <c r="N40" s="105">
        <f t="shared" si="10"/>
        <v>1072.9606024600387</v>
      </c>
      <c r="O40" s="107">
        <f t="shared" si="11"/>
        <v>0</v>
      </c>
      <c r="P40" s="108">
        <f t="shared" si="12"/>
        <v>-127.03939753996133</v>
      </c>
      <c r="Q40" s="109">
        <f t="shared" si="13"/>
        <v>0.89413383538336555</v>
      </c>
      <c r="R40" s="322"/>
      <c r="S40" s="46">
        <v>0.2729166666666667</v>
      </c>
      <c r="T40" s="47">
        <v>0.28881944444444446</v>
      </c>
      <c r="U40" s="110">
        <v>14.916666666666707</v>
      </c>
      <c r="V40" s="111">
        <v>22.908576459978136</v>
      </c>
      <c r="W40" s="112"/>
      <c r="X40" s="115"/>
      <c r="Y40" s="331"/>
      <c r="Z40" s="332"/>
      <c r="AA40" s="116">
        <f t="shared" si="14"/>
        <v>-381.11819261988421</v>
      </c>
      <c r="AB40" s="109">
        <f t="shared" si="15"/>
        <v>0.89413383538336555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1284</v>
      </c>
      <c r="G41" s="102">
        <f t="shared" si="16"/>
        <v>31868.880000000001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3222.1601595422808</v>
      </c>
      <c r="N41" s="105">
        <f t="shared" si="10"/>
        <v>644.43203190845611</v>
      </c>
      <c r="O41" s="107">
        <f t="shared" si="11"/>
        <v>0</v>
      </c>
      <c r="P41" s="108">
        <f t="shared" si="12"/>
        <v>-75.567968091543889</v>
      </c>
      <c r="Q41" s="109">
        <f t="shared" si="13"/>
        <v>0.89504448876174458</v>
      </c>
      <c r="R41" s="322"/>
      <c r="S41" s="46">
        <v>0.29861111111111116</v>
      </c>
      <c r="T41" s="47">
        <v>0.31520833333333337</v>
      </c>
      <c r="U41" s="110">
        <v>15</v>
      </c>
      <c r="V41" s="111">
        <v>23.909426032672382</v>
      </c>
      <c r="W41" s="112"/>
      <c r="X41" s="115"/>
      <c r="Y41" s="331"/>
      <c r="Z41" s="332"/>
      <c r="AA41" s="116">
        <f t="shared" si="14"/>
        <v>-377.83984045771922</v>
      </c>
      <c r="AB41" s="109">
        <f t="shared" si="15"/>
        <v>0.89504448876174469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2135</v>
      </c>
      <c r="G42" s="102">
        <f t="shared" si="16"/>
        <v>36444.449999999997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3022.7383646395124</v>
      </c>
      <c r="N42" s="105">
        <f t="shared" si="10"/>
        <v>1007.5794548798375</v>
      </c>
      <c r="O42" s="107">
        <f t="shared" si="11"/>
        <v>0</v>
      </c>
      <c r="P42" s="108">
        <f t="shared" si="12"/>
        <v>-92.420545120162501</v>
      </c>
      <c r="Q42" s="109">
        <f t="shared" si="13"/>
        <v>0.91598132261803411</v>
      </c>
      <c r="R42" s="322"/>
      <c r="S42" s="46">
        <v>0.32500000000000007</v>
      </c>
      <c r="T42" s="47">
        <v>0.35442129629629637</v>
      </c>
      <c r="U42" s="110">
        <v>15</v>
      </c>
      <c r="V42" s="111">
        <v>42.378791859240863</v>
      </c>
      <c r="W42" s="112"/>
      <c r="X42" s="115"/>
      <c r="Y42" s="331"/>
      <c r="Z42" s="332"/>
      <c r="AA42" s="116">
        <f t="shared" si="14"/>
        <v>-277.26163536048762</v>
      </c>
      <c r="AB42" s="109">
        <f t="shared" si="15"/>
        <v>0.91598132261803411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4837</v>
      </c>
      <c r="G43" s="102">
        <f t="shared" si="16"/>
        <v>67863.11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2746.4161146167421</v>
      </c>
      <c r="N43" s="105">
        <f t="shared" si="10"/>
        <v>915.4720382055807</v>
      </c>
      <c r="O43" s="107">
        <f t="shared" si="11"/>
        <v>0</v>
      </c>
      <c r="P43" s="108">
        <f t="shared" si="12"/>
        <v>-84.527961794419298</v>
      </c>
      <c r="Q43" s="109">
        <f t="shared" si="13"/>
        <v>0.91547203820558065</v>
      </c>
      <c r="R43" s="322"/>
      <c r="S43" s="46">
        <v>0.36458333333333343</v>
      </c>
      <c r="T43" s="47">
        <v>0.43796296296296305</v>
      </c>
      <c r="U43" s="110">
        <v>14.633333333333356</v>
      </c>
      <c r="V43" s="111">
        <v>105.67226082581435</v>
      </c>
      <c r="W43" s="112"/>
      <c r="X43" s="115"/>
      <c r="Y43" s="331"/>
      <c r="Z43" s="332"/>
      <c r="AA43" s="116">
        <f t="shared" si="14"/>
        <v>-253.58388538325789</v>
      </c>
      <c r="AB43" s="109">
        <f t="shared" si="15"/>
        <v>0.91547203820558065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6799</v>
      </c>
      <c r="G44" s="120">
        <f t="shared" si="16"/>
        <v>97089.72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3220.8252368905496</v>
      </c>
      <c r="N44" s="105">
        <f t="shared" si="10"/>
        <v>1073.6084122968498</v>
      </c>
      <c r="O44" s="107">
        <f t="shared" si="11"/>
        <v>0</v>
      </c>
      <c r="P44" s="108">
        <f t="shared" si="12"/>
        <v>-126.39158770315021</v>
      </c>
      <c r="Q44" s="109">
        <f t="shared" si="13"/>
        <v>0.89467367691404154</v>
      </c>
      <c r="R44" s="322"/>
      <c r="S44" s="46">
        <v>0.4479166666666668</v>
      </c>
      <c r="T44" s="119">
        <v>0.53586805555555572</v>
      </c>
      <c r="U44" s="110">
        <v>15</v>
      </c>
      <c r="V44" s="111">
        <v>126.65698074131883</v>
      </c>
      <c r="W44" s="112"/>
      <c r="X44" s="115"/>
      <c r="Y44" s="331"/>
      <c r="Z44" s="332"/>
      <c r="AA44" s="116">
        <f t="shared" si="14"/>
        <v>-379.1747631094504</v>
      </c>
      <c r="AB44" s="109">
        <f t="shared" si="15"/>
        <v>0.89467367691404154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3108.7352056553523</v>
      </c>
      <c r="N55" s="137">
        <f t="shared" ref="N55:N61" si="22">M55/L55</f>
        <v>847.83687426964161</v>
      </c>
      <c r="O55" s="138">
        <f t="shared" ref="O55:O61" si="23">L55-I55</f>
        <v>0</v>
      </c>
      <c r="P55" s="139">
        <f t="shared" ref="P55:P61" si="24">N55-K55</f>
        <v>-93.07221663944938</v>
      </c>
      <c r="Q55" s="140">
        <f t="shared" ref="Q55:Q61" si="25">N55/K55</f>
        <v>0.90108266830589923</v>
      </c>
      <c r="R55" s="323"/>
      <c r="S55" s="141">
        <v>0.25</v>
      </c>
      <c r="T55" s="142">
        <v>0.53586805555555572</v>
      </c>
      <c r="U55" s="143"/>
      <c r="V55" s="165"/>
      <c r="W55" s="98"/>
      <c r="X55" s="68"/>
      <c r="Y55" s="353"/>
      <c r="Z55" s="354"/>
      <c r="AA55" s="167">
        <f t="shared" ref="AA55:AA61" si="26">M55-J55</f>
        <v>-341.26479434464773</v>
      </c>
      <c r="AB55" s="140">
        <f t="shared" ref="AB55:AB61" si="27">M55/J55</f>
        <v>0.90108266830589923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1589</v>
      </c>
      <c r="G56" s="147">
        <f t="shared" ref="G56:G61" si="28">E56*F56</f>
        <v>32924.080000000002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3221.2383578594531</v>
      </c>
      <c r="N56" s="151">
        <f t="shared" si="22"/>
        <v>1073.7461192864844</v>
      </c>
      <c r="O56" s="153">
        <f t="shared" si="23"/>
        <v>0</v>
      </c>
      <c r="P56" s="154">
        <f t="shared" si="24"/>
        <v>-126.25388071351563</v>
      </c>
      <c r="Q56" s="155">
        <f t="shared" si="25"/>
        <v>0.89478843273873698</v>
      </c>
      <c r="R56" s="321">
        <f>Q72</f>
        <v>0.89781546749603869</v>
      </c>
      <c r="S56" s="156">
        <v>0.25</v>
      </c>
      <c r="T56" s="157">
        <v>0.27054398148148151</v>
      </c>
      <c r="U56" s="158"/>
      <c r="V56" s="159">
        <v>29.5973130232295</v>
      </c>
      <c r="W56" s="157"/>
      <c r="X56" s="168"/>
      <c r="Y56" s="324"/>
      <c r="Z56" s="325"/>
      <c r="AA56" s="114">
        <f t="shared" si="26"/>
        <v>-378.76164214054688</v>
      </c>
      <c r="AB56" s="155">
        <f t="shared" si="27"/>
        <v>0.89478843273873698</v>
      </c>
      <c r="AC56" s="326">
        <f>AB72</f>
        <v>0.89781546749603869</v>
      </c>
    </row>
    <row r="57" spans="1:29" ht="15.75" customHeight="1">
      <c r="A57" s="356"/>
      <c r="B57" s="99" t="s">
        <v>121</v>
      </c>
      <c r="C57" s="329" t="s">
        <v>135</v>
      </c>
      <c r="D57" s="330"/>
      <c r="E57" s="100">
        <v>30</v>
      </c>
      <c r="F57" s="101">
        <v>1927</v>
      </c>
      <c r="G57" s="102">
        <f t="shared" si="28"/>
        <v>57810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3223.2306743701638</v>
      </c>
      <c r="N57" s="105">
        <f t="shared" si="22"/>
        <v>805.80766859254095</v>
      </c>
      <c r="O57" s="107">
        <f t="shared" si="23"/>
        <v>0</v>
      </c>
      <c r="P57" s="108">
        <f t="shared" si="24"/>
        <v>-94.192331407459051</v>
      </c>
      <c r="Q57" s="109">
        <f t="shared" si="25"/>
        <v>0.89534185399171218</v>
      </c>
      <c r="R57" s="322"/>
      <c r="S57" s="46">
        <v>0.28055555555555556</v>
      </c>
      <c r="T57" s="47">
        <v>0.30546296296296294</v>
      </c>
      <c r="U57" s="110">
        <v>15</v>
      </c>
      <c r="V57" s="111">
        <v>35.870842542969022</v>
      </c>
      <c r="W57" s="112"/>
      <c r="X57" s="13"/>
      <c r="Y57" s="331"/>
      <c r="Z57" s="332"/>
      <c r="AA57" s="116">
        <f t="shared" si="26"/>
        <v>-376.7693256298362</v>
      </c>
      <c r="AB57" s="109">
        <f t="shared" si="27"/>
        <v>0.89534185399171218</v>
      </c>
      <c r="AC57" s="327"/>
    </row>
    <row r="58" spans="1:29" ht="15.75" customHeight="1">
      <c r="A58" s="356"/>
      <c r="B58" s="99" t="s">
        <v>121</v>
      </c>
      <c r="C58" s="329" t="s">
        <v>136</v>
      </c>
      <c r="D58" s="330"/>
      <c r="E58" s="100">
        <v>30</v>
      </c>
      <c r="F58" s="101">
        <v>1996</v>
      </c>
      <c r="G58" s="102">
        <f t="shared" si="28"/>
        <v>59880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3023.040901297471</v>
      </c>
      <c r="N58" s="105">
        <f t="shared" si="22"/>
        <v>755.76022532436775</v>
      </c>
      <c r="O58" s="107">
        <f t="shared" si="23"/>
        <v>0</v>
      </c>
      <c r="P58" s="108">
        <f t="shared" si="24"/>
        <v>-69.239774675632248</v>
      </c>
      <c r="Q58" s="109">
        <f t="shared" si="25"/>
        <v>0.91607300039317308</v>
      </c>
      <c r="R58" s="322"/>
      <c r="S58" s="46">
        <v>0.31527777777777782</v>
      </c>
      <c r="T58" s="47">
        <v>0.34277777777777785</v>
      </c>
      <c r="U58" s="110">
        <v>15</v>
      </c>
      <c r="V58" s="111">
        <v>39.615739220928084</v>
      </c>
      <c r="W58" s="112"/>
      <c r="X58" s="13"/>
      <c r="Y58" s="331"/>
      <c r="Z58" s="332"/>
      <c r="AA58" s="116">
        <f t="shared" si="26"/>
        <v>-276.95909870252899</v>
      </c>
      <c r="AB58" s="109">
        <f t="shared" si="27"/>
        <v>0.91607300039317308</v>
      </c>
      <c r="AC58" s="327"/>
    </row>
    <row r="59" spans="1:29" ht="15.75" customHeight="1">
      <c r="A59" s="356"/>
      <c r="B59" s="99" t="s">
        <v>121</v>
      </c>
      <c r="C59" s="329" t="s">
        <v>137</v>
      </c>
      <c r="D59" s="330"/>
      <c r="E59" s="100">
        <v>27.48</v>
      </c>
      <c r="F59" s="101">
        <v>2907</v>
      </c>
      <c r="G59" s="102">
        <f t="shared" si="28"/>
        <v>79884.36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3222.005876591591</v>
      </c>
      <c r="N59" s="105">
        <f t="shared" si="22"/>
        <v>644.40117531831822</v>
      </c>
      <c r="O59" s="107">
        <f t="shared" si="23"/>
        <v>0</v>
      </c>
      <c r="P59" s="108">
        <f t="shared" si="24"/>
        <v>-75.598824681681776</v>
      </c>
      <c r="Q59" s="109">
        <f t="shared" si="25"/>
        <v>0.89500163238655306</v>
      </c>
      <c r="R59" s="322"/>
      <c r="S59" s="46">
        <v>0.35277777777777786</v>
      </c>
      <c r="T59" s="47">
        <v>0.39037037037037048</v>
      </c>
      <c r="U59" s="110">
        <v>15</v>
      </c>
      <c r="V59" s="111">
        <v>54.133979477564061</v>
      </c>
      <c r="W59" s="112"/>
      <c r="X59" s="115"/>
      <c r="Y59" s="331"/>
      <c r="Z59" s="332"/>
      <c r="AA59" s="116">
        <f t="shared" si="26"/>
        <v>-377.994123408409</v>
      </c>
      <c r="AB59" s="109">
        <f t="shared" si="27"/>
        <v>0.89500163238655306</v>
      </c>
      <c r="AC59" s="327"/>
    </row>
    <row r="60" spans="1:29" ht="15.75" customHeight="1">
      <c r="A60" s="357"/>
      <c r="B60" s="99" t="s">
        <v>121</v>
      </c>
      <c r="C60" s="329" t="s">
        <v>138</v>
      </c>
      <c r="D60" s="330"/>
      <c r="E60" s="100">
        <v>18.18</v>
      </c>
      <c r="F60" s="101">
        <v>2167</v>
      </c>
      <c r="G60" s="102">
        <f t="shared" si="28"/>
        <v>39396.06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3216.606280752871</v>
      </c>
      <c r="N60" s="105">
        <f t="shared" si="22"/>
        <v>1072.2020935842904</v>
      </c>
      <c r="O60" s="107">
        <f t="shared" si="23"/>
        <v>0</v>
      </c>
      <c r="P60" s="108">
        <f t="shared" si="24"/>
        <v>-127.79790641570958</v>
      </c>
      <c r="Q60" s="109">
        <f t="shared" si="25"/>
        <v>0.89350174465357535</v>
      </c>
      <c r="R60" s="322"/>
      <c r="S60" s="46">
        <v>0.40069444444444452</v>
      </c>
      <c r="T60" s="47">
        <v>0.42876157407407417</v>
      </c>
      <c r="U60" s="110">
        <v>14.866666666666619</v>
      </c>
      <c r="V60" s="111">
        <v>40.421484213967226</v>
      </c>
      <c r="W60" s="112"/>
      <c r="X60" s="115"/>
      <c r="Y60" s="331"/>
      <c r="Z60" s="332"/>
      <c r="AA60" s="116">
        <f t="shared" si="26"/>
        <v>-383.39371924712896</v>
      </c>
      <c r="AB60" s="109">
        <f t="shared" si="27"/>
        <v>0.89350174465357524</v>
      </c>
      <c r="AC60" s="327"/>
    </row>
    <row r="61" spans="1:29" ht="15.75" customHeight="1">
      <c r="A61" s="357"/>
      <c r="B61" s="99" t="s">
        <v>121</v>
      </c>
      <c r="C61" s="329" t="s">
        <v>139</v>
      </c>
      <c r="D61" s="330"/>
      <c r="E61" s="100">
        <v>16.66</v>
      </c>
      <c r="F61" s="101">
        <v>5625</v>
      </c>
      <c r="G61" s="120">
        <f t="shared" si="28"/>
        <v>93712.5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3217.3473667940725</v>
      </c>
      <c r="N61" s="105">
        <f t="shared" si="22"/>
        <v>643.46947335881453</v>
      </c>
      <c r="O61" s="107">
        <f t="shared" si="23"/>
        <v>0</v>
      </c>
      <c r="P61" s="108">
        <f t="shared" si="24"/>
        <v>-76.530526641185475</v>
      </c>
      <c r="Q61" s="109">
        <f t="shared" si="25"/>
        <v>0.89370760188724241</v>
      </c>
      <c r="R61" s="322"/>
      <c r="S61" s="46">
        <v>0.43888888888888899</v>
      </c>
      <c r="T61" s="119">
        <v>0.51173611111111117</v>
      </c>
      <c r="U61" s="110">
        <v>14.583333333333348</v>
      </c>
      <c r="V61" s="111">
        <v>104.90008119213502</v>
      </c>
      <c r="W61" s="112"/>
      <c r="X61" s="49"/>
      <c r="Y61" s="331"/>
      <c r="Z61" s="332"/>
      <c r="AA61" s="116">
        <f t="shared" si="26"/>
        <v>-382.65263320592749</v>
      </c>
      <c r="AB61" s="109">
        <f t="shared" si="27"/>
        <v>0.89370760188724241</v>
      </c>
      <c r="AC61" s="327"/>
    </row>
    <row r="62" spans="1:29" ht="15.75" customHeight="1">
      <c r="A62" s="357"/>
      <c r="B62" s="99"/>
      <c r="C62" s="329"/>
      <c r="D62" s="330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22"/>
      <c r="S62" s="46"/>
      <c r="T62" s="119"/>
      <c r="U62" s="110"/>
      <c r="V62" s="111"/>
      <c r="W62" s="112"/>
      <c r="X62" s="115"/>
      <c r="Y62" s="331"/>
      <c r="Z62" s="332"/>
      <c r="AA62" s="116"/>
      <c r="AB62" s="109"/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3187.2449096109372</v>
      </c>
      <c r="N72" s="137">
        <f>M72/L72</f>
        <v>796.81122740273429</v>
      </c>
      <c r="O72" s="138">
        <f>L72-I72</f>
        <v>0</v>
      </c>
      <c r="P72" s="139">
        <f>N72-K72</f>
        <v>-90.688772597265711</v>
      </c>
      <c r="Q72" s="140">
        <f>N72/K72</f>
        <v>0.89781546749603869</v>
      </c>
      <c r="R72" s="323"/>
      <c r="S72" s="141">
        <v>0.25</v>
      </c>
      <c r="T72" s="142">
        <v>0.51173611111111117</v>
      </c>
      <c r="U72" s="143"/>
      <c r="V72" s="165"/>
      <c r="W72" s="166"/>
      <c r="X72" s="137"/>
      <c r="Y72" s="353"/>
      <c r="Z72" s="354"/>
      <c r="AA72" s="167">
        <f>M72-J72</f>
        <v>-362.75509038906284</v>
      </c>
      <c r="AB72" s="140">
        <f>M72/J72</f>
        <v>0.89781546749603869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1572</v>
      </c>
      <c r="G73" s="147">
        <f t="shared" ref="G73:G75" si="33">E73*F73</f>
        <v>44912.04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3120.1789996522862</v>
      </c>
      <c r="N73" s="151">
        <f>M73/L73</f>
        <v>260.01491663769053</v>
      </c>
      <c r="O73" s="153">
        <f>L73-I73</f>
        <v>0</v>
      </c>
      <c r="P73" s="154">
        <f>N73-K73</f>
        <v>-39.985083362309467</v>
      </c>
      <c r="Q73" s="155">
        <f>N73/K73</f>
        <v>0.86671638879230173</v>
      </c>
      <c r="R73" s="321">
        <f>Q89</f>
        <v>0.89344638339552029</v>
      </c>
      <c r="S73" s="156">
        <v>0.70833333333333337</v>
      </c>
      <c r="T73" s="157">
        <v>0.72931712962962969</v>
      </c>
      <c r="U73" s="158"/>
      <c r="V73" s="159">
        <v>30.229034940146398</v>
      </c>
      <c r="W73" s="157"/>
      <c r="X73" s="168"/>
      <c r="Y73" s="324"/>
      <c r="Z73" s="325"/>
      <c r="AA73" s="114">
        <f>M73-J73</f>
        <v>-479.82100034771383</v>
      </c>
      <c r="AB73" s="155">
        <f>M73/J73</f>
        <v>0.86671638879230173</v>
      </c>
      <c r="AC73" s="326">
        <f>AB89</f>
        <v>0.89344638339552029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612</v>
      </c>
      <c r="G74" s="102">
        <f t="shared" si="33"/>
        <v>10838.52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3264.6272820575418</v>
      </c>
      <c r="N74" s="105">
        <f>M74/L74</f>
        <v>652.92545641150832</v>
      </c>
      <c r="O74" s="107">
        <f>L74-I74</f>
        <v>0</v>
      </c>
      <c r="P74" s="108">
        <f>N74-K74</f>
        <v>-67.074543588491679</v>
      </c>
      <c r="Q74" s="109">
        <f>N74/K74</f>
        <v>0.90684091168265046</v>
      </c>
      <c r="R74" s="322"/>
      <c r="S74" s="46">
        <v>0.73263888888888895</v>
      </c>
      <c r="T74" s="47">
        <v>0.74043981481481491</v>
      </c>
      <c r="U74" s="110">
        <v>4.783333333333335</v>
      </c>
      <c r="V74" s="111">
        <v>11.2478383678939</v>
      </c>
      <c r="W74" s="112"/>
      <c r="X74" s="13"/>
      <c r="Y74" s="331"/>
      <c r="Z74" s="332"/>
      <c r="AA74" s="116">
        <f>M74-J74</f>
        <v>-335.37271794245817</v>
      </c>
      <c r="AB74" s="109">
        <f>M74/J74</f>
        <v>0.90684091168265046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1245</v>
      </c>
      <c r="G75" s="102">
        <f t="shared" si="33"/>
        <v>23555.4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3264.4146589617917</v>
      </c>
      <c r="N75" s="105">
        <f>M75/L75</f>
        <v>652.88293179235836</v>
      </c>
      <c r="O75" s="107">
        <f>L75-I75</f>
        <v>0</v>
      </c>
      <c r="P75" s="108">
        <f>N75-K75</f>
        <v>-67.117068207641637</v>
      </c>
      <c r="Q75" s="109">
        <f>N75/K75</f>
        <v>0.9067818497116088</v>
      </c>
      <c r="R75" s="322"/>
      <c r="S75" s="46">
        <v>0.74444444444444446</v>
      </c>
      <c r="T75" s="47">
        <v>0.7603240740740741</v>
      </c>
      <c r="U75" s="110">
        <v>5.7666666666665556</v>
      </c>
      <c r="V75" s="111">
        <v>22.883122337086135</v>
      </c>
      <c r="W75" s="112"/>
      <c r="X75" s="13"/>
      <c r="Y75" s="331"/>
      <c r="Z75" s="332"/>
      <c r="AA75" s="116">
        <f>M75-J75</f>
        <v>-335.5853410382083</v>
      </c>
      <c r="AB75" s="109">
        <f>M75/J75</f>
        <v>0.9067818497116088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3216.4069802238732</v>
      </c>
      <c r="N89" s="137">
        <f t="shared" ref="N89:N94" si="37">M89/L89</f>
        <v>438.60095184871</v>
      </c>
      <c r="O89" s="138">
        <f t="shared" ref="O89:O94" si="38">L89-I89</f>
        <v>0</v>
      </c>
      <c r="P89" s="139">
        <f t="shared" ref="P89:P94" si="39">N89-K89</f>
        <v>-52.308139060380938</v>
      </c>
      <c r="Q89" s="140">
        <f t="shared" ref="Q89:Q94" si="40">N89/K89</f>
        <v>0.89344638339552029</v>
      </c>
      <c r="R89" s="323"/>
      <c r="S89" s="141">
        <v>0.70833333333333337</v>
      </c>
      <c r="T89" s="142">
        <v>0.7603240740740741</v>
      </c>
      <c r="U89" s="143"/>
      <c r="V89" s="165"/>
      <c r="W89" s="166"/>
      <c r="X89" s="137"/>
      <c r="Y89" s="353"/>
      <c r="Z89" s="354"/>
      <c r="AA89" s="167">
        <f t="shared" ref="AA89:AA94" si="41">M89-J89</f>
        <v>-383.59301977612677</v>
      </c>
      <c r="AB89" s="140">
        <f t="shared" ref="AB89:AB94" si="42">M89/J89</f>
        <v>0.89344638339552029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570</v>
      </c>
      <c r="G90" s="147">
        <f t="shared" ref="G90:G94" si="43">E90*F90</f>
        <v>13263.9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2742.0771411010992</v>
      </c>
      <c r="N90" s="151">
        <f t="shared" si="37"/>
        <v>548.41542822021984</v>
      </c>
      <c r="O90" s="153">
        <f t="shared" si="38"/>
        <v>0</v>
      </c>
      <c r="P90" s="154">
        <f t="shared" si="39"/>
        <v>-51.584571779780163</v>
      </c>
      <c r="Q90" s="155">
        <f t="shared" si="40"/>
        <v>0.91402571370036645</v>
      </c>
      <c r="R90" s="321">
        <f>Q106</f>
        <v>0.91397356787066164</v>
      </c>
      <c r="S90" s="156">
        <v>0.70833333333333337</v>
      </c>
      <c r="T90" s="157">
        <v>0.71699074074074076</v>
      </c>
      <c r="U90" s="158"/>
      <c r="V90" s="159">
        <v>12.472296817392513</v>
      </c>
      <c r="W90" s="160"/>
      <c r="X90" s="161"/>
      <c r="Y90" s="324"/>
      <c r="Z90" s="325"/>
      <c r="AA90" s="114">
        <f t="shared" si="41"/>
        <v>-257.92285889890081</v>
      </c>
      <c r="AB90" s="155">
        <f t="shared" si="42"/>
        <v>0.91402571370036645</v>
      </c>
      <c r="AC90" s="326">
        <f>AB106</f>
        <v>0.91397356787066153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1495</v>
      </c>
      <c r="G91" s="102">
        <f t="shared" si="43"/>
        <v>36687.299999999996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2742.9099097226472</v>
      </c>
      <c r="N91" s="105">
        <f t="shared" si="37"/>
        <v>685.72747743066179</v>
      </c>
      <c r="O91" s="107">
        <f t="shared" si="38"/>
        <v>0</v>
      </c>
      <c r="P91" s="108">
        <f t="shared" si="39"/>
        <v>-64.272522569338207</v>
      </c>
      <c r="Q91" s="109">
        <f t="shared" si="40"/>
        <v>0.91430330324088238</v>
      </c>
      <c r="R91" s="322"/>
      <c r="S91" s="46">
        <v>0.72013888888888888</v>
      </c>
      <c r="T91" s="47">
        <v>0.74284722222222221</v>
      </c>
      <c r="U91" s="110">
        <v>4.5333333333332959</v>
      </c>
      <c r="V91" s="111">
        <v>32.702495872009926</v>
      </c>
      <c r="W91" s="112"/>
      <c r="X91" s="115"/>
      <c r="Y91" s="331"/>
      <c r="Z91" s="332"/>
      <c r="AA91" s="116">
        <f t="shared" si="41"/>
        <v>-257.09009027735283</v>
      </c>
      <c r="AB91" s="109">
        <f t="shared" si="42"/>
        <v>0.91430330324088238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1478</v>
      </c>
      <c r="G92" s="102">
        <f t="shared" si="43"/>
        <v>35959.74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2742.2237563503782</v>
      </c>
      <c r="N92" s="105">
        <f t="shared" si="37"/>
        <v>685.55593908759454</v>
      </c>
      <c r="O92" s="107">
        <f t="shared" si="38"/>
        <v>0</v>
      </c>
      <c r="P92" s="108">
        <f t="shared" si="39"/>
        <v>-64.444060912405462</v>
      </c>
      <c r="Q92" s="109">
        <f t="shared" si="40"/>
        <v>0.9140745854501261</v>
      </c>
      <c r="R92" s="322"/>
      <c r="S92" s="46">
        <v>0.74652777777777779</v>
      </c>
      <c r="T92" s="47">
        <v>0.76898148148148149</v>
      </c>
      <c r="U92" s="110">
        <v>5.3000000000000291</v>
      </c>
      <c r="V92" s="111">
        <v>32.338717726675995</v>
      </c>
      <c r="W92" s="112"/>
      <c r="X92" s="115"/>
      <c r="Y92" s="331"/>
      <c r="Z92" s="332"/>
      <c r="AA92" s="116">
        <f t="shared" si="41"/>
        <v>-257.77624364962185</v>
      </c>
      <c r="AB92" s="109">
        <f t="shared" si="42"/>
        <v>0.9140745854501261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1693</v>
      </c>
      <c r="G93" s="102">
        <f t="shared" si="43"/>
        <v>37720.04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3014.258774390461</v>
      </c>
      <c r="N93" s="105">
        <f t="shared" si="37"/>
        <v>602.85175487809215</v>
      </c>
      <c r="O93" s="107">
        <f t="shared" si="38"/>
        <v>0</v>
      </c>
      <c r="P93" s="108">
        <f t="shared" si="39"/>
        <v>-57.148245121907848</v>
      </c>
      <c r="Q93" s="109">
        <f t="shared" si="40"/>
        <v>0.91341174981529116</v>
      </c>
      <c r="R93" s="322"/>
      <c r="S93" s="46">
        <v>0.77222222222222225</v>
      </c>
      <c r="T93" s="47">
        <v>0.79561342592592599</v>
      </c>
      <c r="U93" s="110">
        <v>4.6666666666667034</v>
      </c>
      <c r="V93" s="111">
        <v>33.699827255389295</v>
      </c>
      <c r="W93" s="112"/>
      <c r="X93" s="115"/>
      <c r="Y93" s="331"/>
      <c r="Z93" s="332"/>
      <c r="AA93" s="116">
        <f t="shared" si="41"/>
        <v>-285.74122560953901</v>
      </c>
      <c r="AB93" s="109">
        <f t="shared" si="42"/>
        <v>0.91341174981529116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5921</v>
      </c>
      <c r="G94" s="102">
        <f t="shared" si="43"/>
        <v>105926.69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3016.5180772177346</v>
      </c>
      <c r="N94" s="105">
        <f t="shared" si="37"/>
        <v>754.12951930443364</v>
      </c>
      <c r="O94" s="107">
        <f t="shared" si="38"/>
        <v>0</v>
      </c>
      <c r="P94" s="108">
        <f t="shared" si="39"/>
        <v>-70.870480695566357</v>
      </c>
      <c r="Q94" s="109">
        <f t="shared" si="40"/>
        <v>0.91409638703567719</v>
      </c>
      <c r="R94" s="322"/>
      <c r="S94" s="46">
        <v>0.79861111111111116</v>
      </c>
      <c r="T94" s="47">
        <v>0.88039351851851855</v>
      </c>
      <c r="U94" s="110">
        <v>5</v>
      </c>
      <c r="V94" s="111">
        <v>117.77154683179346</v>
      </c>
      <c r="W94" s="112"/>
      <c r="X94" s="115"/>
      <c r="Y94" s="331"/>
      <c r="Z94" s="332"/>
      <c r="AA94" s="116">
        <f t="shared" si="41"/>
        <v>-283.48192278226543</v>
      </c>
      <c r="AB94" s="109">
        <f t="shared" si="42"/>
        <v>0.91409638703567719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2851.5975317564639</v>
      </c>
      <c r="N106" s="137">
        <f t="shared" ref="N106:N114" si="48">M106/L106</f>
        <v>648.09034812646905</v>
      </c>
      <c r="O106" s="138">
        <f t="shared" ref="O106:O114" si="49">L106-I106</f>
        <v>0</v>
      </c>
      <c r="P106" s="139">
        <f t="shared" ref="P106:P114" si="50">N106-K106</f>
        <v>-61.000560964439956</v>
      </c>
      <c r="Q106" s="140">
        <f t="shared" ref="Q106:Q114" si="51">N106/K106</f>
        <v>0.91397356787066164</v>
      </c>
      <c r="R106" s="323"/>
      <c r="S106" s="141">
        <v>0.70833333333333337</v>
      </c>
      <c r="T106" s="142">
        <v>0.88039351851851855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-268.40246824353608</v>
      </c>
      <c r="AB106" s="140">
        <f t="shared" ref="AB106:AB114" si="53">M106/J106</f>
        <v>0.91397356787066153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690</v>
      </c>
      <c r="G107" s="147">
        <f t="shared" ref="G107:G114" si="54">E107*F107</f>
        <v>12544.199999999999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2744.8541168696356</v>
      </c>
      <c r="N107" s="151">
        <f t="shared" si="48"/>
        <v>914.95137228987858</v>
      </c>
      <c r="O107" s="153">
        <f t="shared" si="49"/>
        <v>0</v>
      </c>
      <c r="P107" s="154">
        <f t="shared" si="50"/>
        <v>-85.048627710121423</v>
      </c>
      <c r="Q107" s="155">
        <f t="shared" si="51"/>
        <v>0.91495137228987855</v>
      </c>
      <c r="R107" s="321">
        <f>Q123</f>
        <v>0.90435902765762088</v>
      </c>
      <c r="S107" s="156">
        <v>0.73124999999999996</v>
      </c>
      <c r="T107" s="157">
        <v>0.74171296296296296</v>
      </c>
      <c r="U107" s="158"/>
      <c r="V107" s="159">
        <v>15.082768787440902</v>
      </c>
      <c r="W107" s="160"/>
      <c r="X107" s="161"/>
      <c r="Y107" s="324"/>
      <c r="Z107" s="325"/>
      <c r="AA107" s="114">
        <f t="shared" si="52"/>
        <v>-255.14588313036438</v>
      </c>
      <c r="AB107" s="155">
        <f t="shared" si="53"/>
        <v>0.91495137228987855</v>
      </c>
      <c r="AC107" s="326">
        <f>AB123</f>
        <v>0.90435902765762088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432</v>
      </c>
      <c r="G108" s="102">
        <f t="shared" si="54"/>
        <v>7853.76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3221.2046169944902</v>
      </c>
      <c r="N108" s="105">
        <f t="shared" si="48"/>
        <v>1073.7348723314967</v>
      </c>
      <c r="O108" s="107">
        <f t="shared" si="49"/>
        <v>0</v>
      </c>
      <c r="P108" s="108">
        <f t="shared" si="50"/>
        <v>-126.26512766850328</v>
      </c>
      <c r="Q108" s="109">
        <f t="shared" si="51"/>
        <v>0.89477906027624732</v>
      </c>
      <c r="R108" s="322"/>
      <c r="S108" s="46">
        <v>0.75208333333333321</v>
      </c>
      <c r="T108" s="47">
        <v>0.75766203703703694</v>
      </c>
      <c r="U108" s="110">
        <v>14.933333333333163</v>
      </c>
      <c r="V108" s="111">
        <v>8.0466791408564333</v>
      </c>
      <c r="W108" s="112"/>
      <c r="X108" s="115"/>
      <c r="Y108" s="331"/>
      <c r="Z108" s="332"/>
      <c r="AA108" s="116">
        <f t="shared" si="52"/>
        <v>-378.79538300550985</v>
      </c>
      <c r="AB108" s="109">
        <f t="shared" si="53"/>
        <v>0.89477906027624732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2438</v>
      </c>
      <c r="G109" s="102">
        <f t="shared" si="54"/>
        <v>34205.14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2747.2401003867826</v>
      </c>
      <c r="N109" s="105">
        <f t="shared" si="48"/>
        <v>915.7467001289275</v>
      </c>
      <c r="O109" s="107">
        <f t="shared" si="49"/>
        <v>0</v>
      </c>
      <c r="P109" s="108">
        <f t="shared" si="50"/>
        <v>-84.2532998710725</v>
      </c>
      <c r="Q109" s="109">
        <f t="shared" si="51"/>
        <v>0.91574670012892745</v>
      </c>
      <c r="R109" s="322"/>
      <c r="S109" s="46">
        <v>0.76805555555555538</v>
      </c>
      <c r="T109" s="47">
        <v>0.80502314814814802</v>
      </c>
      <c r="U109" s="110">
        <v>14.966666666666555</v>
      </c>
      <c r="V109" s="111">
        <v>53.246165116549264</v>
      </c>
      <c r="W109" s="112"/>
      <c r="X109" s="115"/>
      <c r="Y109" s="331"/>
      <c r="Z109" s="332"/>
      <c r="AA109" s="116">
        <f t="shared" si="52"/>
        <v>-252.75989961321739</v>
      </c>
      <c r="AB109" s="109">
        <f t="shared" si="53"/>
        <v>0.91574670012892756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3008</v>
      </c>
      <c r="G110" s="102">
        <f t="shared" si="54"/>
        <v>42954.239999999998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3224.2403308296875</v>
      </c>
      <c r="N110" s="105">
        <f t="shared" si="48"/>
        <v>1074.7467769432292</v>
      </c>
      <c r="O110" s="107">
        <f t="shared" si="49"/>
        <v>0</v>
      </c>
      <c r="P110" s="108">
        <f t="shared" si="50"/>
        <v>-125.25322305677082</v>
      </c>
      <c r="Q110" s="109">
        <f t="shared" si="51"/>
        <v>0.89562231411935767</v>
      </c>
      <c r="R110" s="322"/>
      <c r="S110" s="46">
        <v>0.81527777777777755</v>
      </c>
      <c r="T110" s="47">
        <v>0.85414351851851833</v>
      </c>
      <c r="U110" s="110">
        <v>14.766666666666524</v>
      </c>
      <c r="V110" s="111">
        <v>55.975976193299907</v>
      </c>
      <c r="W110" s="112"/>
      <c r="X110" s="115"/>
      <c r="Y110" s="331"/>
      <c r="Z110" s="332"/>
      <c r="AA110" s="116">
        <f t="shared" si="52"/>
        <v>-375.75966917031246</v>
      </c>
      <c r="AB110" s="109">
        <f t="shared" si="53"/>
        <v>0.89562231411935767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1545</v>
      </c>
      <c r="G111" s="102">
        <f t="shared" si="54"/>
        <v>28088.1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2744.8541168696356</v>
      </c>
      <c r="N111" s="105">
        <f t="shared" si="48"/>
        <v>914.95137228987858</v>
      </c>
      <c r="O111" s="107">
        <f t="shared" si="49"/>
        <v>0</v>
      </c>
      <c r="P111" s="108">
        <f t="shared" si="50"/>
        <v>-85.048627710121423</v>
      </c>
      <c r="Q111" s="109">
        <f t="shared" si="51"/>
        <v>0.91495137228987855</v>
      </c>
      <c r="R111" s="322"/>
      <c r="S111" s="46">
        <v>0.8638888888888886</v>
      </c>
      <c r="T111" s="47">
        <v>0.88733796296296263</v>
      </c>
      <c r="U111" s="110">
        <v>15</v>
      </c>
      <c r="V111" s="111">
        <v>33.772286632748106</v>
      </c>
      <c r="W111" s="112"/>
      <c r="X111" s="115"/>
      <c r="Y111" s="331"/>
      <c r="Z111" s="332"/>
      <c r="AA111" s="116">
        <f t="shared" si="52"/>
        <v>-255.14588313036438</v>
      </c>
      <c r="AB111" s="109">
        <f t="shared" si="53"/>
        <v>0.91495137228987855</v>
      </c>
      <c r="AC111" s="327"/>
    </row>
    <row r="112" spans="1:29" ht="15.75" customHeight="1">
      <c r="A112" s="317"/>
      <c r="B112" s="99" t="s">
        <v>121</v>
      </c>
      <c r="C112" s="329" t="s">
        <v>152</v>
      </c>
      <c r="D112" s="330"/>
      <c r="E112" s="100">
        <v>18.18</v>
      </c>
      <c r="F112" s="101">
        <v>942</v>
      </c>
      <c r="G112" s="120">
        <f t="shared" si="54"/>
        <v>17125.560000000001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3221.2046169944906</v>
      </c>
      <c r="N112" s="105">
        <f t="shared" si="48"/>
        <v>1073.7348723314969</v>
      </c>
      <c r="O112" s="107">
        <f t="shared" si="49"/>
        <v>0</v>
      </c>
      <c r="P112" s="108">
        <f t="shared" si="50"/>
        <v>-126.26512766850306</v>
      </c>
      <c r="Q112" s="109">
        <f t="shared" si="51"/>
        <v>0.89477906027624743</v>
      </c>
      <c r="R112" s="322"/>
      <c r="S112" s="46">
        <v>0.89722222222222192</v>
      </c>
      <c r="T112" s="119">
        <v>0.9093981481481479</v>
      </c>
      <c r="U112" s="110">
        <v>15</v>
      </c>
      <c r="V112" s="111">
        <v>17.546230904367498</v>
      </c>
      <c r="W112" s="112"/>
      <c r="X112" s="115"/>
      <c r="Y112" s="331"/>
      <c r="Z112" s="332"/>
      <c r="AA112" s="116">
        <f t="shared" si="52"/>
        <v>-378.79538300550939</v>
      </c>
      <c r="AB112" s="109">
        <f t="shared" si="53"/>
        <v>0.89477906027624743</v>
      </c>
      <c r="AC112" s="327"/>
    </row>
    <row r="113" spans="1:29" ht="15.75" customHeight="1">
      <c r="A113" s="317"/>
      <c r="B113" s="99" t="s">
        <v>121</v>
      </c>
      <c r="C113" s="329" t="s">
        <v>153</v>
      </c>
      <c r="D113" s="330"/>
      <c r="E113" s="100">
        <v>14.03</v>
      </c>
      <c r="F113" s="101">
        <v>6387</v>
      </c>
      <c r="G113" s="120">
        <f t="shared" si="54"/>
        <v>89609.61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2747.2401003867822</v>
      </c>
      <c r="N113" s="105">
        <f t="shared" si="48"/>
        <v>915.74670012892739</v>
      </c>
      <c r="O113" s="122">
        <f t="shared" si="49"/>
        <v>0</v>
      </c>
      <c r="P113" s="123">
        <f t="shared" si="50"/>
        <v>-84.253299871072613</v>
      </c>
      <c r="Q113" s="124">
        <f t="shared" si="51"/>
        <v>0.91574670012892734</v>
      </c>
      <c r="R113" s="322"/>
      <c r="S113" s="46">
        <v>0.91944444444444406</v>
      </c>
      <c r="T113" s="119">
        <v>1.0163078703703701</v>
      </c>
      <c r="U113" s="110">
        <v>15</v>
      </c>
      <c r="V113" s="111">
        <v>139.49272214905668</v>
      </c>
      <c r="W113" s="112"/>
      <c r="X113" s="115"/>
      <c r="Y113" s="331"/>
      <c r="Z113" s="332"/>
      <c r="AA113" s="116">
        <f t="shared" si="52"/>
        <v>-252.75989961321784</v>
      </c>
      <c r="AB113" s="109">
        <f t="shared" si="53"/>
        <v>0.91574670012892734</v>
      </c>
      <c r="AC113" s="327"/>
    </row>
    <row r="114" spans="1:29" ht="15.75" customHeight="1">
      <c r="A114" s="317"/>
      <c r="B114" s="99" t="s">
        <v>121</v>
      </c>
      <c r="C114" s="329" t="s">
        <v>154</v>
      </c>
      <c r="D114" s="330"/>
      <c r="E114" s="100">
        <v>14.28</v>
      </c>
      <c r="F114" s="101">
        <v>7939</v>
      </c>
      <c r="G114" s="120">
        <f t="shared" si="54"/>
        <v>113368.92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3224.2403308296875</v>
      </c>
      <c r="N114" s="105">
        <f t="shared" si="48"/>
        <v>1074.7467769432292</v>
      </c>
      <c r="O114" s="122">
        <f t="shared" si="49"/>
        <v>0</v>
      </c>
      <c r="P114" s="123">
        <f t="shared" si="50"/>
        <v>-125.25322305677082</v>
      </c>
      <c r="Q114" s="124">
        <f t="shared" si="51"/>
        <v>0.89562231411935767</v>
      </c>
      <c r="R114" s="322"/>
      <c r="S114" s="46">
        <v>1.0263888888888886</v>
      </c>
      <c r="T114" s="119">
        <v>1.1289814814814811</v>
      </c>
      <c r="U114" s="110">
        <v>14.516666666666644</v>
      </c>
      <c r="V114" s="111">
        <v>147.73712599687764</v>
      </c>
      <c r="W114" s="112"/>
      <c r="X114" s="115"/>
      <c r="Y114" s="331"/>
      <c r="Z114" s="332"/>
      <c r="AA114" s="116">
        <f t="shared" si="52"/>
        <v>-375.75966917031246</v>
      </c>
      <c r="AB114" s="109">
        <f t="shared" si="53"/>
        <v>0.89562231411935767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2984.384791270149</v>
      </c>
      <c r="N123" s="137">
        <f t="shared" ref="N123:N135" si="59">M123/L123</f>
        <v>994.79493042338299</v>
      </c>
      <c r="O123" s="138">
        <f t="shared" ref="O123:O135" si="60">L123-I123</f>
        <v>0</v>
      </c>
      <c r="P123" s="139">
        <f t="shared" ref="P123:P135" si="61">N123-K123</f>
        <v>-105.20506957661701</v>
      </c>
      <c r="Q123" s="140">
        <f t="shared" ref="Q123:Q135" si="62">N123/K123</f>
        <v>0.90435902765762088</v>
      </c>
      <c r="R123" s="323"/>
      <c r="S123" s="141">
        <v>0.73124999999999996</v>
      </c>
      <c r="T123" s="142">
        <v>1.1289814814814811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-315.61520872985102</v>
      </c>
      <c r="AB123" s="140">
        <f t="shared" ref="AB123:AB135" si="64">M123/J123</f>
        <v>0.90435902765762088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543</v>
      </c>
      <c r="G124" s="147">
        <f t="shared" ref="G124:G135" si="65">E124*F124</f>
        <v>13591.29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3220.3087436999595</v>
      </c>
      <c r="N124" s="151">
        <f t="shared" si="59"/>
        <v>644.06174873999191</v>
      </c>
      <c r="O124" s="153">
        <f t="shared" si="60"/>
        <v>0</v>
      </c>
      <c r="P124" s="154">
        <f t="shared" si="61"/>
        <v>-75.938251260008087</v>
      </c>
      <c r="Q124" s="155">
        <f t="shared" si="62"/>
        <v>0.89453020658332205</v>
      </c>
      <c r="R124" s="321">
        <f>Q140</f>
        <v>0.89460819882291465</v>
      </c>
      <c r="S124" s="156">
        <v>0.74027777777777781</v>
      </c>
      <c r="T124" s="157">
        <v>0.74730324074074073</v>
      </c>
      <c r="U124" s="158"/>
      <c r="V124" s="159">
        <v>10.117042368604494</v>
      </c>
      <c r="W124" s="157"/>
      <c r="X124" s="168"/>
      <c r="Y124" s="324"/>
      <c r="Z124" s="325"/>
      <c r="AA124" s="170">
        <f t="shared" si="63"/>
        <v>-379.69125630004055</v>
      </c>
      <c r="AB124" s="155">
        <f t="shared" si="64"/>
        <v>0.89453020658332205</v>
      </c>
      <c r="AC124" s="326">
        <f>AB140</f>
        <v>0.89460819882291454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479</v>
      </c>
      <c r="G125" s="102">
        <f t="shared" si="65"/>
        <v>7999.2999999999993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3223.04388542783</v>
      </c>
      <c r="N125" s="105">
        <f t="shared" si="59"/>
        <v>1074.3479618092767</v>
      </c>
      <c r="O125" s="107">
        <f t="shared" si="60"/>
        <v>0</v>
      </c>
      <c r="P125" s="108">
        <f t="shared" si="61"/>
        <v>-125.65203819072326</v>
      </c>
      <c r="Q125" s="109">
        <f t="shared" si="62"/>
        <v>0.89528996817439732</v>
      </c>
      <c r="R125" s="322"/>
      <c r="S125" s="46">
        <v>0.75763888888888886</v>
      </c>
      <c r="T125" s="47">
        <v>0.76383101851851853</v>
      </c>
      <c r="U125" s="110">
        <v>14.883333333333315</v>
      </c>
      <c r="V125" s="111">
        <v>8.9170365100954943</v>
      </c>
      <c r="W125" s="112"/>
      <c r="X125" s="13"/>
      <c r="Y125" s="331"/>
      <c r="Z125" s="332"/>
      <c r="AA125" s="171">
        <f t="shared" si="63"/>
        <v>-376.95611457217001</v>
      </c>
      <c r="AB125" s="109">
        <f t="shared" si="64"/>
        <v>0.89528996817439721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738</v>
      </c>
      <c r="G126" s="102">
        <f t="shared" si="65"/>
        <v>22140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3217.0800309830333</v>
      </c>
      <c r="N126" s="105">
        <f t="shared" si="59"/>
        <v>804.27000774575833</v>
      </c>
      <c r="O126" s="107">
        <f t="shared" si="60"/>
        <v>0</v>
      </c>
      <c r="P126" s="108">
        <f t="shared" si="61"/>
        <v>-95.729992254241665</v>
      </c>
      <c r="Q126" s="109">
        <f t="shared" si="62"/>
        <v>0.89363334193973143</v>
      </c>
      <c r="R126" s="322"/>
      <c r="S126" s="46">
        <v>0.77361111111111103</v>
      </c>
      <c r="T126" s="47">
        <v>0.78315972222222219</v>
      </c>
      <c r="U126" s="110">
        <v>15</v>
      </c>
      <c r="V126" s="111">
        <v>13.764034333478952</v>
      </c>
      <c r="W126" s="112"/>
      <c r="X126" s="13"/>
      <c r="Y126" s="331"/>
      <c r="Z126" s="332"/>
      <c r="AA126" s="171">
        <f t="shared" si="63"/>
        <v>-382.91996901696666</v>
      </c>
      <c r="AB126" s="109">
        <f t="shared" si="64"/>
        <v>0.89363334193973143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756</v>
      </c>
      <c r="G127" s="102">
        <f t="shared" si="65"/>
        <v>18763.920000000002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3220.5931506730567</v>
      </c>
      <c r="N127" s="105">
        <f t="shared" si="59"/>
        <v>644.11863013461129</v>
      </c>
      <c r="O127" s="107">
        <f t="shared" si="60"/>
        <v>0</v>
      </c>
      <c r="P127" s="108">
        <f t="shared" si="61"/>
        <v>-75.881369865388706</v>
      </c>
      <c r="Q127" s="109">
        <f t="shared" si="62"/>
        <v>0.89460920852029346</v>
      </c>
      <c r="R127" s="322"/>
      <c r="S127" s="46">
        <v>0.7930555555555554</v>
      </c>
      <c r="T127" s="47">
        <v>0.80283564814814801</v>
      </c>
      <c r="U127" s="110">
        <v>15</v>
      </c>
      <c r="V127" s="111">
        <v>14.084362065578022</v>
      </c>
      <c r="W127" s="112"/>
      <c r="X127" s="13"/>
      <c r="Y127" s="331"/>
      <c r="Z127" s="332"/>
      <c r="AA127" s="171">
        <f t="shared" si="63"/>
        <v>-379.4068493269433</v>
      </c>
      <c r="AB127" s="109">
        <f t="shared" si="64"/>
        <v>0.89460920852029358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1114</v>
      </c>
      <c r="G128" s="102">
        <f t="shared" si="65"/>
        <v>20252.52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3220.4034114390847</v>
      </c>
      <c r="N128" s="105">
        <f t="shared" si="59"/>
        <v>1073.4678038130282</v>
      </c>
      <c r="O128" s="107">
        <f t="shared" si="60"/>
        <v>0</v>
      </c>
      <c r="P128" s="108">
        <f t="shared" si="61"/>
        <v>-126.53219618697176</v>
      </c>
      <c r="Q128" s="109">
        <f t="shared" si="62"/>
        <v>0.89455650317752355</v>
      </c>
      <c r="R128" s="322"/>
      <c r="S128" s="46">
        <v>0.81319444444444422</v>
      </c>
      <c r="T128" s="47">
        <v>0.82760416666666647</v>
      </c>
      <c r="U128" s="110">
        <v>14.916666666666547</v>
      </c>
      <c r="V128" s="111">
        <v>20.755163704826522</v>
      </c>
      <c r="W128" s="112"/>
      <c r="X128" s="115"/>
      <c r="Y128" s="331"/>
      <c r="Z128" s="332"/>
      <c r="AA128" s="171">
        <f t="shared" si="63"/>
        <v>-379.59658856091528</v>
      </c>
      <c r="AB128" s="109">
        <f t="shared" si="64"/>
        <v>0.89455650317752355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2518</v>
      </c>
      <c r="G129" s="120">
        <f t="shared" si="65"/>
        <v>41949.88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3222.1078723519904</v>
      </c>
      <c r="N129" s="105">
        <f t="shared" si="59"/>
        <v>644.42157447039813</v>
      </c>
      <c r="O129" s="107">
        <f t="shared" si="60"/>
        <v>0</v>
      </c>
      <c r="P129" s="108">
        <f t="shared" si="61"/>
        <v>-75.578425529601873</v>
      </c>
      <c r="Q129" s="109">
        <f t="shared" si="62"/>
        <v>0.89502996454221961</v>
      </c>
      <c r="R129" s="322"/>
      <c r="S129" s="46">
        <v>0.83749999999999969</v>
      </c>
      <c r="T129" s="119">
        <v>0.87005787037037008</v>
      </c>
      <c r="U129" s="110">
        <v>15</v>
      </c>
      <c r="V129" s="111">
        <v>46.888560527838123</v>
      </c>
      <c r="W129" s="112"/>
      <c r="X129" s="49"/>
      <c r="Y129" s="331"/>
      <c r="Z129" s="332"/>
      <c r="AA129" s="171">
        <f t="shared" si="63"/>
        <v>-377.89212764800959</v>
      </c>
      <c r="AB129" s="109">
        <f t="shared" si="64"/>
        <v>0.8950299645422195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1103</v>
      </c>
      <c r="G130" s="120">
        <f t="shared" si="65"/>
        <v>27608.09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3220.3087436999595</v>
      </c>
      <c r="N130" s="105">
        <f t="shared" si="59"/>
        <v>644.06174873999191</v>
      </c>
      <c r="O130" s="122">
        <f t="shared" si="60"/>
        <v>0</v>
      </c>
      <c r="P130" s="123">
        <f t="shared" si="61"/>
        <v>-75.938251260008087</v>
      </c>
      <c r="Q130" s="124">
        <f t="shared" si="62"/>
        <v>0.89453020658332205</v>
      </c>
      <c r="R130" s="322"/>
      <c r="S130" s="46">
        <v>0.87986111111111076</v>
      </c>
      <c r="T130" s="119">
        <v>0.8941319444444441</v>
      </c>
      <c r="U130" s="110">
        <v>15</v>
      </c>
      <c r="V130" s="111">
        <v>20.550824553537307</v>
      </c>
      <c r="W130" s="112"/>
      <c r="X130" s="115"/>
      <c r="Y130" s="331"/>
      <c r="Z130" s="332"/>
      <c r="AA130" s="171">
        <f t="shared" si="63"/>
        <v>-379.69125630004055</v>
      </c>
      <c r="AB130" s="109">
        <f t="shared" si="64"/>
        <v>0.89453020658332205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1038</v>
      </c>
      <c r="G131" s="120">
        <f t="shared" si="65"/>
        <v>17334.599999999999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3223.0438854278309</v>
      </c>
      <c r="N131" s="105">
        <f t="shared" si="59"/>
        <v>1074.347961809277</v>
      </c>
      <c r="O131" s="122">
        <f t="shared" si="60"/>
        <v>0</v>
      </c>
      <c r="P131" s="123">
        <f t="shared" si="61"/>
        <v>-125.65203819072303</v>
      </c>
      <c r="Q131" s="124">
        <f t="shared" si="62"/>
        <v>0.89528996817439743</v>
      </c>
      <c r="R131" s="322"/>
      <c r="S131" s="46">
        <v>0.90416666666666623</v>
      </c>
      <c r="T131" s="119">
        <v>0.91758101851851803</v>
      </c>
      <c r="U131" s="110">
        <v>15</v>
      </c>
      <c r="V131" s="111">
        <v>19.323348428975201</v>
      </c>
      <c r="W131" s="112"/>
      <c r="X131" s="115"/>
      <c r="Y131" s="331"/>
      <c r="Z131" s="332"/>
      <c r="AA131" s="171">
        <f t="shared" si="63"/>
        <v>-376.9561145721691</v>
      </c>
      <c r="AB131" s="109">
        <f t="shared" si="64"/>
        <v>0.89528996817439743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1794</v>
      </c>
      <c r="G132" s="120">
        <f t="shared" si="65"/>
        <v>53820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3217.0800309830338</v>
      </c>
      <c r="N132" s="105">
        <f t="shared" si="59"/>
        <v>804.27000774575845</v>
      </c>
      <c r="O132" s="122">
        <f t="shared" si="60"/>
        <v>0</v>
      </c>
      <c r="P132" s="123">
        <f t="shared" si="61"/>
        <v>-95.729992254241552</v>
      </c>
      <c r="Q132" s="124">
        <f t="shared" si="62"/>
        <v>0.89363334193973165</v>
      </c>
      <c r="R132" s="322"/>
      <c r="S132" s="46">
        <v>0.92777777777777726</v>
      </c>
      <c r="T132" s="119">
        <v>0.95100694444444389</v>
      </c>
      <c r="U132" s="110">
        <v>14.683333333333284</v>
      </c>
      <c r="V132" s="111">
        <v>33.458912729351269</v>
      </c>
      <c r="W132" s="125"/>
      <c r="X132" s="126"/>
      <c r="Y132" s="331"/>
      <c r="Z132" s="332"/>
      <c r="AA132" s="171">
        <f t="shared" si="63"/>
        <v>-382.91996901696621</v>
      </c>
      <c r="AB132" s="109">
        <f t="shared" si="64"/>
        <v>0.89363334193973165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1722</v>
      </c>
      <c r="G133" s="120">
        <f t="shared" si="65"/>
        <v>42740.04</v>
      </c>
      <c r="H133" s="61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3220.5931506730567</v>
      </c>
      <c r="N133" s="105">
        <f t="shared" si="59"/>
        <v>644.11863013461129</v>
      </c>
      <c r="O133" s="122">
        <f t="shared" si="60"/>
        <v>0</v>
      </c>
      <c r="P133" s="123">
        <f t="shared" si="61"/>
        <v>-75.881369865388706</v>
      </c>
      <c r="Q133" s="124">
        <f t="shared" si="62"/>
        <v>0.89460920852029346</v>
      </c>
      <c r="R133" s="322"/>
      <c r="S133" s="46">
        <v>0.96111111111111058</v>
      </c>
      <c r="T133" s="119">
        <v>0.9833796296296291</v>
      </c>
      <c r="U133" s="110">
        <v>14.550000000000036</v>
      </c>
      <c r="V133" s="111">
        <v>32.081046927149934</v>
      </c>
      <c r="W133" s="125"/>
      <c r="X133" s="126"/>
      <c r="Y133" s="331"/>
      <c r="Z133" s="332"/>
      <c r="AA133" s="171">
        <f t="shared" si="63"/>
        <v>-379.4068493269433</v>
      </c>
      <c r="AB133" s="109">
        <f t="shared" si="64"/>
        <v>0.89460920852029358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2775</v>
      </c>
      <c r="G134" s="120">
        <f t="shared" si="65"/>
        <v>50449.5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3220.4034114390847</v>
      </c>
      <c r="N134" s="105">
        <f t="shared" si="59"/>
        <v>1073.4678038130282</v>
      </c>
      <c r="O134" s="122">
        <f t="shared" si="60"/>
        <v>0</v>
      </c>
      <c r="P134" s="123">
        <f t="shared" si="61"/>
        <v>-126.53219618697176</v>
      </c>
      <c r="Q134" s="124">
        <f t="shared" si="62"/>
        <v>0.89455650317752355</v>
      </c>
      <c r="R134" s="322"/>
      <c r="S134" s="46">
        <v>0.99374999999999947</v>
      </c>
      <c r="T134" s="119">
        <v>1.0296527777777773</v>
      </c>
      <c r="U134" s="110">
        <v>14.933333333333323</v>
      </c>
      <c r="V134" s="111">
        <v>51.701597200084016</v>
      </c>
      <c r="W134" s="125"/>
      <c r="X134" s="126"/>
      <c r="Y134" s="331"/>
      <c r="Z134" s="332"/>
      <c r="AA134" s="171">
        <f t="shared" si="63"/>
        <v>-379.59658856091528</v>
      </c>
      <c r="AB134" s="109">
        <f t="shared" si="64"/>
        <v>0.89455650317752355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6443</v>
      </c>
      <c r="G135" s="120">
        <f t="shared" si="65"/>
        <v>107340.38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3222.10787235199</v>
      </c>
      <c r="N135" s="105">
        <f t="shared" si="59"/>
        <v>644.42157447039801</v>
      </c>
      <c r="O135" s="122">
        <f t="shared" si="60"/>
        <v>0</v>
      </c>
      <c r="P135" s="123">
        <f t="shared" si="61"/>
        <v>-75.578425529601986</v>
      </c>
      <c r="Q135" s="124">
        <f t="shared" si="62"/>
        <v>0.8950299645422195</v>
      </c>
      <c r="R135" s="322"/>
      <c r="S135" s="46">
        <v>1.0395833333333329</v>
      </c>
      <c r="T135" s="119">
        <v>1.122893518518518</v>
      </c>
      <c r="U135" s="110">
        <v>15</v>
      </c>
      <c r="V135" s="111">
        <v>119.97736119176372</v>
      </c>
      <c r="W135" s="125"/>
      <c r="X135" s="126"/>
      <c r="Y135" s="331"/>
      <c r="Z135" s="332"/>
      <c r="AA135" s="171">
        <f t="shared" si="63"/>
        <v>-377.89212764801005</v>
      </c>
      <c r="AB135" s="109">
        <f t="shared" si="64"/>
        <v>0.89502996454221939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3220.5895157624923</v>
      </c>
      <c r="N140" s="137">
        <f>M140/L140</f>
        <v>772.94148378299815</v>
      </c>
      <c r="O140" s="138">
        <f>L140-I140</f>
        <v>0</v>
      </c>
      <c r="P140" s="139">
        <f>N140-K140</f>
        <v>-91.058516217001738</v>
      </c>
      <c r="Q140" s="140">
        <f>N140/K140</f>
        <v>0.89460819882291465</v>
      </c>
      <c r="R140" s="323"/>
      <c r="S140" s="141">
        <v>0.74027777777777781</v>
      </c>
      <c r="T140" s="142">
        <v>1.122893518518518</v>
      </c>
      <c r="U140" s="143"/>
      <c r="V140" s="165"/>
      <c r="W140" s="166"/>
      <c r="X140" s="137"/>
      <c r="Y140" s="353"/>
      <c r="Z140" s="354"/>
      <c r="AA140" s="173">
        <f>M140-J140</f>
        <v>-379.41048423750772</v>
      </c>
      <c r="AB140" s="140">
        <f>M140/J140</f>
        <v>0.89460819882291454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29" priority="1" operator="greaterThan">
      <formula>0</formula>
    </cfRule>
  </conditionalFormatting>
  <conditionalFormatting sqref="P5:P140 AA5:AA140">
    <cfRule type="cellIs" dxfId="228" priority="4" operator="lessThan">
      <formula>0</formula>
    </cfRule>
  </conditionalFormatting>
  <conditionalFormatting sqref="Q5:Q140 AB5:AB140">
    <cfRule type="cellIs" dxfId="227" priority="2" operator="greaterThan">
      <formula>1</formula>
    </cfRule>
    <cfRule type="cellIs" dxfId="226" priority="3" operator="lessThan">
      <formula>0.8</formula>
    </cfRule>
  </conditionalFormatting>
  <conditionalFormatting sqref="AC5:AC6 R5:R140 AC73:AC78">
    <cfRule type="cellIs" dxfId="225" priority="5" operator="lessThan">
      <formula>0.8</formula>
    </cfRule>
  </conditionalFormatting>
  <conditionalFormatting sqref="AC12:AC20">
    <cfRule type="cellIs" dxfId="224" priority="12" operator="lessThan">
      <formula>0.8</formula>
    </cfRule>
  </conditionalFormatting>
  <conditionalFormatting sqref="AC22">
    <cfRule type="cellIs" dxfId="223" priority="11" operator="lessThan">
      <formula>0.8</formula>
    </cfRule>
  </conditionalFormatting>
  <conditionalFormatting sqref="AC39">
    <cfRule type="cellIs" dxfId="222" priority="7" operator="lessThan">
      <formula>0.8</formula>
    </cfRule>
  </conditionalFormatting>
  <conditionalFormatting sqref="AC56:AC61">
    <cfRule type="cellIs" dxfId="221" priority="6" operator="lessThan">
      <formula>0.8</formula>
    </cfRule>
  </conditionalFormatting>
  <conditionalFormatting sqref="AC90">
    <cfRule type="cellIs" dxfId="220" priority="10" operator="lessThan">
      <formula>0.8</formula>
    </cfRule>
  </conditionalFormatting>
  <conditionalFormatting sqref="AC107">
    <cfRule type="cellIs" dxfId="219" priority="9" operator="lessThan">
      <formula>0.8</formula>
    </cfRule>
  </conditionalFormatting>
  <conditionalFormatting sqref="AC124:AC129">
    <cfRule type="cellIs" dxfId="218" priority="8" operator="lessThan">
      <formula>0.8</formula>
    </cfRule>
  </conditionalFormatting>
  <dataValidations count="1">
    <dataValidation type="list" allowBlank="1" showInputMessage="1" showErrorMessage="1" sqref="Y5:Z140" xr:uid="{488BF31D-5327-4928-A0B0-D59AC0B73622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4D60-06AF-4BB9-8117-C2C1404A48CD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N41" sqref="N41"/>
      <selection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92976</v>
      </c>
      <c r="E1" s="87" t="s">
        <v>4</v>
      </c>
      <c r="F1" s="88">
        <f>SUM(G5:G140)</f>
        <v>4140768.9000000018</v>
      </c>
      <c r="G1" s="89" t="s">
        <v>85</v>
      </c>
      <c r="H1" s="90">
        <f>L21+L38+L55+L72+L89+L106+L123+L140</f>
        <v>137.14285714285717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46244</v>
      </c>
      <c r="B2" s="294"/>
      <c r="C2" s="91" t="s">
        <v>41</v>
      </c>
      <c r="D2" s="92">
        <f>AVERAGE(N21,N38,N55,N72,N89,N106,N123,N140)</f>
        <v>201.21473878884922</v>
      </c>
      <c r="E2" s="92" t="s">
        <v>92</v>
      </c>
      <c r="F2" s="93">
        <f>F1/D1</f>
        <v>44.535889907072814</v>
      </c>
      <c r="G2" s="94" t="s">
        <v>93</v>
      </c>
      <c r="H2" s="95">
        <f>COUNT(H5:H140)</f>
        <v>1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8.7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3603</v>
      </c>
      <c r="G5" s="147">
        <f t="shared" ref="G5:G8" si="0">E5*F5</f>
        <v>70979.099999999991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1083.2072881768488</v>
      </c>
      <c r="N5" s="151">
        <f>M5/L5</f>
        <v>83.323637552065293</v>
      </c>
      <c r="O5" s="153">
        <f>L5-I5</f>
        <v>0</v>
      </c>
      <c r="P5" s="154">
        <f>N5-K5</f>
        <v>-8.9840547556270138</v>
      </c>
      <c r="Q5" s="155">
        <f>N5/K5</f>
        <v>0.90267274014737398</v>
      </c>
      <c r="R5" s="321">
        <f>Q21</f>
        <v>0.90217973393150241</v>
      </c>
      <c r="S5" s="156">
        <v>0.20833333333333334</v>
      </c>
      <c r="T5" s="157">
        <v>0.34692129629629631</v>
      </c>
      <c r="U5" s="158"/>
      <c r="V5" s="159">
        <v>199.57398953976164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-116.79271182315119</v>
      </c>
      <c r="AF5" s="131">
        <f>M5/J5</f>
        <v>0.90267274014737398</v>
      </c>
      <c r="AG5" s="367">
        <f>AF21</f>
        <v>0.90217973393150264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4649</v>
      </c>
      <c r="G6" s="102">
        <f t="shared" si="0"/>
        <v>262343.07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1804.9548219448354</v>
      </c>
      <c r="N6" s="105">
        <f>M6/L6</f>
        <v>75.206450914368148</v>
      </c>
      <c r="O6" s="107">
        <f>L6-I6</f>
        <v>0</v>
      </c>
      <c r="P6" s="108">
        <f>N6-K6</f>
        <v>-8.1268824189651809</v>
      </c>
      <c r="Q6" s="109">
        <f>N6/K6</f>
        <v>0.90247741097241785</v>
      </c>
      <c r="R6" s="322"/>
      <c r="S6" s="46">
        <v>0.35069444444444442</v>
      </c>
      <c r="T6" s="47">
        <v>0.45800925925925923</v>
      </c>
      <c r="U6" s="110">
        <v>5.4333333333332767</v>
      </c>
      <c r="V6" s="111">
        <v>154.54126419598839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-195.04517805516457</v>
      </c>
      <c r="AF6" s="109">
        <f>M6/J6</f>
        <v>0.90247741097241774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1047</v>
      </c>
      <c r="G7" s="102">
        <f t="shared" si="0"/>
        <v>80985.45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1803.4216040393492</v>
      </c>
      <c r="N7" s="105">
        <f>M7/L7</f>
        <v>72.136864161573968</v>
      </c>
      <c r="O7" s="107">
        <f>L7-I7</f>
        <v>0</v>
      </c>
      <c r="P7" s="108">
        <f>N7-K7</f>
        <v>-7.8631358384260324</v>
      </c>
      <c r="Q7" s="109">
        <f>N7/K7</f>
        <v>0.90171080201967457</v>
      </c>
      <c r="R7" s="322"/>
      <c r="S7" s="46">
        <v>0.46111111111111108</v>
      </c>
      <c r="T7" s="47">
        <v>0.48530092592592589</v>
      </c>
      <c r="U7" s="110">
        <v>5</v>
      </c>
      <c r="V7" s="111">
        <v>34.833784767407785</v>
      </c>
      <c r="W7" s="112">
        <v>0.48530092592592589</v>
      </c>
      <c r="X7" s="115">
        <v>0.52361111111111103</v>
      </c>
      <c r="Y7" s="12"/>
      <c r="Z7" s="197"/>
      <c r="AA7" s="331"/>
      <c r="AB7" s="332"/>
      <c r="AC7" s="12"/>
      <c r="AD7" s="197"/>
      <c r="AE7" s="116">
        <f>M7-J7</f>
        <v>-196.57839596065082</v>
      </c>
      <c r="AF7" s="109">
        <f>M7/J7</f>
        <v>0.90171080201967457</v>
      </c>
      <c r="AG7" s="368"/>
    </row>
    <row r="8" spans="1:33" ht="15.75" customHeight="1">
      <c r="A8" s="317"/>
      <c r="B8" s="99" t="s">
        <v>188</v>
      </c>
      <c r="C8" s="370" t="s">
        <v>190</v>
      </c>
      <c r="D8" s="370"/>
      <c r="E8" s="100">
        <v>59.52</v>
      </c>
      <c r="F8" s="101">
        <v>5232</v>
      </c>
      <c r="G8" s="102">
        <f t="shared" si="0"/>
        <v>311408.64000000001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1804.1103701457846</v>
      </c>
      <c r="N8" s="105">
        <f>M8/L8</f>
        <v>75.17126542274103</v>
      </c>
      <c r="O8" s="107">
        <f>L8-I8</f>
        <v>0</v>
      </c>
      <c r="P8" s="108">
        <f>N8-K8</f>
        <v>-8.1620679105922989</v>
      </c>
      <c r="Q8" s="109">
        <f>N8/K8</f>
        <v>0.9020551850728924</v>
      </c>
      <c r="R8" s="322"/>
      <c r="S8" s="46">
        <v>0.52361111111111103</v>
      </c>
      <c r="T8" s="47">
        <v>0.64444444444444438</v>
      </c>
      <c r="U8" s="110">
        <v>55.1666666666666</v>
      </c>
      <c r="V8" s="111">
        <v>174.00265814925342</v>
      </c>
      <c r="W8" s="112"/>
      <c r="X8" s="115"/>
      <c r="Y8" s="12"/>
      <c r="Z8" s="197"/>
      <c r="AA8" s="331"/>
      <c r="AB8" s="332"/>
      <c r="AC8" s="12"/>
      <c r="AD8" s="197"/>
      <c r="AE8" s="116">
        <f>M8-J8</f>
        <v>-195.8896298542154</v>
      </c>
      <c r="AF8" s="109">
        <f>M8/J8</f>
        <v>0.90205518507289228</v>
      </c>
      <c r="AG8" s="368"/>
    </row>
    <row r="9" spans="1:33" ht="15.75" customHeight="1">
      <c r="A9" s="317"/>
      <c r="B9" s="99"/>
      <c r="C9" s="370"/>
      <c r="D9" s="370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22"/>
      <c r="S9" s="46"/>
      <c r="T9" s="47"/>
      <c r="U9" s="110"/>
      <c r="V9" s="111"/>
      <c r="W9" s="112"/>
      <c r="X9" s="115"/>
      <c r="Y9" s="12"/>
      <c r="Z9" s="197"/>
      <c r="AA9" s="331"/>
      <c r="AB9" s="332"/>
      <c r="AC9" s="12"/>
      <c r="AD9" s="197"/>
      <c r="AE9" s="116"/>
      <c r="AF9" s="109"/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1623.9235210767047</v>
      </c>
      <c r="N21" s="137">
        <f t="shared" ref="N21:N27" si="5">M21/L21</f>
        <v>75.531326561707189</v>
      </c>
      <c r="O21" s="138">
        <f t="shared" ref="O21:O27" si="6">L21-I21</f>
        <v>0</v>
      </c>
      <c r="P21" s="139">
        <f t="shared" ref="P21:P27" si="7">N21-K21</f>
        <v>-8.189603670850957</v>
      </c>
      <c r="Q21" s="140">
        <f t="shared" ref="Q21:Q27" si="8">N21/K21</f>
        <v>0.90217973393150241</v>
      </c>
      <c r="R21" s="323"/>
      <c r="S21" s="141">
        <v>0.20833333333333334</v>
      </c>
      <c r="T21" s="142">
        <v>0.64444444444444438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7" si="9">M21-J21</f>
        <v>-176.07647892329533</v>
      </c>
      <c r="AF21" s="140">
        <f t="shared" ref="AF21:AF27" si="10">M21/J21</f>
        <v>0.90217973393150264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2647</v>
      </c>
      <c r="G22" s="147">
        <f t="shared" ref="G22:G27" si="11">E22*F22</f>
        <v>96483.150000000009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1892.2283422374967</v>
      </c>
      <c r="N22" s="151">
        <f t="shared" si="5"/>
        <v>94.611417111874829</v>
      </c>
      <c r="O22" s="153">
        <f t="shared" si="6"/>
        <v>0</v>
      </c>
      <c r="P22" s="154">
        <f t="shared" si="7"/>
        <v>-10.388582888125171</v>
      </c>
      <c r="Q22" s="155">
        <f t="shared" si="8"/>
        <v>0.90106111535118882</v>
      </c>
      <c r="R22" s="321">
        <f>Q38</f>
        <v>0.90307234799728464</v>
      </c>
      <c r="S22" s="156">
        <v>0.20833333333333334</v>
      </c>
      <c r="T22" s="157">
        <v>0.2666087962962963</v>
      </c>
      <c r="U22" s="158"/>
      <c r="V22" s="159">
        <v>83.932787843247638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-207.77165776250331</v>
      </c>
      <c r="AF22" s="155">
        <f t="shared" si="10"/>
        <v>0.90106111535118893</v>
      </c>
      <c r="AG22" s="375">
        <f>AF38</f>
        <v>0.91099403526041878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1771</v>
      </c>
      <c r="G23" s="102">
        <f t="shared" si="11"/>
        <v>56176.119999999995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1804.8275142827247</v>
      </c>
      <c r="N23" s="105">
        <f t="shared" si="5"/>
        <v>82.0376142855784</v>
      </c>
      <c r="O23" s="107">
        <f t="shared" si="6"/>
        <v>0</v>
      </c>
      <c r="P23" s="108">
        <f t="shared" si="7"/>
        <v>-8.8714766235125069</v>
      </c>
      <c r="Q23" s="109">
        <f t="shared" si="8"/>
        <v>0.9024137571413624</v>
      </c>
      <c r="R23" s="322"/>
      <c r="S23" s="46">
        <v>0.26944444444444443</v>
      </c>
      <c r="T23" s="47">
        <v>0.31032407407407403</v>
      </c>
      <c r="U23" s="110">
        <v>5</v>
      </c>
      <c r="V23" s="111">
        <v>58.875432227788203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-195.17248571727532</v>
      </c>
      <c r="AF23" s="109">
        <f t="shared" si="10"/>
        <v>0.90241375714136229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1946</v>
      </c>
      <c r="G24" s="102">
        <f t="shared" si="11"/>
        <v>67701.34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1808.1279954925196</v>
      </c>
      <c r="N24" s="105">
        <f t="shared" si="5"/>
        <v>164.37527231750178</v>
      </c>
      <c r="O24" s="107">
        <f t="shared" si="6"/>
        <v>0</v>
      </c>
      <c r="P24" s="108">
        <f t="shared" si="7"/>
        <v>-17.442909500680031</v>
      </c>
      <c r="Q24" s="109">
        <f t="shared" si="8"/>
        <v>0.90406399774625978</v>
      </c>
      <c r="R24" s="322"/>
      <c r="S24" s="46">
        <v>0.31388888888888888</v>
      </c>
      <c r="T24" s="47">
        <v>0.35872685185185182</v>
      </c>
      <c r="U24" s="110">
        <v>5.1333333333333897</v>
      </c>
      <c r="V24" s="111">
        <v>64.575074491999942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-191.87200450748037</v>
      </c>
      <c r="AF24" s="109">
        <f t="shared" si="10"/>
        <v>0.90406399774625978</v>
      </c>
      <c r="AG24" s="368"/>
    </row>
    <row r="25" spans="1:33" ht="15.75" customHeight="1">
      <c r="A25" s="356"/>
      <c r="B25" s="162" t="s">
        <v>184</v>
      </c>
      <c r="C25" s="329" t="s">
        <v>196</v>
      </c>
      <c r="D25" s="330"/>
      <c r="E25" s="100">
        <v>51.44</v>
      </c>
      <c r="F25" s="110">
        <v>1833</v>
      </c>
      <c r="G25" s="102">
        <f t="shared" si="11"/>
        <v>94289.51999999999</v>
      </c>
      <c r="H25" s="26"/>
      <c r="I25" s="106">
        <v>19</v>
      </c>
      <c r="J25" s="104">
        <v>2000</v>
      </c>
      <c r="K25" s="105">
        <f t="shared" si="1"/>
        <v>105.26315789473684</v>
      </c>
      <c r="L25" s="106">
        <v>19</v>
      </c>
      <c r="M25" s="104">
        <f t="shared" si="12"/>
        <v>1805.1709154418086</v>
      </c>
      <c r="N25" s="105">
        <f t="shared" si="5"/>
        <v>95.008995549568866</v>
      </c>
      <c r="O25" s="107">
        <f t="shared" si="6"/>
        <v>0</v>
      </c>
      <c r="P25" s="108">
        <f t="shared" si="7"/>
        <v>-10.25416234516797</v>
      </c>
      <c r="Q25" s="109">
        <f t="shared" si="8"/>
        <v>0.90258545772090426</v>
      </c>
      <c r="R25" s="322"/>
      <c r="S25" s="46">
        <v>0.36249999999999999</v>
      </c>
      <c r="T25" s="47">
        <v>0.4048032407407407</v>
      </c>
      <c r="U25" s="110">
        <v>5.4333333333333567</v>
      </c>
      <c r="V25" s="111">
        <v>60.924978936458672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-194.82908455819143</v>
      </c>
      <c r="AF25" s="109">
        <f t="shared" si="10"/>
        <v>0.90258545772090426</v>
      </c>
      <c r="AG25" s="368"/>
    </row>
    <row r="26" spans="1:33" ht="15.75" customHeight="1">
      <c r="A26" s="357"/>
      <c r="B26" s="162" t="s">
        <v>186</v>
      </c>
      <c r="C26" s="329" t="s">
        <v>197</v>
      </c>
      <c r="D26" s="330"/>
      <c r="E26" s="100">
        <v>43.28</v>
      </c>
      <c r="F26" s="110">
        <v>2626</v>
      </c>
      <c r="G26" s="102">
        <f t="shared" si="11"/>
        <v>113653.28</v>
      </c>
      <c r="H26" s="13"/>
      <c r="I26" s="117">
        <v>21</v>
      </c>
      <c r="J26" s="104">
        <v>1800</v>
      </c>
      <c r="K26" s="105">
        <f t="shared" si="1"/>
        <v>85.714285714285708</v>
      </c>
      <c r="L26" s="106">
        <v>21</v>
      </c>
      <c r="M26" s="104">
        <f t="shared" si="12"/>
        <v>1623.5249246155488</v>
      </c>
      <c r="N26" s="105">
        <f t="shared" si="5"/>
        <v>77.310710695978514</v>
      </c>
      <c r="O26" s="107">
        <f t="shared" si="6"/>
        <v>0</v>
      </c>
      <c r="P26" s="108">
        <f t="shared" si="7"/>
        <v>-8.403575018307194</v>
      </c>
      <c r="Q26" s="109">
        <f t="shared" si="8"/>
        <v>0.90195829145308271</v>
      </c>
      <c r="R26" s="322"/>
      <c r="S26" s="46">
        <v>0.40833333333333333</v>
      </c>
      <c r="T26" s="47">
        <v>0.47571759259259261</v>
      </c>
      <c r="U26" s="110">
        <v>5.0833333333333819</v>
      </c>
      <c r="V26" s="111">
        <v>97.048094310785061</v>
      </c>
      <c r="W26" s="112">
        <v>0.47571759259259261</v>
      </c>
      <c r="X26" s="115">
        <v>0.51458333333333328</v>
      </c>
      <c r="Y26" s="12"/>
      <c r="Z26" s="197"/>
      <c r="AA26" s="331"/>
      <c r="AB26" s="332"/>
      <c r="AC26" s="12"/>
      <c r="AD26" s="197"/>
      <c r="AE26" s="116">
        <f t="shared" si="9"/>
        <v>-176.4750753844512</v>
      </c>
      <c r="AF26" s="109">
        <f t="shared" si="10"/>
        <v>0.90195829145308271</v>
      </c>
      <c r="AG26" s="368"/>
    </row>
    <row r="27" spans="1:33" ht="15.75" customHeight="1">
      <c r="A27" s="357"/>
      <c r="B27" s="162" t="s">
        <v>198</v>
      </c>
      <c r="C27" s="329" t="s">
        <v>199</v>
      </c>
      <c r="D27" s="330"/>
      <c r="E27" s="100">
        <v>29.97</v>
      </c>
      <c r="F27" s="110">
        <v>2383</v>
      </c>
      <c r="G27" s="120">
        <f t="shared" si="11"/>
        <v>71418.509999999995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22"/>
      <c r="S27" s="46">
        <v>0.51458333333333328</v>
      </c>
      <c r="T27" s="119">
        <v>0.55238425925925916</v>
      </c>
      <c r="U27" s="110">
        <v>55.966666666666569</v>
      </c>
      <c r="V27" s="111">
        <v>54.434674378592092</v>
      </c>
      <c r="W27" s="112"/>
      <c r="X27" s="115"/>
      <c r="Y27" s="12"/>
      <c r="Z27" s="197"/>
      <c r="AA27" s="331"/>
      <c r="AB27" s="332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68"/>
    </row>
    <row r="28" spans="1:33" ht="15.75" customHeight="1">
      <c r="A28" s="357"/>
      <c r="B28" s="162"/>
      <c r="C28" s="329"/>
      <c r="D28" s="330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12"/>
      <c r="Z28" s="197"/>
      <c r="AA28" s="331"/>
      <c r="AB28" s="332"/>
      <c r="AC28" s="12"/>
      <c r="AD28" s="197"/>
      <c r="AE28" s="116"/>
      <c r="AF28" s="109"/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19</v>
      </c>
      <c r="J38" s="136">
        <f t="shared" si="13"/>
        <v>2115</v>
      </c>
      <c r="K38" s="137">
        <f t="shared" ref="K38" si="14">J38/I38</f>
        <v>111.31578947368421</v>
      </c>
      <c r="L38" s="135">
        <f t="shared" ref="L38:M38" si="15">AVERAGE(L22:L37)</f>
        <v>19.166666666666668</v>
      </c>
      <c r="M38" s="136">
        <f t="shared" si="15"/>
        <v>1926.7523845757858</v>
      </c>
      <c r="N38" s="137">
        <f t="shared" ref="N38:N45" si="16">M38/L38</f>
        <v>100.52621136917142</v>
      </c>
      <c r="O38" s="138">
        <f t="shared" ref="O38:O45" si="17">L38-I38</f>
        <v>0.16666666666666785</v>
      </c>
      <c r="P38" s="139">
        <f t="shared" ref="P38:P45" si="18">N38-K38</f>
        <v>-10.789578104512785</v>
      </c>
      <c r="Q38" s="140">
        <f t="shared" ref="Q38:Q45" si="19">N38/K38</f>
        <v>0.90307234799728464</v>
      </c>
      <c r="R38" s="323"/>
      <c r="S38" s="141">
        <v>0.20833333333333334</v>
      </c>
      <c r="T38" s="142">
        <v>0.55238425925925916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5" si="20">M38-J38</f>
        <v>-188.24761542421425</v>
      </c>
      <c r="AF38" s="140">
        <f t="shared" ref="AF38:AF45" si="21">M38/J38</f>
        <v>0.91099403526041878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3151</v>
      </c>
      <c r="G39" s="147">
        <f t="shared" ref="G39:G45" si="22">E39*F39</f>
        <v>169397.75999999998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1802.7482139012247</v>
      </c>
      <c r="N39" s="151">
        <f t="shared" si="16"/>
        <v>90.137410695061234</v>
      </c>
      <c r="O39" s="153">
        <f t="shared" si="17"/>
        <v>0</v>
      </c>
      <c r="P39" s="154">
        <f t="shared" si="18"/>
        <v>-9.8625893049387656</v>
      </c>
      <c r="Q39" s="155">
        <f t="shared" si="19"/>
        <v>0.90137410695061237</v>
      </c>
      <c r="R39" s="321">
        <f>Q55</f>
        <v>0.90150079470310007</v>
      </c>
      <c r="S39" s="156">
        <v>0.16666666666666666</v>
      </c>
      <c r="T39" s="157">
        <v>0.23949074074074073</v>
      </c>
      <c r="U39" s="158"/>
      <c r="V39" s="159">
        <v>104.87321443013165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-197.25178609877526</v>
      </c>
      <c r="AF39" s="155">
        <f t="shared" si="21"/>
        <v>0.90137410695061237</v>
      </c>
      <c r="AG39" s="326">
        <f>AF55</f>
        <v>0.90150079470310007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3197</v>
      </c>
      <c r="G40" s="102">
        <f t="shared" si="22"/>
        <v>228745.34999999998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1802.8138067243449</v>
      </c>
      <c r="N40" s="105">
        <f t="shared" si="16"/>
        <v>81.946082123833861</v>
      </c>
      <c r="O40" s="107">
        <f t="shared" si="17"/>
        <v>0</v>
      </c>
      <c r="P40" s="108">
        <f t="shared" si="18"/>
        <v>-8.9630087852570455</v>
      </c>
      <c r="Q40" s="109">
        <f t="shared" si="19"/>
        <v>0.90140690336217255</v>
      </c>
      <c r="R40" s="322"/>
      <c r="S40" s="46">
        <v>0.24305555555555555</v>
      </c>
      <c r="T40" s="47">
        <v>0.31694444444444447</v>
      </c>
      <c r="U40" s="110">
        <v>5.1333333333333497</v>
      </c>
      <c r="V40" s="111">
        <v>106.40033889496931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-197.18619327565511</v>
      </c>
      <c r="AF40" s="109">
        <f t="shared" si="21"/>
        <v>0.90140690336217244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2540</v>
      </c>
      <c r="G41" s="102">
        <f t="shared" si="22"/>
        <v>162356.80000000002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1804.5665741879882</v>
      </c>
      <c r="N41" s="105">
        <f t="shared" si="16"/>
        <v>75.190273924499508</v>
      </c>
      <c r="O41" s="107">
        <f t="shared" si="17"/>
        <v>0</v>
      </c>
      <c r="P41" s="108">
        <f t="shared" si="18"/>
        <v>-8.1430594088338211</v>
      </c>
      <c r="Q41" s="109">
        <f t="shared" si="19"/>
        <v>0.90228328709399419</v>
      </c>
      <c r="R41" s="322"/>
      <c r="S41" s="46">
        <v>0.3208333333333333</v>
      </c>
      <c r="T41" s="47">
        <v>0.37947916666666665</v>
      </c>
      <c r="U41" s="110">
        <v>5.5999999999999162</v>
      </c>
      <c r="V41" s="111">
        <v>84.452412108196313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-195.43342581201182</v>
      </c>
      <c r="AF41" s="109">
        <f t="shared" si="21"/>
        <v>0.90228328709399408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1083</v>
      </c>
      <c r="G42" s="102">
        <f t="shared" si="22"/>
        <v>63539.61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1802.6615804078908</v>
      </c>
      <c r="N42" s="105">
        <f t="shared" si="16"/>
        <v>78.376590452516993</v>
      </c>
      <c r="O42" s="107">
        <f t="shared" si="17"/>
        <v>0</v>
      </c>
      <c r="P42" s="108">
        <f t="shared" si="18"/>
        <v>-8.5799312866134443</v>
      </c>
      <c r="Q42" s="109">
        <f t="shared" si="19"/>
        <v>0.90133079020394535</v>
      </c>
      <c r="R42" s="322"/>
      <c r="S42" s="46">
        <v>0.38263888888888886</v>
      </c>
      <c r="T42" s="47">
        <v>0.40766203703703702</v>
      </c>
      <c r="U42" s="110">
        <v>4.5499999999999918</v>
      </c>
      <c r="V42" s="111">
        <v>36.046699339593673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-197.33841959210918</v>
      </c>
      <c r="AF42" s="109">
        <f t="shared" si="21"/>
        <v>0.90133079020394546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3117</v>
      </c>
      <c r="G43" s="102">
        <f t="shared" si="22"/>
        <v>185586.18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1802.7796769384902</v>
      </c>
      <c r="N43" s="105">
        <f t="shared" si="16"/>
        <v>78.381725084282181</v>
      </c>
      <c r="O43" s="107">
        <f t="shared" si="17"/>
        <v>0</v>
      </c>
      <c r="P43" s="108">
        <f t="shared" si="18"/>
        <v>-8.5747966548482566</v>
      </c>
      <c r="Q43" s="109">
        <f t="shared" si="19"/>
        <v>0.90138983846924503</v>
      </c>
      <c r="R43" s="322"/>
      <c r="S43" s="46">
        <v>0.41111111111111109</v>
      </c>
      <c r="T43" s="47">
        <v>0.4831481481481481</v>
      </c>
      <c r="U43" s="110">
        <v>4.9666666666666703</v>
      </c>
      <c r="V43" s="111">
        <v>103.73979826397888</v>
      </c>
      <c r="W43" s="112">
        <v>0.4831481481481481</v>
      </c>
      <c r="X43" s="115">
        <v>0.52222222222222214</v>
      </c>
      <c r="Y43" s="12"/>
      <c r="Z43" s="197"/>
      <c r="AA43" s="331"/>
      <c r="AB43" s="332"/>
      <c r="AC43" s="12"/>
      <c r="AD43" s="197"/>
      <c r="AE43" s="116">
        <f t="shared" si="20"/>
        <v>-197.22032306150982</v>
      </c>
      <c r="AF43" s="109">
        <f t="shared" si="21"/>
        <v>0.90138983846924514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3178</v>
      </c>
      <c r="G44" s="120">
        <f t="shared" si="22"/>
        <v>194144.02000000002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1802.7796932755728</v>
      </c>
      <c r="N44" s="105">
        <f t="shared" si="16"/>
        <v>90.138984663778643</v>
      </c>
      <c r="O44" s="107">
        <f t="shared" si="17"/>
        <v>0</v>
      </c>
      <c r="P44" s="108">
        <f t="shared" si="18"/>
        <v>-9.8610153362213566</v>
      </c>
      <c r="Q44" s="109">
        <f t="shared" si="19"/>
        <v>0.90138984663778643</v>
      </c>
      <c r="R44" s="322"/>
      <c r="S44" s="46">
        <v>0.52222222222222214</v>
      </c>
      <c r="T44" s="119">
        <v>0.59567129629629623</v>
      </c>
      <c r="U44" s="110">
        <v>56.266666666666616</v>
      </c>
      <c r="V44" s="111">
        <v>105.76999547490058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-197.22030672442725</v>
      </c>
      <c r="AF44" s="109">
        <f t="shared" si="21"/>
        <v>0.90138984663778643</v>
      </c>
      <c r="AG44" s="327"/>
    </row>
    <row r="45" spans="1:33" ht="15.75" customHeight="1">
      <c r="A45" s="317"/>
      <c r="B45" s="162" t="s">
        <v>188</v>
      </c>
      <c r="C45" s="329" t="s">
        <v>204</v>
      </c>
      <c r="D45" s="330"/>
      <c r="E45" s="100">
        <v>58.67</v>
      </c>
      <c r="F45" s="101">
        <v>2780</v>
      </c>
      <c r="G45" s="120">
        <f t="shared" si="22"/>
        <v>163102.6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1802.6615804078904</v>
      </c>
      <c r="N45" s="105">
        <f t="shared" si="16"/>
        <v>78.376590452516979</v>
      </c>
      <c r="O45" s="122">
        <f t="shared" si="17"/>
        <v>0</v>
      </c>
      <c r="P45" s="123">
        <f t="shared" si="18"/>
        <v>-8.5799312866134585</v>
      </c>
      <c r="Q45" s="124">
        <f t="shared" si="19"/>
        <v>0.90133079020394524</v>
      </c>
      <c r="R45" s="322"/>
      <c r="S45" s="118">
        <v>0.59930555555555542</v>
      </c>
      <c r="T45" s="119">
        <v>0.66355324074074062</v>
      </c>
      <c r="U45" s="110">
        <v>5.2333333333332455</v>
      </c>
      <c r="V45" s="111">
        <v>92.529846873564566</v>
      </c>
      <c r="W45" s="119"/>
      <c r="X45" s="188"/>
      <c r="Y45" s="12"/>
      <c r="Z45" s="197"/>
      <c r="AA45" s="331"/>
      <c r="AB45" s="332"/>
      <c r="AC45" s="12"/>
      <c r="AD45" s="197"/>
      <c r="AE45" s="116">
        <f t="shared" si="20"/>
        <v>-197.33841959210963</v>
      </c>
      <c r="AF45" s="109">
        <f t="shared" si="21"/>
        <v>0.90133079020394513</v>
      </c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1803.0015894062001</v>
      </c>
      <c r="N55" s="137">
        <f t="shared" ref="N55:N63" si="27">M55/L55</f>
        <v>81.425878231247751</v>
      </c>
      <c r="O55" s="138">
        <f t="shared" ref="O55:O63" si="28">L55-I55</f>
        <v>0</v>
      </c>
      <c r="P55" s="139">
        <f t="shared" ref="P55:P63" si="29">N55-K55</f>
        <v>-8.8967024139135447</v>
      </c>
      <c r="Q55" s="140">
        <f t="shared" ref="Q55:Q63" si="30">N55/K55</f>
        <v>0.90150079470310007</v>
      </c>
      <c r="R55" s="323"/>
      <c r="S55" s="141">
        <v>0.16666666666666666</v>
      </c>
      <c r="T55" s="142">
        <v>0.66355324074074062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3" si="31">M55-J55</f>
        <v>-196.99841059379992</v>
      </c>
      <c r="AF55" s="140">
        <f t="shared" ref="AF55:AF63" si="32">M55/J55</f>
        <v>0.90150079470310007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2240</v>
      </c>
      <c r="G56" s="147">
        <f t="shared" ref="G56:G63" si="33">E56*F56</f>
        <v>64646.400000000001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3193.4287377304613</v>
      </c>
      <c r="N56" s="151">
        <f t="shared" si="27"/>
        <v>168.07519672265585</v>
      </c>
      <c r="O56" s="153">
        <f t="shared" si="28"/>
        <v>0</v>
      </c>
      <c r="P56" s="154">
        <f t="shared" si="29"/>
        <v>-21.398487487870483</v>
      </c>
      <c r="Q56" s="155">
        <f t="shared" si="30"/>
        <v>0.88706353825846129</v>
      </c>
      <c r="R56" s="321">
        <f>Q72</f>
        <v>0.89978070650259323</v>
      </c>
      <c r="S56" s="156">
        <v>0.16666666666666666</v>
      </c>
      <c r="T56" s="157">
        <v>0.19589120370370369</v>
      </c>
      <c r="U56" s="158"/>
      <c r="V56" s="159">
        <v>42.086425293309276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-406.57126226953869</v>
      </c>
      <c r="AF56" s="155">
        <f t="shared" si="32"/>
        <v>0.88706353825846151</v>
      </c>
      <c r="AG56" s="326">
        <f>AF72</f>
        <v>0.89978070650259312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2851</v>
      </c>
      <c r="G57" s="102">
        <f t="shared" si="33"/>
        <v>102322.39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3192.2709823780729</v>
      </c>
      <c r="N57" s="105">
        <f t="shared" si="27"/>
        <v>168.01426223042489</v>
      </c>
      <c r="O57" s="107">
        <f t="shared" si="28"/>
        <v>0</v>
      </c>
      <c r="P57" s="108">
        <f t="shared" si="29"/>
        <v>-21.459421980101439</v>
      </c>
      <c r="Q57" s="109">
        <f t="shared" si="30"/>
        <v>0.88674193954946467</v>
      </c>
      <c r="R57" s="322"/>
      <c r="S57" s="46">
        <v>0.19930555555555554</v>
      </c>
      <c r="T57" s="47">
        <v>0.23651620370370369</v>
      </c>
      <c r="U57" s="110">
        <v>4.9166666666666625</v>
      </c>
      <c r="V57" s="111">
        <v>53.585676449237198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-407.72901762192714</v>
      </c>
      <c r="AF57" s="109">
        <f t="shared" si="32"/>
        <v>0.88674193954946467</v>
      </c>
      <c r="AG57" s="327"/>
    </row>
    <row r="58" spans="1:33" ht="15.75" customHeight="1">
      <c r="A58" s="356"/>
      <c r="B58" s="99" t="s">
        <v>208</v>
      </c>
      <c r="C58" s="370" t="s">
        <v>211</v>
      </c>
      <c r="D58" s="370"/>
      <c r="E58" s="100">
        <v>36.729999999999997</v>
      </c>
      <c r="F58" s="101">
        <v>2206</v>
      </c>
      <c r="G58" s="102">
        <f t="shared" si="33"/>
        <v>81026.37999999999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3194.4504638008229</v>
      </c>
      <c r="N58" s="105">
        <f t="shared" si="27"/>
        <v>152.11668875242015</v>
      </c>
      <c r="O58" s="107">
        <f t="shared" si="28"/>
        <v>0</v>
      </c>
      <c r="P58" s="108">
        <f t="shared" si="29"/>
        <v>-19.311882676151271</v>
      </c>
      <c r="Q58" s="109">
        <f t="shared" si="30"/>
        <v>0.88734735105578422</v>
      </c>
      <c r="R58" s="322"/>
      <c r="S58" s="46">
        <v>0.24027777777777778</v>
      </c>
      <c r="T58" s="47">
        <v>0.26905092592592594</v>
      </c>
      <c r="U58" s="110">
        <v>5.4166666666667007</v>
      </c>
      <c r="V58" s="111">
        <v>41.434356707010991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-405.54953619917706</v>
      </c>
      <c r="AF58" s="109">
        <f t="shared" si="32"/>
        <v>0.88734735105578411</v>
      </c>
      <c r="AG58" s="327"/>
    </row>
    <row r="59" spans="1:33" ht="15.75" customHeight="1">
      <c r="A59" s="356"/>
      <c r="B59" s="99" t="s">
        <v>208</v>
      </c>
      <c r="C59" s="370" t="s">
        <v>212</v>
      </c>
      <c r="D59" s="370"/>
      <c r="E59" s="100">
        <v>43.96</v>
      </c>
      <c r="F59" s="101">
        <v>1721</v>
      </c>
      <c r="G59" s="102">
        <f t="shared" si="33"/>
        <v>75655.16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3269.1570040511479</v>
      </c>
      <c r="N59" s="105">
        <f t="shared" si="27"/>
        <v>136.21487516879782</v>
      </c>
      <c r="O59" s="107">
        <f t="shared" si="28"/>
        <v>0</v>
      </c>
      <c r="P59" s="108">
        <f t="shared" si="29"/>
        <v>-13.785124831202182</v>
      </c>
      <c r="Q59" s="109">
        <f t="shared" si="30"/>
        <v>0.90809916779198541</v>
      </c>
      <c r="R59" s="322"/>
      <c r="S59" s="46">
        <v>0.27291666666666664</v>
      </c>
      <c r="T59" s="47">
        <v>0.29484953703703703</v>
      </c>
      <c r="U59" s="110">
        <v>5.5666666666666043</v>
      </c>
      <c r="V59" s="111">
        <v>31.586124457173501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-330.84299594885215</v>
      </c>
      <c r="AF59" s="199">
        <f t="shared" si="32"/>
        <v>0.90809916779198552</v>
      </c>
      <c r="AG59" s="327"/>
    </row>
    <row r="60" spans="1:33" ht="15.75" customHeight="1">
      <c r="A60" s="357"/>
      <c r="B60" s="99" t="s">
        <v>208</v>
      </c>
      <c r="C60" s="370" t="s">
        <v>213</v>
      </c>
      <c r="D60" s="370"/>
      <c r="E60" s="100">
        <v>46.93</v>
      </c>
      <c r="F60" s="104">
        <v>1364</v>
      </c>
      <c r="G60" s="102">
        <f t="shared" si="33"/>
        <v>64012.52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3267.024286612349</v>
      </c>
      <c r="N60" s="105">
        <f t="shared" si="27"/>
        <v>136.12601194218121</v>
      </c>
      <c r="O60" s="107">
        <f t="shared" si="28"/>
        <v>0</v>
      </c>
      <c r="P60" s="108">
        <f t="shared" si="29"/>
        <v>-13.873988057818792</v>
      </c>
      <c r="Q60" s="109">
        <f t="shared" si="30"/>
        <v>0.90750674628120809</v>
      </c>
      <c r="R60" s="322"/>
      <c r="S60" s="46">
        <v>0.29861111111111105</v>
      </c>
      <c r="T60" s="47">
        <v>0.31600694444444438</v>
      </c>
      <c r="U60" s="110">
        <v>5.4166666666665808</v>
      </c>
      <c r="V60" s="111">
        <v>25.050318828471809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-332.97571338765101</v>
      </c>
      <c r="AF60" s="199">
        <f t="shared" si="32"/>
        <v>0.90750674628120809</v>
      </c>
      <c r="AG60" s="327"/>
    </row>
    <row r="61" spans="1:33" ht="15.75" customHeight="1">
      <c r="A61" s="357"/>
      <c r="B61" s="99" t="s">
        <v>208</v>
      </c>
      <c r="C61" s="370" t="s">
        <v>214</v>
      </c>
      <c r="D61" s="370"/>
      <c r="E61" s="100">
        <v>36.729999999999997</v>
      </c>
      <c r="F61" s="104">
        <v>3615</v>
      </c>
      <c r="G61" s="120">
        <f t="shared" si="33"/>
        <v>132778.94999999998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3261.8967104351832</v>
      </c>
      <c r="N61" s="105">
        <f t="shared" si="27"/>
        <v>163.09483552175917</v>
      </c>
      <c r="O61" s="107">
        <f t="shared" si="28"/>
        <v>0</v>
      </c>
      <c r="P61" s="108">
        <f t="shared" si="29"/>
        <v>-16.905164478240835</v>
      </c>
      <c r="Q61" s="109">
        <f t="shared" si="30"/>
        <v>0.90608241956532865</v>
      </c>
      <c r="R61" s="322"/>
      <c r="S61" s="46">
        <v>0.32013888888888881</v>
      </c>
      <c r="T61" s="119">
        <v>0.36630787037037027</v>
      </c>
      <c r="U61" s="110">
        <v>5.9499999999999709</v>
      </c>
      <c r="V61" s="111">
        <v>66.495054642935784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-338.10328956481681</v>
      </c>
      <c r="AF61" s="199">
        <f t="shared" si="32"/>
        <v>0.90608241956532865</v>
      </c>
      <c r="AG61" s="327"/>
    </row>
    <row r="62" spans="1:33" ht="15.75" customHeight="1">
      <c r="A62" s="357"/>
      <c r="B62" s="99" t="s">
        <v>208</v>
      </c>
      <c r="C62" s="370" t="s">
        <v>215</v>
      </c>
      <c r="D62" s="370"/>
      <c r="E62" s="100">
        <v>37.799999999999997</v>
      </c>
      <c r="F62" s="104">
        <v>6652</v>
      </c>
      <c r="G62" s="120">
        <f t="shared" si="33"/>
        <v>251445.59999999998</v>
      </c>
      <c r="H62" s="61"/>
      <c r="I62" s="103">
        <v>21</v>
      </c>
      <c r="J62" s="104">
        <v>3600</v>
      </c>
      <c r="K62" s="105">
        <f t="shared" si="35"/>
        <v>171.42857142857142</v>
      </c>
      <c r="L62" s="106">
        <v>21</v>
      </c>
      <c r="M62" s="104">
        <f t="shared" si="34"/>
        <v>3267.1320400560039</v>
      </c>
      <c r="N62" s="105">
        <f t="shared" si="27"/>
        <v>155.57771619314303</v>
      </c>
      <c r="O62" s="122">
        <f t="shared" si="28"/>
        <v>0</v>
      </c>
      <c r="P62" s="123">
        <f t="shared" si="29"/>
        <v>-15.850855235428384</v>
      </c>
      <c r="Q62" s="124">
        <f t="shared" si="30"/>
        <v>0.90753667779333447</v>
      </c>
      <c r="R62" s="322"/>
      <c r="S62" s="46">
        <v>0.36944444444444435</v>
      </c>
      <c r="T62" s="119">
        <v>0.45427083333333323</v>
      </c>
      <c r="U62" s="110">
        <v>4.5166666666666799</v>
      </c>
      <c r="V62" s="111">
        <v>122.16218845968601</v>
      </c>
      <c r="W62" s="112">
        <v>0.45427083333333323</v>
      </c>
      <c r="X62" s="115">
        <v>0.49305555555555547</v>
      </c>
      <c r="Y62" s="12"/>
      <c r="Z62" s="197"/>
      <c r="AA62" s="331"/>
      <c r="AB62" s="332"/>
      <c r="AC62" s="12"/>
      <c r="AD62" s="197"/>
      <c r="AE62" s="198">
        <f t="shared" si="31"/>
        <v>-332.86795994399608</v>
      </c>
      <c r="AF62" s="199">
        <f t="shared" si="32"/>
        <v>0.90753667779333447</v>
      </c>
      <c r="AG62" s="327"/>
    </row>
    <row r="63" spans="1:33" ht="15.75" customHeight="1">
      <c r="A63" s="357"/>
      <c r="B63" s="99" t="s">
        <v>208</v>
      </c>
      <c r="C63" s="370" t="s">
        <v>216</v>
      </c>
      <c r="D63" s="370"/>
      <c r="E63" s="100">
        <v>38.479999999999997</v>
      </c>
      <c r="F63" s="104">
        <v>5647</v>
      </c>
      <c r="G63" s="120">
        <f t="shared" si="33"/>
        <v>217296.55999999997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3268.3241222106408</v>
      </c>
      <c r="N63" s="105">
        <f t="shared" si="27"/>
        <v>163.41620611053204</v>
      </c>
      <c r="O63" s="122">
        <f t="shared" si="28"/>
        <v>0</v>
      </c>
      <c r="P63" s="123">
        <f t="shared" si="29"/>
        <v>-16.583793889467955</v>
      </c>
      <c r="Q63" s="124">
        <f t="shared" si="30"/>
        <v>0.90786781172517805</v>
      </c>
      <c r="R63" s="322"/>
      <c r="S63" s="46">
        <v>0.49305555555555547</v>
      </c>
      <c r="T63" s="119">
        <v>0.56504629629629621</v>
      </c>
      <c r="U63" s="110">
        <v>55.850000000000016</v>
      </c>
      <c r="V63" s="111">
        <v>103.66780873949176</v>
      </c>
      <c r="W63" s="112"/>
      <c r="X63" s="115"/>
      <c r="Y63" s="12"/>
      <c r="Z63" s="197"/>
      <c r="AA63" s="331"/>
      <c r="AB63" s="332"/>
      <c r="AC63" s="12"/>
      <c r="AD63" s="197"/>
      <c r="AE63" s="198">
        <f t="shared" si="31"/>
        <v>-331.67587778935922</v>
      </c>
      <c r="AF63" s="199">
        <f t="shared" si="32"/>
        <v>0.90786781172517794</v>
      </c>
      <c r="AG63" s="327"/>
    </row>
    <row r="64" spans="1:33" ht="15.75" customHeight="1">
      <c r="A64" s="357"/>
      <c r="B64" s="99"/>
      <c r="C64" s="370"/>
      <c r="D64" s="370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12"/>
      <c r="X64" s="115"/>
      <c r="Y64" s="12"/>
      <c r="Z64" s="197"/>
      <c r="AA64" s="331"/>
      <c r="AB64" s="332"/>
      <c r="AC64" s="12"/>
      <c r="AD64" s="197"/>
      <c r="AE64" s="198"/>
      <c r="AF64" s="199"/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</v>
      </c>
      <c r="J72" s="136">
        <f t="shared" si="36"/>
        <v>3600</v>
      </c>
      <c r="K72" s="137">
        <f t="shared" ref="K72:K75" si="37">J72/I72</f>
        <v>171.42857142857142</v>
      </c>
      <c r="L72" s="135">
        <f t="shared" ref="L72:M72" si="38">AVERAGE(L56:L71)</f>
        <v>21</v>
      </c>
      <c r="M72" s="136">
        <f t="shared" si="38"/>
        <v>3239.2105434093351</v>
      </c>
      <c r="N72" s="137">
        <f>M72/L72</f>
        <v>154.24812111473025</v>
      </c>
      <c r="O72" s="138">
        <f>L72-I72</f>
        <v>0</v>
      </c>
      <c r="P72" s="139">
        <f>N72-K72</f>
        <v>-17.180450313841163</v>
      </c>
      <c r="Q72" s="140">
        <f>N72/K72</f>
        <v>0.89978070650259323</v>
      </c>
      <c r="R72" s="323"/>
      <c r="S72" s="141">
        <v>0.16666666666666666</v>
      </c>
      <c r="T72" s="142">
        <v>0.56504629629629621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-360.78945659066494</v>
      </c>
      <c r="AF72" s="140">
        <f>M72/J72</f>
        <v>0.89978070650259312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2304</v>
      </c>
      <c r="G73" s="120">
        <f t="shared" ref="G73:G75" si="39">E73*F73</f>
        <v>54259.200000000004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2257.0793326791172</v>
      </c>
      <c r="N73" s="105">
        <f>M73/L73</f>
        <v>376.17988877985289</v>
      </c>
      <c r="O73" s="107">
        <f>L73-I73</f>
        <v>0</v>
      </c>
      <c r="P73" s="108">
        <f>N73-K73</f>
        <v>-40.486777886813798</v>
      </c>
      <c r="Q73" s="109">
        <f>N73/K73</f>
        <v>0.90283173307164688</v>
      </c>
      <c r="R73" s="321">
        <f>Q89</f>
        <v>0.85155474890598093</v>
      </c>
      <c r="S73" s="46">
        <v>0.38611111111111107</v>
      </c>
      <c r="T73" s="119">
        <v>0.42863425925925924</v>
      </c>
      <c r="U73" s="110">
        <v>5.7833333333333314</v>
      </c>
      <c r="V73" s="111">
        <v>61.247293348750546</v>
      </c>
      <c r="W73" s="112"/>
      <c r="X73" s="161"/>
      <c r="Y73" s="12"/>
      <c r="Z73" s="197"/>
      <c r="AA73" s="324"/>
      <c r="AB73" s="325"/>
      <c r="AC73" s="12"/>
      <c r="AD73" s="197"/>
      <c r="AE73" s="114">
        <f>M73-J73</f>
        <v>-242.92066732088279</v>
      </c>
      <c r="AF73" s="155">
        <f>M73/J73</f>
        <v>0.90283173307164688</v>
      </c>
      <c r="AG73" s="326">
        <f>AF89</f>
        <v>0.90477692071260485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887</v>
      </c>
      <c r="G74" s="120">
        <f t="shared" si="39"/>
        <v>23993.350000000002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2961.3145775921867</v>
      </c>
      <c r="N74" s="105">
        <f>M74/L74</f>
        <v>493.55242959869776</v>
      </c>
      <c r="O74" s="122">
        <f>L74-I74</f>
        <v>1</v>
      </c>
      <c r="P74" s="123">
        <f>N74-K74</f>
        <v>-161.04757040130227</v>
      </c>
      <c r="Q74" s="124">
        <f>N74/K74</f>
        <v>0.75397560280888742</v>
      </c>
      <c r="R74" s="322"/>
      <c r="S74" s="46">
        <v>0.43194444444444441</v>
      </c>
      <c r="T74" s="119">
        <v>0.44442129629629629</v>
      </c>
      <c r="U74" s="110">
        <v>4.7666666666666391</v>
      </c>
      <c r="V74" s="111">
        <v>17.971748223815052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-311.68542240781335</v>
      </c>
      <c r="AF74" s="109">
        <f>M74/J74</f>
        <v>0.904770723370665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1089</v>
      </c>
      <c r="G75" s="120">
        <f t="shared" si="39"/>
        <v>29457.45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2966.21811449492</v>
      </c>
      <c r="N75" s="105">
        <f>M75/L75</f>
        <v>593.24362289898397</v>
      </c>
      <c r="O75" s="122">
        <f>L75-I75</f>
        <v>0</v>
      </c>
      <c r="P75" s="123">
        <f>N75-K75</f>
        <v>-61.356377101016051</v>
      </c>
      <c r="Q75" s="124">
        <f>N75/K75</f>
        <v>0.90626890146499228</v>
      </c>
      <c r="R75" s="322"/>
      <c r="S75" s="46">
        <v>0.44791666666666663</v>
      </c>
      <c r="T75" s="119">
        <v>0.4632060185185185</v>
      </c>
      <c r="U75" s="110">
        <v>5.0333333333332941</v>
      </c>
      <c r="V75" s="111">
        <v>22.0280496841096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-306.78188550508003</v>
      </c>
      <c r="AF75" s="109">
        <f>M75/J75</f>
        <v>0.90626890146499239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2728.2040082554081</v>
      </c>
      <c r="N89" s="137">
        <f>M89/L89</f>
        <v>481.44776616271906</v>
      </c>
      <c r="O89" s="138">
        <f>L89-I89</f>
        <v>0.33333333333333393</v>
      </c>
      <c r="P89" s="139">
        <f>N89-K89</f>
        <v>-83.927233837281051</v>
      </c>
      <c r="Q89" s="140">
        <f>N89/K89</f>
        <v>0.85155474890598093</v>
      </c>
      <c r="R89" s="323"/>
      <c r="S89" s="141">
        <v>0.20833333333333334</v>
      </c>
      <c r="T89" s="142">
        <v>0.4632060185185185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-287.12932507792539</v>
      </c>
      <c r="AF89" s="140">
        <f>M89/J89</f>
        <v>0.90477692071260485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2471</v>
      </c>
      <c r="G90" s="147">
        <f t="shared" ref="G90:G91" si="43">E90*F90</f>
        <v>38325.21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3247.7931074640346</v>
      </c>
      <c r="N90" s="151">
        <f>M90/L90</f>
        <v>541.29885124400573</v>
      </c>
      <c r="O90" s="153">
        <f>L90-I90</f>
        <v>0</v>
      </c>
      <c r="P90" s="154">
        <f>N90-K90</f>
        <v>-58.701148755994268</v>
      </c>
      <c r="Q90" s="155">
        <f>N90/K90</f>
        <v>0.9021647520733429</v>
      </c>
      <c r="R90" s="321">
        <f>Q106</f>
        <v>0.9025583870847983</v>
      </c>
      <c r="S90" s="156">
        <v>0.25</v>
      </c>
      <c r="T90" s="157">
        <v>0.28168981481481481</v>
      </c>
      <c r="U90" s="158"/>
      <c r="V90" s="159">
        <v>45.649459523536414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-352.20689253596538</v>
      </c>
      <c r="AF90" s="155">
        <f>M90/J90</f>
        <v>0.9021647520733429</v>
      </c>
      <c r="AG90" s="326">
        <f>AF106</f>
        <v>0.90255838708479841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2619</v>
      </c>
      <c r="G91" s="102">
        <f t="shared" si="43"/>
        <v>39311.19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3250.6272795465143</v>
      </c>
      <c r="N91" s="105">
        <f>M91/L91</f>
        <v>541.77121325775238</v>
      </c>
      <c r="O91" s="107">
        <f>L91-I91</f>
        <v>0</v>
      </c>
      <c r="P91" s="108">
        <f>N91-K91</f>
        <v>-58.228786742247621</v>
      </c>
      <c r="Q91" s="109">
        <f>N91/K91</f>
        <v>0.90295202209625391</v>
      </c>
      <c r="R91" s="322"/>
      <c r="S91" s="46">
        <v>0.28541666666666665</v>
      </c>
      <c r="T91" s="47">
        <v>0.31898148148148148</v>
      </c>
      <c r="U91" s="110">
        <v>5.3666666666666529</v>
      </c>
      <c r="V91" s="111">
        <v>48.34143889357938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-349.37272045348573</v>
      </c>
      <c r="AF91" s="109">
        <f>M91/J91</f>
        <v>0.90295202209625391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3249.2101935052742</v>
      </c>
      <c r="N106" s="137">
        <f>M106/L106</f>
        <v>541.535032250879</v>
      </c>
      <c r="O106" s="138">
        <f>L106-I106</f>
        <v>0</v>
      </c>
      <c r="P106" s="139">
        <f>N106-K106</f>
        <v>-58.464967749121001</v>
      </c>
      <c r="Q106" s="140">
        <f>N106/K106</f>
        <v>0.9025583870847983</v>
      </c>
      <c r="R106" s="323"/>
      <c r="S106" s="141">
        <v>0.25</v>
      </c>
      <c r="T106" s="142">
        <v>0.31898148148148148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-350.78980649472578</v>
      </c>
      <c r="AF106" s="140">
        <f>M106/J106</f>
        <v>0.90255838708479841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1567</v>
      </c>
      <c r="G107" s="147">
        <f t="shared" ref="G107:G109" si="47">E107*F107</f>
        <v>91152.39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21">
        <f>Q123</f>
        <v>0.94954880952380927</v>
      </c>
      <c r="S107" s="156">
        <v>0.70833333333333337</v>
      </c>
      <c r="T107" s="157">
        <v>0.74453703703703711</v>
      </c>
      <c r="U107" s="158"/>
      <c r="V107" s="159">
        <v>52.146422628951747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-197</v>
      </c>
      <c r="AF107" s="155">
        <f>M107/J107</f>
        <v>0.90149999999999997</v>
      </c>
      <c r="AG107" s="326">
        <f>AF123</f>
        <v>0.90126666666666655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1447</v>
      </c>
      <c r="G108" s="102">
        <f t="shared" si="47"/>
        <v>73319.490000000005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1802.2</v>
      </c>
      <c r="N108" s="105">
        <f>M108/L108</f>
        <v>94.852631578947367</v>
      </c>
      <c r="O108" s="107">
        <f>L108-I108</f>
        <v>-1</v>
      </c>
      <c r="P108" s="108">
        <f>N108-K108</f>
        <v>-5.1473684210526329</v>
      </c>
      <c r="Q108" s="109">
        <f>N108/K108</f>
        <v>0.94852631578947366</v>
      </c>
      <c r="R108" s="322"/>
      <c r="S108" s="46">
        <v>0.74791666666666667</v>
      </c>
      <c r="T108" s="47">
        <v>0.78136574074074072</v>
      </c>
      <c r="U108" s="110">
        <v>4.8666666666665748</v>
      </c>
      <c r="V108" s="111">
        <v>48.17445344578848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-197.79999999999995</v>
      </c>
      <c r="AF108" s="109">
        <f>M108/J108</f>
        <v>0.90110000000000001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1687</v>
      </c>
      <c r="G109" s="102">
        <f t="shared" si="47"/>
        <v>96665.099999999991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1802.3999999999999</v>
      </c>
      <c r="N109" s="105">
        <f>M109/L109</f>
        <v>90.11999999999999</v>
      </c>
      <c r="O109" s="107">
        <f>L109-I109</f>
        <v>-1</v>
      </c>
      <c r="P109" s="108">
        <f>N109-K109</f>
        <v>-5.1180952380952505</v>
      </c>
      <c r="Q109" s="109">
        <f>N109/K109</f>
        <v>0.94625999999999988</v>
      </c>
      <c r="R109" s="322"/>
      <c r="S109" s="46">
        <v>0.78472222222222221</v>
      </c>
      <c r="T109" s="47">
        <v>0.82371527777777775</v>
      </c>
      <c r="U109" s="110">
        <v>4.8333333333333428</v>
      </c>
      <c r="V109" s="111">
        <v>56.158455392809586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-197.60000000000014</v>
      </c>
      <c r="AF109" s="109">
        <f>M109/J109</f>
        <v>0.90119999999999989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1802.5333333333331</v>
      </c>
      <c r="N123" s="137">
        <f>M123/L123</f>
        <v>96.564285714285688</v>
      </c>
      <c r="O123" s="138">
        <f>L123-I123</f>
        <v>-1</v>
      </c>
      <c r="P123" s="139">
        <f>N123-K123</f>
        <v>-5.1306295399515989</v>
      </c>
      <c r="Q123" s="140">
        <f>N123/K123</f>
        <v>0.94954880952380927</v>
      </c>
      <c r="R123" s="323"/>
      <c r="S123" s="141">
        <v>0.70833333333333337</v>
      </c>
      <c r="T123" s="142">
        <v>0.82371527777777775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-197.46666666666692</v>
      </c>
      <c r="AF123" s="140">
        <f>M123/J123</f>
        <v>0.90126666666666655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1980</v>
      </c>
      <c r="G124" s="147">
        <f t="shared" ref="G124:G126" si="54">E124*F124</f>
        <v>94248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1805.2014667902763</v>
      </c>
      <c r="N124" s="151">
        <f>M124/L124</f>
        <v>78.487020295229399</v>
      </c>
      <c r="O124" s="153">
        <f>L124-I124</f>
        <v>0</v>
      </c>
      <c r="P124" s="154">
        <f>N124-K124</f>
        <v>-8.4695014439010379</v>
      </c>
      <c r="Q124" s="155">
        <f>N124/K124</f>
        <v>0.90260073339513802</v>
      </c>
      <c r="R124" s="321">
        <f>Q140</f>
        <v>0.90205182241961346</v>
      </c>
      <c r="S124" s="156">
        <v>0.70833333333333337</v>
      </c>
      <c r="T124" s="157">
        <v>0.75402777777777785</v>
      </c>
      <c r="U124" s="158"/>
      <c r="V124" s="159">
        <v>65.809829088623204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-194.7985332097237</v>
      </c>
      <c r="AF124" s="155">
        <f>M124/J124</f>
        <v>0.90260073339513813</v>
      </c>
      <c r="AG124" s="375">
        <f>AF140</f>
        <v>0.90205182241961346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1609</v>
      </c>
      <c r="G125" s="102">
        <f t="shared" si="54"/>
        <v>91503.83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1804.0791094481863</v>
      </c>
      <c r="N125" s="105">
        <f>M125/L125</f>
        <v>78.438222149921145</v>
      </c>
      <c r="O125" s="107">
        <f>L125-I125</f>
        <v>0</v>
      </c>
      <c r="P125" s="108">
        <f>N125-K125</f>
        <v>-8.5182995892092919</v>
      </c>
      <c r="Q125" s="109">
        <f>N125/K125</f>
        <v>0.90203955472409314</v>
      </c>
      <c r="R125" s="322"/>
      <c r="S125" s="46">
        <v>0.75763888888888886</v>
      </c>
      <c r="T125" s="47">
        <v>0.79479166666666667</v>
      </c>
      <c r="U125" s="110">
        <v>5.1999999999998536</v>
      </c>
      <c r="V125" s="111">
        <v>53.51206579268505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-195.92089055181373</v>
      </c>
      <c r="AF125" s="109">
        <f>M125/J125</f>
        <v>0.90203955472409314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2237</v>
      </c>
      <c r="G126" s="102">
        <f t="shared" si="54"/>
        <v>127039.23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1803.0303582792185</v>
      </c>
      <c r="N126" s="105">
        <f>M126/L126</f>
        <v>78.392624273009503</v>
      </c>
      <c r="O126" s="107">
        <f>L126-I126</f>
        <v>0</v>
      </c>
      <c r="P126" s="108">
        <f>N126-K126</f>
        <v>-8.5638974661209346</v>
      </c>
      <c r="Q126" s="109">
        <f>N126/K126</f>
        <v>0.90151517913960921</v>
      </c>
      <c r="R126" s="322"/>
      <c r="S126" s="46">
        <v>0.79791666666666661</v>
      </c>
      <c r="T126" s="47">
        <v>0.84960648148148143</v>
      </c>
      <c r="U126" s="110">
        <v>5</v>
      </c>
      <c r="V126" s="111">
        <v>74.441342256764486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-196.96964172078151</v>
      </c>
      <c r="AF126" s="109">
        <f>M126/J126</f>
        <v>0.90151517913960921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1804.1036448392269</v>
      </c>
      <c r="N140" s="137">
        <f>M140/L140</f>
        <v>78.439288906053349</v>
      </c>
      <c r="O140" s="138">
        <f>L140-I140</f>
        <v>0</v>
      </c>
      <c r="P140" s="139">
        <f>N140-K140</f>
        <v>-8.5172328330770881</v>
      </c>
      <c r="Q140" s="140">
        <f>N140/K140</f>
        <v>0.90205182241961346</v>
      </c>
      <c r="R140" s="323"/>
      <c r="S140" s="141">
        <v>0.70833333333333337</v>
      </c>
      <c r="T140" s="142">
        <v>0.84960648148148143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-195.89635516077306</v>
      </c>
      <c r="AF140" s="140">
        <f>M140/J140</f>
        <v>0.90205182241961346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17" priority="2" operator="greaterThan">
      <formula>0</formula>
    </cfRule>
  </conditionalFormatting>
  <conditionalFormatting sqref="P5:P140 AE5:AE140">
    <cfRule type="cellIs" dxfId="216" priority="5" operator="lessThan">
      <formula>0</formula>
    </cfRule>
  </conditionalFormatting>
  <conditionalFormatting sqref="Q5:Q140 AF5:AF140">
    <cfRule type="cellIs" dxfId="215" priority="3" operator="greaterThan">
      <formula>1</formula>
    </cfRule>
    <cfRule type="cellIs" dxfId="214" priority="4" operator="lessThan">
      <formula>0.8</formula>
    </cfRule>
  </conditionalFormatting>
  <conditionalFormatting sqref="AG5 R5:R140 AG107:AG124">
    <cfRule type="cellIs" dxfId="213" priority="6" operator="lessThan">
      <formula>0.8</formula>
    </cfRule>
  </conditionalFormatting>
  <conditionalFormatting sqref="AG22">
    <cfRule type="cellIs" dxfId="212" priority="11" operator="lessThan">
      <formula>0.8</formula>
    </cfRule>
  </conditionalFormatting>
  <conditionalFormatting sqref="AG37">
    <cfRule type="cellIs" dxfId="211" priority="10" operator="lessThan">
      <formula>0.8</formula>
    </cfRule>
  </conditionalFormatting>
  <conditionalFormatting sqref="AG39:AG74">
    <cfRule type="cellIs" dxfId="210" priority="8" operator="lessThan">
      <formula>0.8</formula>
    </cfRule>
  </conditionalFormatting>
  <conditionalFormatting sqref="AG80:AG88">
    <cfRule type="cellIs" dxfId="209" priority="9" operator="lessThan">
      <formula>0.8</formula>
    </cfRule>
  </conditionalFormatting>
  <conditionalFormatting sqref="AG90:AG95">
    <cfRule type="cellIs" dxfId="208" priority="7" operator="lessThan">
      <formula>0.8</formula>
    </cfRule>
  </conditionalFormatting>
  <conditionalFormatting sqref="AG139">
    <cfRule type="cellIs" dxfId="207" priority="1" operator="lessThan">
      <formula>0.8</formula>
    </cfRule>
  </conditionalFormatting>
  <dataValidations count="1">
    <dataValidation type="list" allowBlank="1" showInputMessage="1" showErrorMessage="1" sqref="AA5:AB140" xr:uid="{44F8B8BA-0575-4C40-B319-3638F014012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86FE-76C0-415D-A647-F384021EDC2D}">
  <sheetPr>
    <tabColor theme="8" tint="0.59999389629810485"/>
  </sheetPr>
  <dimension ref="B1:AR42"/>
  <sheetViews>
    <sheetView zoomScale="70" zoomScaleNormal="70" workbookViewId="0">
      <selection activeCell="N47" sqref="N4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231</v>
      </c>
      <c r="D3" s="208"/>
      <c r="E3" s="3" t="s">
        <v>3</v>
      </c>
      <c r="F3" s="209">
        <f>'0809(18度C)'!D1+'0809(4度C)'!D1</f>
        <v>211756</v>
      </c>
      <c r="G3" s="210"/>
      <c r="H3" s="3" t="s">
        <v>4</v>
      </c>
      <c r="I3" s="211">
        <f>'0809(18度C)'!F1+'0809(4度C)'!F1</f>
        <v>6655646.0599999987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495.36277243286486</v>
      </c>
      <c r="F6" s="245" t="e">
        <f>AVERAGE(#REF!,D14:K14)</f>
        <v>#REF!</v>
      </c>
      <c r="G6" s="246">
        <f>AVERAGE(D14:K14)</f>
        <v>270.22506901591328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791</v>
      </c>
      <c r="N6" s="247"/>
      <c r="O6" s="235">
        <f>'0809(4度C)'!Y2</f>
        <v>0</v>
      </c>
      <c r="P6" s="235">
        <f>'0809(4度C)'!Z2</f>
        <v>0</v>
      </c>
      <c r="Q6" s="235">
        <f>'0809(4度C)'!AC2</f>
        <v>0</v>
      </c>
      <c r="R6" s="235">
        <f>'0809(4度C)'!AD2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445.08292708957987</v>
      </c>
      <c r="F7" s="241" t="e">
        <f>AVERAGE(#REF!,D15:K15)</f>
        <v>#REF!</v>
      </c>
      <c r="G7" s="242">
        <f>AVERAGE(D15:K15)</f>
        <v>238.95861803546791</v>
      </c>
      <c r="H7" s="243"/>
      <c r="I7" s="242">
        <f>AVERAGE(L15:O15)</f>
        <v>87.498888759444895</v>
      </c>
      <c r="J7" s="243"/>
      <c r="K7" s="242">
        <f>AVERAGE(D33:O33)</f>
        <v>664.77552393278995</v>
      </c>
      <c r="L7" s="243"/>
      <c r="M7" s="242">
        <f>AVERAGE(P33:X33)</f>
        <v>713.36881299260529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0.90047856191985121</v>
      </c>
      <c r="F8" s="260" t="e">
        <f>AVERAGE(D16:K16,#REF!)</f>
        <v>#REF!</v>
      </c>
      <c r="G8" s="248">
        <f>AVERAGE(D16:K16)</f>
        <v>0.89348295328051541</v>
      </c>
      <c r="H8" s="249"/>
      <c r="I8" s="248">
        <f>AVERAGE(L16:O16)</f>
        <v>0.9257669826383782</v>
      </c>
      <c r="J8" s="249"/>
      <c r="K8" s="248">
        <f>AVERAGE(D34:O34)</f>
        <v>0.89745820956625699</v>
      </c>
      <c r="L8" s="249"/>
      <c r="M8" s="248">
        <f>AVERAGE(P34:X34)</f>
        <v>0.90134811687318495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83.720930232558146</v>
      </c>
      <c r="F14" s="28">
        <v>111.31578947368421</v>
      </c>
      <c r="G14" s="28">
        <v>90.322580645161295</v>
      </c>
      <c r="H14" s="28">
        <v>170.61611374407582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75.51690795705602</v>
      </c>
      <c r="F15" s="28">
        <v>100.51012441264969</v>
      </c>
      <c r="G15" s="28">
        <v>81.406523392538091</v>
      </c>
      <c r="H15" s="28">
        <v>153.78897110739089</v>
      </c>
      <c r="I15" s="28">
        <v>480.90414909229389</v>
      </c>
      <c r="J15" s="28">
        <v>541.62503225087903</v>
      </c>
      <c r="K15" s="36" t="s">
        <v>43</v>
      </c>
      <c r="L15" s="34" t="s">
        <v>43</v>
      </c>
      <c r="M15" s="30">
        <v>96.564285714285717</v>
      </c>
      <c r="N15" s="28">
        <v>78.433491804604074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0.90200751170928017</v>
      </c>
      <c r="F16" s="42">
        <f t="shared" si="0"/>
        <v>0.90292783160299961</v>
      </c>
      <c r="G16" s="42">
        <f t="shared" si="0"/>
        <v>0.90128650898881457</v>
      </c>
      <c r="H16" s="42">
        <f t="shared" si="0"/>
        <v>0.9013742473238745</v>
      </c>
      <c r="I16" s="42">
        <f t="shared" si="0"/>
        <v>0.85059323297332534</v>
      </c>
      <c r="J16" s="42">
        <f t="shared" si="0"/>
        <v>0.90270838708479839</v>
      </c>
      <c r="K16" s="43" t="s">
        <v>43</v>
      </c>
      <c r="L16" s="41" t="s">
        <v>43</v>
      </c>
      <c r="M16" s="44">
        <f>M15/M14</f>
        <v>0.9495488095238096</v>
      </c>
      <c r="N16" s="42">
        <f>N15/N14</f>
        <v>0.9019851557529468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0.64769675925925918</v>
      </c>
      <c r="F18" s="47">
        <v>0.52631944444444434</v>
      </c>
      <c r="G18" s="47">
        <v>0.67718749999999994</v>
      </c>
      <c r="H18" s="47">
        <v>0.64643518518518517</v>
      </c>
      <c r="I18" s="47">
        <v>0.44952546296296292</v>
      </c>
      <c r="J18" s="47">
        <v>0.31493055555555555</v>
      </c>
      <c r="K18" s="47" t="s">
        <v>43</v>
      </c>
      <c r="L18" s="46" t="s">
        <v>43</v>
      </c>
      <c r="M18" s="48">
        <v>0.83488425925925924</v>
      </c>
      <c r="N18" s="47">
        <v>0.85583333333333322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21.5</v>
      </c>
      <c r="F23" s="57">
        <v>19.166666666666668</v>
      </c>
      <c r="G23" s="57">
        <v>22.142857142857142</v>
      </c>
      <c r="H23" s="57">
        <v>21.1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287.39458676103919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753.90635044136877</v>
      </c>
      <c r="N33" s="28">
        <v>847.55596517873266</v>
      </c>
      <c r="O33" s="28">
        <v>770.24519335001924</v>
      </c>
      <c r="P33" s="27">
        <v>438.63481691029824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647.89262085374185</v>
      </c>
      <c r="W33" s="28">
        <v>994.27993042338312</v>
      </c>
      <c r="X33" s="31">
        <v>772.66788378299805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0.87815012621428645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0.91382587932287129</v>
      </c>
      <c r="N34" s="42">
        <f>N33/N32</f>
        <v>0.90078411758126165</v>
      </c>
      <c r="O34" s="42">
        <f>O33/O32</f>
        <v>0.8970727151466088</v>
      </c>
      <c r="P34" s="41">
        <f>P33/P32</f>
        <v>0.8935153677802371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0.91369472171681554</v>
      </c>
      <c r="W34" s="42">
        <f>W33/W32</f>
        <v>0.90389084583943924</v>
      </c>
      <c r="X34" s="45">
        <f>X33/X32</f>
        <v>0.8942915321562479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0.33263888888888887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0.44952546296296292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0.42873842592592587</v>
      </c>
      <c r="N36" s="47">
        <v>0.53991898148148165</v>
      </c>
      <c r="O36" s="47">
        <v>0.53593750000000018</v>
      </c>
      <c r="P36" s="46">
        <v>0.76232638888888893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0.88533564814814825</v>
      </c>
      <c r="W36" s="47">
        <v>1.1326388888888885</v>
      </c>
      <c r="X36" s="49">
        <v>1.1299652777777773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D89D-7DCB-472E-8E44-35B4C7553D96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7" sqref="N47"/>
      <selection activeCell="N47" sqref="N47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113185</v>
      </c>
      <c r="E1" s="87" t="s">
        <v>4</v>
      </c>
      <c r="F1" s="88">
        <f>SUM(G5:G140)</f>
        <v>2234671.85</v>
      </c>
      <c r="G1" s="89" t="s">
        <v>85</v>
      </c>
      <c r="H1" s="90">
        <f>L21+L38+L55+L72+L89+L106+L123+L140</f>
        <v>41.709523809523809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46243</v>
      </c>
      <c r="B2" s="294"/>
      <c r="C2" s="91" t="s">
        <v>41</v>
      </c>
      <c r="D2" s="92">
        <f>AVERAGE(N21,N38,N55,N72,N89,N106,N123,N140)</f>
        <v>689.0721684626975</v>
      </c>
      <c r="E2" s="92" t="s">
        <v>92</v>
      </c>
      <c r="F2" s="93">
        <f>F1/D1</f>
        <v>19.743533595441093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1919</v>
      </c>
      <c r="G5" s="147">
        <f t="shared" ref="G5:G9" si="0">E5*F5</f>
        <v>49203.16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3216.1695511531843</v>
      </c>
      <c r="N5" s="151">
        <f>M5/L5</f>
        <v>321.61695511531843</v>
      </c>
      <c r="O5" s="153">
        <f>L5-I5</f>
        <v>0</v>
      </c>
      <c r="P5" s="154">
        <f>N5-K5</f>
        <v>-38.383044884681567</v>
      </c>
      <c r="Q5" s="155">
        <f>N5/K5</f>
        <v>0.89338043087588459</v>
      </c>
      <c r="R5" s="321">
        <f>Q21</f>
        <v>0.87815012621428645</v>
      </c>
      <c r="S5" s="156">
        <v>0.20833333333333334</v>
      </c>
      <c r="T5" s="157">
        <v>0.23319444444444445</v>
      </c>
      <c r="U5" s="158"/>
      <c r="V5" s="159">
        <v>35.80035137100144</v>
      </c>
      <c r="W5" s="160"/>
      <c r="X5" s="161"/>
      <c r="Y5" s="324"/>
      <c r="Z5" s="325"/>
      <c r="AA5" s="114">
        <f>M5-J5</f>
        <v>-383.83044884681567</v>
      </c>
      <c r="AB5" s="155">
        <f>M5/J5</f>
        <v>0.89338043087588459</v>
      </c>
      <c r="AC5" s="326">
        <f>AB21</f>
        <v>0.87815012621428645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3031</v>
      </c>
      <c r="G6" s="102">
        <f t="shared" si="0"/>
        <v>89475.12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3156.4633410043862</v>
      </c>
      <c r="N6" s="105">
        <f>M6/L6</f>
        <v>286.95121281858059</v>
      </c>
      <c r="O6" s="107">
        <f>L6-I6</f>
        <v>0</v>
      </c>
      <c r="P6" s="108">
        <f>N6-K6</f>
        <v>-40.321514454146666</v>
      </c>
      <c r="Q6" s="109">
        <f>N6/K6</f>
        <v>0.87679537250121853</v>
      </c>
      <c r="R6" s="322"/>
      <c r="S6" s="46">
        <v>0.23680555555555557</v>
      </c>
      <c r="T6" s="47">
        <v>0.27680555555555558</v>
      </c>
      <c r="U6" s="110">
        <v>5.2000000000000135</v>
      </c>
      <c r="V6" s="111">
        <v>57.615115511568767</v>
      </c>
      <c r="W6" s="112"/>
      <c r="X6" s="115"/>
      <c r="Y6" s="331"/>
      <c r="Z6" s="332"/>
      <c r="AA6" s="116">
        <f>M6-J6</f>
        <v>-443.53665899561383</v>
      </c>
      <c r="AB6" s="109">
        <f>M6/J6</f>
        <v>0.87679537250121842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3499</v>
      </c>
      <c r="G7" s="102">
        <f t="shared" si="0"/>
        <v>104445.15000000001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3157.6519051520077</v>
      </c>
      <c r="N7" s="105">
        <f>M7/L7</f>
        <v>287.05926410472796</v>
      </c>
      <c r="O7" s="107">
        <f>L7-I7</f>
        <v>0</v>
      </c>
      <c r="P7" s="108">
        <f>N7-K7</f>
        <v>-40.213463167999294</v>
      </c>
      <c r="Q7" s="109">
        <f>N7/K7</f>
        <v>0.87712552920889109</v>
      </c>
      <c r="R7" s="322"/>
      <c r="S7" s="46">
        <v>0.28055555555555556</v>
      </c>
      <c r="T7" s="47">
        <v>0.32672453703703702</v>
      </c>
      <c r="U7" s="110">
        <v>5.3999999999999648</v>
      </c>
      <c r="V7" s="111">
        <v>66.486112562775844</v>
      </c>
      <c r="W7" s="112"/>
      <c r="X7" s="115"/>
      <c r="Y7" s="331"/>
      <c r="Z7" s="332"/>
      <c r="AA7" s="116">
        <f>M7-J7</f>
        <v>-442.34809484799234</v>
      </c>
      <c r="AB7" s="109">
        <f>M7/J7</f>
        <v>0.87712552920889097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1877</v>
      </c>
      <c r="G8" s="102">
        <f t="shared" si="0"/>
        <v>56310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3155.6751621769085</v>
      </c>
      <c r="N8" s="105">
        <f>M8/L8</f>
        <v>286.87956019790079</v>
      </c>
      <c r="O8" s="107">
        <f>L8-I8</f>
        <v>0</v>
      </c>
      <c r="P8" s="108">
        <f>N8-K8</f>
        <v>-40.393167074826465</v>
      </c>
      <c r="Q8" s="109">
        <f>N8/K8</f>
        <v>0.8765764339380302</v>
      </c>
      <c r="R8" s="322"/>
      <c r="S8" s="46">
        <v>0.33055555555555555</v>
      </c>
      <c r="T8" s="47">
        <v>0.35533564814814816</v>
      </c>
      <c r="U8" s="110">
        <v>5.5166666666666764</v>
      </c>
      <c r="V8" s="111">
        <v>35.688083916188098</v>
      </c>
      <c r="W8" s="112"/>
      <c r="X8" s="115"/>
      <c r="Y8" s="331"/>
      <c r="Z8" s="332"/>
      <c r="AA8" s="116">
        <f>M8-J8</f>
        <v>-444.32483782309146</v>
      </c>
      <c r="AB8" s="109">
        <f>M8/J8</f>
        <v>0.8765764339380302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1446</v>
      </c>
      <c r="G9" s="102">
        <f t="shared" si="0"/>
        <v>41312.22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3120.7423123706708</v>
      </c>
      <c r="N9" s="105">
        <f>M9/L9</f>
        <v>260.06185936422258</v>
      </c>
      <c r="O9" s="107">
        <f>L9-I9</f>
        <v>0</v>
      </c>
      <c r="P9" s="108">
        <f>N9-K9</f>
        <v>-39.938140635777415</v>
      </c>
      <c r="Q9" s="109">
        <f>N9/K9</f>
        <v>0.86687286454740864</v>
      </c>
      <c r="R9" s="322"/>
      <c r="S9" s="46">
        <v>0.35902777777777778</v>
      </c>
      <c r="T9" s="47">
        <v>0.37833333333333335</v>
      </c>
      <c r="U9" s="110">
        <v>5.3166666666666451</v>
      </c>
      <c r="V9" s="111">
        <v>27.801077857688544</v>
      </c>
      <c r="W9" s="112"/>
      <c r="X9" s="115"/>
      <c r="Y9" s="331"/>
      <c r="Z9" s="332"/>
      <c r="AA9" s="116">
        <f>M9-J9</f>
        <v>-479.25768762932921</v>
      </c>
      <c r="AB9" s="109">
        <f>M9/J9</f>
        <v>0.86687286454740853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3161.3404543714314</v>
      </c>
      <c r="N21" s="137">
        <f>M21/L21</f>
        <v>287.39458676103919</v>
      </c>
      <c r="O21" s="138">
        <f>L21-I21</f>
        <v>0</v>
      </c>
      <c r="P21" s="139">
        <f>N21-K21</f>
        <v>-39.878140511688059</v>
      </c>
      <c r="Q21" s="140">
        <f>N21/K21</f>
        <v>0.87815012621428645</v>
      </c>
      <c r="R21" s="323"/>
      <c r="S21" s="141">
        <v>0.20833333333333334</v>
      </c>
      <c r="T21" s="142">
        <v>0.44952546296296292</v>
      </c>
      <c r="U21" s="143"/>
      <c r="V21" s="165"/>
      <c r="W21" s="166"/>
      <c r="X21" s="137"/>
      <c r="Y21" s="353"/>
      <c r="Z21" s="354"/>
      <c r="AA21" s="167">
        <f>M21-J21</f>
        <v>-438.65954562856859</v>
      </c>
      <c r="AB21" s="140">
        <f>M21/J21</f>
        <v>0.87815012621428645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2594</v>
      </c>
      <c r="G22" s="147">
        <f t="shared" ref="G22:G24" si="5">E22*F22</f>
        <v>48066.82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3015.0734405697481</v>
      </c>
      <c r="N22" s="151">
        <f>M22/L22</f>
        <v>1005.0244801899161</v>
      </c>
      <c r="O22" s="153">
        <f>L22-I22</f>
        <v>0</v>
      </c>
      <c r="P22" s="154">
        <f>N22-K22</f>
        <v>-94.975519810083938</v>
      </c>
      <c r="Q22" s="155">
        <f>N22/K22</f>
        <v>0.91365861835446915</v>
      </c>
      <c r="R22" s="321">
        <f>Q38</f>
        <v>0.91382587932287129</v>
      </c>
      <c r="S22" s="156">
        <v>0.33263888888888887</v>
      </c>
      <c r="T22" s="157">
        <v>0.3684837962962963</v>
      </c>
      <c r="U22" s="158"/>
      <c r="V22" s="111">
        <v>51.620633151340172</v>
      </c>
      <c r="W22" s="160"/>
      <c r="X22" s="161"/>
      <c r="Y22" s="324"/>
      <c r="Z22" s="325"/>
      <c r="AA22" s="114">
        <f>M22-J22</f>
        <v>-284.92655943025193</v>
      </c>
      <c r="AB22" s="155">
        <f>M22/J22</f>
        <v>0.91365861835446915</v>
      </c>
      <c r="AC22" s="326">
        <f>AB38</f>
        <v>0.91382587932287129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773</v>
      </c>
      <c r="G23" s="102">
        <f t="shared" si="5"/>
        <v>17222.440000000002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3017.0298070850163</v>
      </c>
      <c r="N23" s="105">
        <f>M23/L23</f>
        <v>603.40596141700325</v>
      </c>
      <c r="O23" s="107">
        <f>L23-I23</f>
        <v>0</v>
      </c>
      <c r="P23" s="108">
        <f>N23-K23</f>
        <v>-56.594038582996745</v>
      </c>
      <c r="Q23" s="109">
        <f>N23/K23</f>
        <v>0.91425145669242913</v>
      </c>
      <c r="R23" s="322"/>
      <c r="S23" s="46">
        <v>0.37222222222222218</v>
      </c>
      <c r="T23" s="47">
        <v>0.38289351851851849</v>
      </c>
      <c r="U23" s="110">
        <v>5.3833333333332689</v>
      </c>
      <c r="V23" s="111">
        <v>15.372735095650668</v>
      </c>
      <c r="W23" s="112"/>
      <c r="X23" s="115"/>
      <c r="Y23" s="331"/>
      <c r="Z23" s="332"/>
      <c r="AA23" s="116">
        <f>M23-J23</f>
        <v>-282.97019291498373</v>
      </c>
      <c r="AB23" s="109">
        <f>M23/J23</f>
        <v>0.91425145669242913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3085</v>
      </c>
      <c r="G24" s="102">
        <f t="shared" si="5"/>
        <v>55190.65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3014.77295764166</v>
      </c>
      <c r="N24" s="105">
        <f>M24/L24</f>
        <v>753.693239410415</v>
      </c>
      <c r="O24" s="107">
        <f>L24-I24</f>
        <v>0</v>
      </c>
      <c r="P24" s="108">
        <f>N24-K24</f>
        <v>-71.306760589584997</v>
      </c>
      <c r="Q24" s="109">
        <f>N24/K24</f>
        <v>0.91356756292171515</v>
      </c>
      <c r="R24" s="322"/>
      <c r="S24" s="46">
        <v>0.38611111111111107</v>
      </c>
      <c r="T24" s="47">
        <v>0.42873842592592587</v>
      </c>
      <c r="U24" s="110">
        <v>4.6333333333333115</v>
      </c>
      <c r="V24" s="111">
        <v>61.397658331391078</v>
      </c>
      <c r="W24" s="112"/>
      <c r="X24" s="115"/>
      <c r="Y24" s="331"/>
      <c r="Z24" s="332"/>
      <c r="AA24" s="116">
        <f>M24-J24</f>
        <v>-285.22704235833999</v>
      </c>
      <c r="AB24" s="109">
        <f>M24/J24</f>
        <v>0.91356756292171515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3015.6254017654751</v>
      </c>
      <c r="N38" s="137">
        <f t="shared" ref="N38:N44" si="10">M38/L38</f>
        <v>753.90635044136877</v>
      </c>
      <c r="O38" s="138">
        <f t="shared" ref="O38:O44" si="11">L38-I38</f>
        <v>0</v>
      </c>
      <c r="P38" s="139">
        <f t="shared" ref="P38:P44" si="12">N38-K38</f>
        <v>-71.093649558631228</v>
      </c>
      <c r="Q38" s="140">
        <f t="shared" ref="Q38:Q44" si="13">N38/K38</f>
        <v>0.91382587932287129</v>
      </c>
      <c r="R38" s="323"/>
      <c r="S38" s="141">
        <v>0.33263888888888887</v>
      </c>
      <c r="T38" s="142">
        <v>0.42873842592592587</v>
      </c>
      <c r="U38" s="143"/>
      <c r="V38" s="165"/>
      <c r="W38" s="98"/>
      <c r="X38" s="68"/>
      <c r="Y38" s="353"/>
      <c r="Z38" s="354"/>
      <c r="AA38" s="167">
        <f t="shared" ref="AA38:AA44" si="14">M38-J38</f>
        <v>-284.37459823452491</v>
      </c>
      <c r="AB38" s="140">
        <f t="shared" ref="AB38:AB44" si="15">M38/J38</f>
        <v>0.91382587932287129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958</v>
      </c>
      <c r="G39" s="147">
        <f t="shared" ref="G39:G44" si="16">E39*F39</f>
        <v>23978.74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3220.3095508629149</v>
      </c>
      <c r="N39" s="151">
        <f t="shared" si="10"/>
        <v>644.061910172583</v>
      </c>
      <c r="O39" s="153">
        <f t="shared" si="11"/>
        <v>0</v>
      </c>
      <c r="P39" s="154">
        <f t="shared" si="12"/>
        <v>-75.938089827417002</v>
      </c>
      <c r="Q39" s="155">
        <f t="shared" si="13"/>
        <v>0.89453043079525418</v>
      </c>
      <c r="R39" s="321">
        <f>Q55</f>
        <v>0.90078411758126165</v>
      </c>
      <c r="S39" s="156">
        <v>0.25</v>
      </c>
      <c r="T39" s="157">
        <v>0.26238425925925923</v>
      </c>
      <c r="U39" s="158"/>
      <c r="V39" s="159">
        <v>17.849215763931031</v>
      </c>
      <c r="W39" s="160"/>
      <c r="X39" s="161"/>
      <c r="Y39" s="324"/>
      <c r="Z39" s="325"/>
      <c r="AA39" s="114">
        <f t="shared" si="14"/>
        <v>-379.69044913708512</v>
      </c>
      <c r="AB39" s="155">
        <f t="shared" si="15"/>
        <v>0.89453043079525418</v>
      </c>
      <c r="AC39" s="326">
        <f>AB55</f>
        <v>0.90078411758126176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1281</v>
      </c>
      <c r="G40" s="102">
        <f t="shared" si="16"/>
        <v>23288.579999999998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3218.5218073801166</v>
      </c>
      <c r="N40" s="105">
        <f t="shared" si="10"/>
        <v>1072.8406024600388</v>
      </c>
      <c r="O40" s="107">
        <f t="shared" si="11"/>
        <v>0</v>
      </c>
      <c r="P40" s="108">
        <f t="shared" si="12"/>
        <v>-127.15939753996122</v>
      </c>
      <c r="Q40" s="109">
        <f t="shared" si="13"/>
        <v>0.89403383538336567</v>
      </c>
      <c r="R40" s="322"/>
      <c r="S40" s="46">
        <v>0.27222222222222225</v>
      </c>
      <c r="T40" s="47">
        <v>0.28879629629629633</v>
      </c>
      <c r="U40" s="110">
        <v>15</v>
      </c>
      <c r="V40" s="111">
        <v>23.880527956578984</v>
      </c>
      <c r="W40" s="112"/>
      <c r="X40" s="115"/>
      <c r="Y40" s="331"/>
      <c r="Z40" s="332"/>
      <c r="AA40" s="116">
        <f t="shared" si="14"/>
        <v>-381.47819261988343</v>
      </c>
      <c r="AB40" s="109">
        <f t="shared" si="15"/>
        <v>0.89403383538336567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1269</v>
      </c>
      <c r="G41" s="102">
        <f t="shared" si="16"/>
        <v>31496.58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3221.0801595422813</v>
      </c>
      <c r="N41" s="105">
        <f t="shared" si="10"/>
        <v>644.21603190845622</v>
      </c>
      <c r="O41" s="107">
        <f t="shared" si="11"/>
        <v>0</v>
      </c>
      <c r="P41" s="108">
        <f t="shared" si="12"/>
        <v>-75.783968091543784</v>
      </c>
      <c r="Q41" s="109">
        <f t="shared" si="13"/>
        <v>0.89474448876174473</v>
      </c>
      <c r="R41" s="322"/>
      <c r="S41" s="46">
        <v>0.29861111111111116</v>
      </c>
      <c r="T41" s="47">
        <v>0.31502314814814819</v>
      </c>
      <c r="U41" s="110">
        <v>15</v>
      </c>
      <c r="V41" s="111">
        <v>23.638033277265464</v>
      </c>
      <c r="W41" s="112"/>
      <c r="X41" s="115"/>
      <c r="Y41" s="331"/>
      <c r="Z41" s="332"/>
      <c r="AA41" s="116">
        <f t="shared" si="14"/>
        <v>-378.91984045771869</v>
      </c>
      <c r="AB41" s="109">
        <f t="shared" si="15"/>
        <v>0.89474448876174484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2152</v>
      </c>
      <c r="G42" s="102">
        <f t="shared" si="16"/>
        <v>36734.639999999999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3021.4183646395122</v>
      </c>
      <c r="N42" s="105">
        <f t="shared" si="10"/>
        <v>1007.1394548798374</v>
      </c>
      <c r="O42" s="107">
        <f t="shared" si="11"/>
        <v>0</v>
      </c>
      <c r="P42" s="108">
        <f t="shared" si="12"/>
        <v>-92.860545120162556</v>
      </c>
      <c r="Q42" s="109">
        <f t="shared" si="13"/>
        <v>0.91558132261803404</v>
      </c>
      <c r="R42" s="322"/>
      <c r="S42" s="46">
        <v>0.32500000000000007</v>
      </c>
      <c r="T42" s="47">
        <v>0.35467592592592601</v>
      </c>
      <c r="U42" s="110">
        <v>15</v>
      </c>
      <c r="V42" s="111">
        <v>42.734896137233683</v>
      </c>
      <c r="W42" s="112"/>
      <c r="X42" s="115"/>
      <c r="Y42" s="331"/>
      <c r="Z42" s="332"/>
      <c r="AA42" s="116">
        <f t="shared" si="14"/>
        <v>-278.58163536048778</v>
      </c>
      <c r="AB42" s="109">
        <f t="shared" si="15"/>
        <v>0.91558132261803404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4928</v>
      </c>
      <c r="G43" s="102">
        <f t="shared" si="16"/>
        <v>69139.839999999997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2745.516114616742</v>
      </c>
      <c r="N43" s="105">
        <f t="shared" si="10"/>
        <v>915.17203820558063</v>
      </c>
      <c r="O43" s="107">
        <f t="shared" si="11"/>
        <v>0</v>
      </c>
      <c r="P43" s="108">
        <f t="shared" si="12"/>
        <v>-84.827961794419366</v>
      </c>
      <c r="Q43" s="109">
        <f t="shared" si="13"/>
        <v>0.91517203820558068</v>
      </c>
      <c r="R43" s="322"/>
      <c r="S43" s="46">
        <v>0.36458333333333343</v>
      </c>
      <c r="T43" s="47">
        <v>0.43936342592592603</v>
      </c>
      <c r="U43" s="110">
        <v>15</v>
      </c>
      <c r="V43" s="111">
        <v>107.69559807929781</v>
      </c>
      <c r="W43" s="112"/>
      <c r="X43" s="115"/>
      <c r="Y43" s="331"/>
      <c r="Z43" s="332"/>
      <c r="AA43" s="116">
        <f t="shared" si="14"/>
        <v>-254.48388538325798</v>
      </c>
      <c r="AB43" s="109">
        <f t="shared" si="15"/>
        <v>0.91517203820558068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7002</v>
      </c>
      <c r="G44" s="120">
        <f t="shared" si="16"/>
        <v>99988.56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3219.3852368905491</v>
      </c>
      <c r="N44" s="105">
        <f t="shared" si="10"/>
        <v>1073.1284122968498</v>
      </c>
      <c r="O44" s="107">
        <f t="shared" si="11"/>
        <v>0</v>
      </c>
      <c r="P44" s="108">
        <f t="shared" si="12"/>
        <v>-126.87158770315023</v>
      </c>
      <c r="Q44" s="109">
        <f t="shared" si="13"/>
        <v>0.89427367691404147</v>
      </c>
      <c r="R44" s="322"/>
      <c r="S44" s="46">
        <v>0.44930555555555568</v>
      </c>
      <c r="T44" s="119">
        <v>0.53991898148148165</v>
      </c>
      <c r="U44" s="110">
        <v>15</v>
      </c>
      <c r="V44" s="111">
        <v>130.49696419859771</v>
      </c>
      <c r="W44" s="112"/>
      <c r="X44" s="115"/>
      <c r="Y44" s="331"/>
      <c r="Z44" s="332"/>
      <c r="AA44" s="116">
        <f t="shared" si="14"/>
        <v>-380.61476310945091</v>
      </c>
      <c r="AB44" s="109">
        <f t="shared" si="15"/>
        <v>0.89427367691404136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3107.705205655353</v>
      </c>
      <c r="N55" s="137">
        <f t="shared" ref="N55:N62" si="22">M55/L55</f>
        <v>847.55596517873266</v>
      </c>
      <c r="O55" s="138">
        <f t="shared" ref="O55:O62" si="23">L55-I55</f>
        <v>0</v>
      </c>
      <c r="P55" s="139">
        <f t="shared" ref="P55:P62" si="24">N55-K55</f>
        <v>-93.353125730358329</v>
      </c>
      <c r="Q55" s="140">
        <f t="shared" ref="Q55:Q62" si="25">N55/K55</f>
        <v>0.90078411758126165</v>
      </c>
      <c r="R55" s="323"/>
      <c r="S55" s="141">
        <v>0.25</v>
      </c>
      <c r="T55" s="142">
        <v>0.53991898148148165</v>
      </c>
      <c r="U55" s="143"/>
      <c r="V55" s="165"/>
      <c r="W55" s="98"/>
      <c r="X55" s="68"/>
      <c r="Y55" s="353"/>
      <c r="Z55" s="354"/>
      <c r="AA55" s="167">
        <f t="shared" ref="AA55:AA62" si="26">M55-J55</f>
        <v>-342.29479434464702</v>
      </c>
      <c r="AB55" s="140">
        <f t="shared" ref="AB55:AB62" si="27">M55/J55</f>
        <v>0.90078411758126176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1620</v>
      </c>
      <c r="G56" s="147">
        <f t="shared" ref="G56:G62" si="28">E56*F56</f>
        <v>33566.400000000001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3219.4383578594534</v>
      </c>
      <c r="N56" s="151">
        <f t="shared" si="22"/>
        <v>1073.1461192864845</v>
      </c>
      <c r="O56" s="153">
        <f t="shared" si="23"/>
        <v>0</v>
      </c>
      <c r="P56" s="154">
        <f t="shared" si="24"/>
        <v>-126.85388071351554</v>
      </c>
      <c r="Q56" s="155">
        <f t="shared" si="25"/>
        <v>0.89428843273873704</v>
      </c>
      <c r="R56" s="321">
        <f>Q72</f>
        <v>0.8970727151466088</v>
      </c>
      <c r="S56" s="156">
        <v>0.25</v>
      </c>
      <c r="T56" s="157">
        <v>0.27096064814814813</v>
      </c>
      <c r="U56" s="158"/>
      <c r="V56" s="159">
        <v>30.191601514192847</v>
      </c>
      <c r="W56" s="157"/>
      <c r="X56" s="168"/>
      <c r="Y56" s="324"/>
      <c r="Z56" s="325"/>
      <c r="AA56" s="114">
        <f t="shared" si="26"/>
        <v>-380.56164214054661</v>
      </c>
      <c r="AB56" s="155">
        <f t="shared" si="27"/>
        <v>0.89428843273873704</v>
      </c>
      <c r="AC56" s="326">
        <f>AB72</f>
        <v>0.8970727151466088</v>
      </c>
    </row>
    <row r="57" spans="1:29" ht="15.75" customHeight="1">
      <c r="A57" s="356"/>
      <c r="B57" s="99" t="s">
        <v>121</v>
      </c>
      <c r="C57" s="329" t="s">
        <v>232</v>
      </c>
      <c r="D57" s="330"/>
      <c r="E57" s="100">
        <v>23.72</v>
      </c>
      <c r="F57" s="101">
        <v>658</v>
      </c>
      <c r="G57" s="102">
        <f t="shared" si="28"/>
        <v>15607.759999999998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3219.6711494849387</v>
      </c>
      <c r="N57" s="105">
        <f t="shared" si="22"/>
        <v>643.93422989698774</v>
      </c>
      <c r="O57" s="107">
        <f t="shared" si="23"/>
        <v>0</v>
      </c>
      <c r="P57" s="108">
        <f t="shared" si="24"/>
        <v>-76.065770103012255</v>
      </c>
      <c r="Q57" s="109">
        <f t="shared" si="25"/>
        <v>0.89435309707914967</v>
      </c>
      <c r="R57" s="322"/>
      <c r="S57" s="46">
        <v>0.28125</v>
      </c>
      <c r="T57" s="47">
        <v>0.28975694444444444</v>
      </c>
      <c r="U57" s="110">
        <v>14.816666666666691</v>
      </c>
      <c r="V57" s="111">
        <v>12.262121864935102</v>
      </c>
      <c r="W57" s="112"/>
      <c r="X57" s="13"/>
      <c r="Y57" s="331"/>
      <c r="Z57" s="332"/>
      <c r="AA57" s="116">
        <f t="shared" si="26"/>
        <v>-380.32885051506128</v>
      </c>
      <c r="AB57" s="109">
        <f t="shared" si="27"/>
        <v>0.89435309707914967</v>
      </c>
      <c r="AC57" s="327"/>
    </row>
    <row r="58" spans="1:29" ht="15.75" customHeight="1">
      <c r="A58" s="356"/>
      <c r="B58" s="99" t="s">
        <v>121</v>
      </c>
      <c r="C58" s="329" t="s">
        <v>135</v>
      </c>
      <c r="D58" s="330"/>
      <c r="E58" s="100">
        <v>30</v>
      </c>
      <c r="F58" s="101">
        <v>1964</v>
      </c>
      <c r="G58" s="102">
        <f t="shared" si="28"/>
        <v>58920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3221.7906743701642</v>
      </c>
      <c r="N58" s="105">
        <f t="shared" si="22"/>
        <v>805.44766859254105</v>
      </c>
      <c r="O58" s="107">
        <f t="shared" si="23"/>
        <v>0</v>
      </c>
      <c r="P58" s="108">
        <f t="shared" si="24"/>
        <v>-94.552331407458951</v>
      </c>
      <c r="Q58" s="109">
        <f t="shared" si="25"/>
        <v>0.89494185399171222</v>
      </c>
      <c r="R58" s="322"/>
      <c r="S58" s="46">
        <v>0.30000000000000004</v>
      </c>
      <c r="T58" s="47">
        <v>0.32539351851851855</v>
      </c>
      <c r="U58" s="110">
        <v>14.750000000000068</v>
      </c>
      <c r="V58" s="111">
        <v>36.575933047865327</v>
      </c>
      <c r="W58" s="112"/>
      <c r="X58" s="13"/>
      <c r="Y58" s="331"/>
      <c r="Z58" s="332"/>
      <c r="AA58" s="116">
        <f t="shared" si="26"/>
        <v>-378.2093256298358</v>
      </c>
      <c r="AB58" s="109">
        <f t="shared" si="27"/>
        <v>0.89494185399171222</v>
      </c>
      <c r="AC58" s="327"/>
    </row>
    <row r="59" spans="1:29" ht="15.75" customHeight="1">
      <c r="A59" s="356"/>
      <c r="B59" s="99" t="s">
        <v>121</v>
      </c>
      <c r="C59" s="329" t="s">
        <v>136</v>
      </c>
      <c r="D59" s="330"/>
      <c r="E59" s="100">
        <v>30</v>
      </c>
      <c r="F59" s="101">
        <v>2038</v>
      </c>
      <c r="G59" s="102">
        <f t="shared" si="28"/>
        <v>61140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3022.0509012974708</v>
      </c>
      <c r="N59" s="105">
        <f t="shared" si="22"/>
        <v>755.51272532436769</v>
      </c>
      <c r="O59" s="107">
        <f t="shared" si="23"/>
        <v>0</v>
      </c>
      <c r="P59" s="108">
        <f t="shared" si="24"/>
        <v>-69.487274675632307</v>
      </c>
      <c r="Q59" s="109">
        <f t="shared" si="25"/>
        <v>0.915773000393173</v>
      </c>
      <c r="R59" s="322"/>
      <c r="S59" s="46">
        <v>0.33541666666666675</v>
      </c>
      <c r="T59" s="47">
        <v>0.36350694444444454</v>
      </c>
      <c r="U59" s="110">
        <v>15</v>
      </c>
      <c r="V59" s="111">
        <v>40.462587823223288</v>
      </c>
      <c r="W59" s="112"/>
      <c r="X59" s="115"/>
      <c r="Y59" s="331"/>
      <c r="Z59" s="332"/>
      <c r="AA59" s="116">
        <f t="shared" si="26"/>
        <v>-277.94909870252923</v>
      </c>
      <c r="AB59" s="109">
        <f t="shared" si="27"/>
        <v>0.915773000393173</v>
      </c>
      <c r="AC59" s="327"/>
    </row>
    <row r="60" spans="1:29" ht="15.75" customHeight="1">
      <c r="A60" s="357"/>
      <c r="B60" s="99" t="s">
        <v>121</v>
      </c>
      <c r="C60" s="329" t="s">
        <v>137</v>
      </c>
      <c r="D60" s="330"/>
      <c r="E60" s="100">
        <v>27.48</v>
      </c>
      <c r="F60" s="101">
        <v>3014</v>
      </c>
      <c r="G60" s="102">
        <f t="shared" si="28"/>
        <v>82824.72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3221.6458765915909</v>
      </c>
      <c r="N60" s="105">
        <f t="shared" si="22"/>
        <v>644.32917531831822</v>
      </c>
      <c r="O60" s="107">
        <f t="shared" si="23"/>
        <v>0</v>
      </c>
      <c r="P60" s="108">
        <f t="shared" si="24"/>
        <v>-75.670824681681779</v>
      </c>
      <c r="Q60" s="109">
        <f t="shared" si="25"/>
        <v>0.89490163238655307</v>
      </c>
      <c r="R60" s="322"/>
      <c r="S60" s="46">
        <v>0.37361111111111123</v>
      </c>
      <c r="T60" s="47">
        <v>0.41258101851851864</v>
      </c>
      <c r="U60" s="110">
        <v>14.550000000000036</v>
      </c>
      <c r="V60" s="111">
        <v>56.132798863456571</v>
      </c>
      <c r="W60" s="112"/>
      <c r="X60" s="115"/>
      <c r="Y60" s="331"/>
      <c r="Z60" s="332"/>
      <c r="AA60" s="116">
        <f t="shared" si="26"/>
        <v>-378.35412340840912</v>
      </c>
      <c r="AB60" s="109">
        <f t="shared" si="27"/>
        <v>0.89490163238655307</v>
      </c>
      <c r="AC60" s="327"/>
    </row>
    <row r="61" spans="1:29" ht="15.75" customHeight="1">
      <c r="A61" s="357"/>
      <c r="B61" s="99" t="s">
        <v>121</v>
      </c>
      <c r="C61" s="329" t="s">
        <v>138</v>
      </c>
      <c r="D61" s="330"/>
      <c r="E61" s="100">
        <v>18.18</v>
      </c>
      <c r="F61" s="101">
        <v>2227</v>
      </c>
      <c r="G61" s="120">
        <f t="shared" si="28"/>
        <v>40486.86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3215.8862807528703</v>
      </c>
      <c r="N61" s="105">
        <f t="shared" si="22"/>
        <v>1071.9620935842902</v>
      </c>
      <c r="O61" s="107">
        <f t="shared" si="23"/>
        <v>0</v>
      </c>
      <c r="P61" s="108">
        <f t="shared" si="24"/>
        <v>-128.03790641570981</v>
      </c>
      <c r="Q61" s="109">
        <f t="shared" si="25"/>
        <v>0.89330174465357515</v>
      </c>
      <c r="R61" s="322"/>
      <c r="S61" s="46">
        <v>0.42291666666666677</v>
      </c>
      <c r="T61" s="119">
        <v>0.45175925925925936</v>
      </c>
      <c r="U61" s="110">
        <v>14.883333333333315</v>
      </c>
      <c r="V61" s="111">
        <v>41.549976689075663</v>
      </c>
      <c r="W61" s="112"/>
      <c r="X61" s="49"/>
      <c r="Y61" s="331"/>
      <c r="Z61" s="332"/>
      <c r="AA61" s="116">
        <f t="shared" si="26"/>
        <v>-384.11371924712967</v>
      </c>
      <c r="AB61" s="109">
        <f t="shared" si="27"/>
        <v>0.89330174465357515</v>
      </c>
      <c r="AC61" s="327"/>
    </row>
    <row r="62" spans="1:29" ht="15.75" customHeight="1">
      <c r="A62" s="357"/>
      <c r="B62" s="99" t="s">
        <v>121</v>
      </c>
      <c r="C62" s="329" t="s">
        <v>139</v>
      </c>
      <c r="D62" s="330"/>
      <c r="E62" s="100">
        <v>16.66</v>
      </c>
      <c r="F62" s="101">
        <v>5723</v>
      </c>
      <c r="G62" s="120">
        <f t="shared" si="28"/>
        <v>95345.180000000008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3216.6273667940718</v>
      </c>
      <c r="N62" s="105">
        <f t="shared" si="22"/>
        <v>643.32547335881441</v>
      </c>
      <c r="O62" s="122">
        <f t="shared" si="23"/>
        <v>0</v>
      </c>
      <c r="P62" s="123">
        <f t="shared" si="24"/>
        <v>-76.674526641185594</v>
      </c>
      <c r="Q62" s="124">
        <f t="shared" si="25"/>
        <v>0.89350760188724221</v>
      </c>
      <c r="R62" s="322"/>
      <c r="S62" s="46">
        <v>0.46180555555555569</v>
      </c>
      <c r="T62" s="119">
        <v>0.53593750000000018</v>
      </c>
      <c r="U62" s="110">
        <v>15</v>
      </c>
      <c r="V62" s="111">
        <v>106.75156331279923</v>
      </c>
      <c r="W62" s="112"/>
      <c r="X62" s="115"/>
      <c r="Y62" s="331"/>
      <c r="Z62" s="332"/>
      <c r="AA62" s="116">
        <f t="shared" si="26"/>
        <v>-383.3726332059282</v>
      </c>
      <c r="AB62" s="109">
        <f t="shared" si="27"/>
        <v>0.89350760188724221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3191.0158010215087</v>
      </c>
      <c r="N72" s="137">
        <f>M72/L72</f>
        <v>770.24519335001924</v>
      </c>
      <c r="O72" s="138">
        <f>L72-I72</f>
        <v>0</v>
      </c>
      <c r="P72" s="139">
        <f>N72-K72</f>
        <v>-88.375496305153092</v>
      </c>
      <c r="Q72" s="140">
        <f>N72/K72</f>
        <v>0.8970727151466088</v>
      </c>
      <c r="R72" s="323"/>
      <c r="S72" s="141">
        <v>0.25</v>
      </c>
      <c r="T72" s="142">
        <v>0.53593750000000018</v>
      </c>
      <c r="U72" s="143"/>
      <c r="V72" s="165"/>
      <c r="W72" s="166"/>
      <c r="X72" s="137"/>
      <c r="Y72" s="353"/>
      <c r="Z72" s="354"/>
      <c r="AA72" s="167">
        <f>M72-J72</f>
        <v>-366.12705612134869</v>
      </c>
      <c r="AB72" s="140">
        <f>M72/J72</f>
        <v>0.8970727151466088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1681</v>
      </c>
      <c r="G73" s="147">
        <f t="shared" ref="G73:G75" si="33">E73*F73</f>
        <v>48026.17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3119.8189996522869</v>
      </c>
      <c r="N73" s="151">
        <f>M73/L73</f>
        <v>259.98491663769056</v>
      </c>
      <c r="O73" s="153">
        <f>L73-I73</f>
        <v>0</v>
      </c>
      <c r="P73" s="154">
        <f>N73-K73</f>
        <v>-40.01508336230944</v>
      </c>
      <c r="Q73" s="155">
        <f>N73/K73</f>
        <v>0.86661638879230185</v>
      </c>
      <c r="R73" s="321">
        <f>Q89</f>
        <v>0.8935153677802371</v>
      </c>
      <c r="S73" s="156">
        <v>0.70833333333333337</v>
      </c>
      <c r="T73" s="157">
        <v>0.73077546296296303</v>
      </c>
      <c r="U73" s="158"/>
      <c r="V73" s="159">
        <v>32.328798565314571</v>
      </c>
      <c r="W73" s="157"/>
      <c r="X73" s="168"/>
      <c r="Y73" s="324"/>
      <c r="Z73" s="325"/>
      <c r="AA73" s="114">
        <f>M73-J73</f>
        <v>-480.18100034771305</v>
      </c>
      <c r="AB73" s="155">
        <f>M73/J73</f>
        <v>0.86661638879230196</v>
      </c>
      <c r="AC73" s="326">
        <f>AB89</f>
        <v>0.89351536778023721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638</v>
      </c>
      <c r="G74" s="102">
        <f t="shared" si="33"/>
        <v>11298.980000000001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3265.7323134124822</v>
      </c>
      <c r="N74" s="105">
        <f>M74/L74</f>
        <v>653.14646268249646</v>
      </c>
      <c r="O74" s="107">
        <f>L74-I74</f>
        <v>0</v>
      </c>
      <c r="P74" s="108">
        <f>N74-K74</f>
        <v>-66.853537317503537</v>
      </c>
      <c r="Q74" s="109">
        <f>N74/K74</f>
        <v>0.90714786483680065</v>
      </c>
      <c r="R74" s="322"/>
      <c r="S74" s="46">
        <v>0.73402777777777783</v>
      </c>
      <c r="T74" s="47">
        <v>0.74216435185185192</v>
      </c>
      <c r="U74" s="110">
        <v>4.6833333333333194</v>
      </c>
      <c r="V74" s="111">
        <v>11.721720069579076</v>
      </c>
      <c r="W74" s="112"/>
      <c r="X74" s="13"/>
      <c r="Y74" s="331"/>
      <c r="Z74" s="332"/>
      <c r="AA74" s="116">
        <f>M74-J74</f>
        <v>-334.2676865875178</v>
      </c>
      <c r="AB74" s="109">
        <f>M74/J74</f>
        <v>0.90714786483680065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1293</v>
      </c>
      <c r="G75" s="102">
        <f t="shared" si="33"/>
        <v>24463.56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3264.4146589617917</v>
      </c>
      <c r="N75" s="105">
        <f>M75/L75</f>
        <v>652.88293179235836</v>
      </c>
      <c r="O75" s="107">
        <f>L75-I75</f>
        <v>0</v>
      </c>
      <c r="P75" s="108">
        <f>N75-K75</f>
        <v>-67.117068207641637</v>
      </c>
      <c r="Q75" s="109">
        <f>N75/K75</f>
        <v>0.9067818497116088</v>
      </c>
      <c r="R75" s="322"/>
      <c r="S75" s="46">
        <v>0.74583333333333335</v>
      </c>
      <c r="T75" s="47">
        <v>0.76232638888888893</v>
      </c>
      <c r="U75" s="110">
        <v>5.2833333333332533</v>
      </c>
      <c r="V75" s="111">
        <v>23.765363198275001</v>
      </c>
      <c r="W75" s="112"/>
      <c r="X75" s="13"/>
      <c r="Y75" s="331"/>
      <c r="Z75" s="332"/>
      <c r="AA75" s="116">
        <f>M75-J75</f>
        <v>-335.5853410382083</v>
      </c>
      <c r="AB75" s="109">
        <f>M75/J75</f>
        <v>0.9067818497116088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3216.6553240088538</v>
      </c>
      <c r="N89" s="137">
        <f t="shared" ref="N89:N94" si="37">M89/L89</f>
        <v>438.63481691029824</v>
      </c>
      <c r="O89" s="138">
        <f t="shared" ref="O89:O94" si="38">L89-I89</f>
        <v>0</v>
      </c>
      <c r="P89" s="139">
        <f t="shared" ref="P89:P94" si="39">N89-K89</f>
        <v>-52.274273998792694</v>
      </c>
      <c r="Q89" s="140">
        <f t="shared" ref="Q89:Q94" si="40">N89/K89</f>
        <v>0.8935153677802371</v>
      </c>
      <c r="R89" s="323"/>
      <c r="S89" s="141">
        <v>0.70833333333333337</v>
      </c>
      <c r="T89" s="142">
        <v>0.76232638888888893</v>
      </c>
      <c r="U89" s="143"/>
      <c r="V89" s="165"/>
      <c r="W89" s="166"/>
      <c r="X89" s="137"/>
      <c r="Y89" s="353"/>
      <c r="Z89" s="354"/>
      <c r="AA89" s="167">
        <f t="shared" ref="AA89:AA94" si="41">M89-J89</f>
        <v>-383.34467599114623</v>
      </c>
      <c r="AB89" s="140">
        <f t="shared" ref="AB89:AB94" si="42">M89/J89</f>
        <v>0.89351536778023721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585</v>
      </c>
      <c r="G90" s="147">
        <f t="shared" ref="G90:G94" si="43">E90*F90</f>
        <v>13612.949999999999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2741.4771411010993</v>
      </c>
      <c r="N90" s="151">
        <f t="shared" si="37"/>
        <v>548.29542822021983</v>
      </c>
      <c r="O90" s="153">
        <f t="shared" si="38"/>
        <v>0</v>
      </c>
      <c r="P90" s="154">
        <f t="shared" si="39"/>
        <v>-51.704571779780167</v>
      </c>
      <c r="Q90" s="155">
        <f t="shared" si="40"/>
        <v>0.91382571370036636</v>
      </c>
      <c r="R90" s="321">
        <f>Q106</f>
        <v>0.91369472171681554</v>
      </c>
      <c r="S90" s="156">
        <v>0.70833333333333337</v>
      </c>
      <c r="T90" s="157">
        <v>0.71722222222222221</v>
      </c>
      <c r="U90" s="158"/>
      <c r="V90" s="159">
        <v>12.803316676900058</v>
      </c>
      <c r="W90" s="160"/>
      <c r="X90" s="161"/>
      <c r="Y90" s="324"/>
      <c r="Z90" s="325"/>
      <c r="AA90" s="114">
        <f t="shared" si="41"/>
        <v>-258.52285889890072</v>
      </c>
      <c r="AB90" s="155">
        <f t="shared" si="42"/>
        <v>0.91382571370036647</v>
      </c>
      <c r="AC90" s="326">
        <f>AB106</f>
        <v>0.91369472171681554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1501</v>
      </c>
      <c r="G91" s="102">
        <f t="shared" si="43"/>
        <v>36834.54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2741.7099097226474</v>
      </c>
      <c r="N91" s="105">
        <f t="shared" si="37"/>
        <v>685.42747743066184</v>
      </c>
      <c r="O91" s="107">
        <f t="shared" si="38"/>
        <v>0</v>
      </c>
      <c r="P91" s="108">
        <f t="shared" si="39"/>
        <v>-64.572522569338162</v>
      </c>
      <c r="Q91" s="109">
        <f t="shared" si="40"/>
        <v>0.91390330324088243</v>
      </c>
      <c r="R91" s="322"/>
      <c r="S91" s="46">
        <v>0.72013888888888888</v>
      </c>
      <c r="T91" s="47">
        <v>0.74293981481481486</v>
      </c>
      <c r="U91" s="110">
        <v>5</v>
      </c>
      <c r="V91" s="111">
        <v>32.848114120545496</v>
      </c>
      <c r="W91" s="112"/>
      <c r="X91" s="115"/>
      <c r="Y91" s="331"/>
      <c r="Z91" s="332"/>
      <c r="AA91" s="116">
        <f t="shared" si="41"/>
        <v>-258.29009027735265</v>
      </c>
      <c r="AB91" s="109">
        <f t="shared" si="42"/>
        <v>0.91390330324088243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1555</v>
      </c>
      <c r="G92" s="102">
        <f t="shared" si="43"/>
        <v>37833.149999999994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2741.3237563503785</v>
      </c>
      <c r="N92" s="105">
        <f t="shared" si="37"/>
        <v>685.33093908759463</v>
      </c>
      <c r="O92" s="107">
        <f t="shared" si="38"/>
        <v>0</v>
      </c>
      <c r="P92" s="108">
        <f t="shared" si="39"/>
        <v>-64.669060912405371</v>
      </c>
      <c r="Q92" s="109">
        <f t="shared" si="40"/>
        <v>0.91377458545012613</v>
      </c>
      <c r="R92" s="322"/>
      <c r="S92" s="46">
        <v>0.74652777777777779</v>
      </c>
      <c r="T92" s="47">
        <v>0.77016203703703701</v>
      </c>
      <c r="U92" s="110">
        <v>5.1666666666666217</v>
      </c>
      <c r="V92" s="111">
        <v>34.03465197566215</v>
      </c>
      <c r="W92" s="112"/>
      <c r="X92" s="115"/>
      <c r="Y92" s="331"/>
      <c r="Z92" s="332"/>
      <c r="AA92" s="116">
        <f t="shared" si="41"/>
        <v>-258.67624364962148</v>
      </c>
      <c r="AB92" s="109">
        <f t="shared" si="42"/>
        <v>0.91377458545012613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1727</v>
      </c>
      <c r="G93" s="102">
        <f t="shared" si="43"/>
        <v>38477.560000000005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3012.9387743904617</v>
      </c>
      <c r="N93" s="105">
        <f t="shared" si="37"/>
        <v>602.58775487809237</v>
      </c>
      <c r="O93" s="107">
        <f t="shared" si="38"/>
        <v>0</v>
      </c>
      <c r="P93" s="108">
        <f t="shared" si="39"/>
        <v>-57.412245121907631</v>
      </c>
      <c r="Q93" s="109">
        <f t="shared" si="40"/>
        <v>0.91301174981529143</v>
      </c>
      <c r="R93" s="322"/>
      <c r="S93" s="46">
        <v>0.77361111111111114</v>
      </c>
      <c r="T93" s="47">
        <v>0.79748842592592595</v>
      </c>
      <c r="U93" s="110">
        <v>4.9666666666667503</v>
      </c>
      <c r="V93" s="111">
        <v>34.391671308011574</v>
      </c>
      <c r="W93" s="112"/>
      <c r="X93" s="115"/>
      <c r="Y93" s="331"/>
      <c r="Z93" s="332"/>
      <c r="AA93" s="116">
        <f t="shared" si="41"/>
        <v>-287.06122560953827</v>
      </c>
      <c r="AB93" s="109">
        <f t="shared" si="42"/>
        <v>0.91301174981529143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6077</v>
      </c>
      <c r="G94" s="102">
        <f t="shared" si="43"/>
        <v>108717.53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3016.1880772177346</v>
      </c>
      <c r="N94" s="105">
        <f t="shared" si="37"/>
        <v>754.04701930443366</v>
      </c>
      <c r="O94" s="107">
        <f t="shared" si="38"/>
        <v>0</v>
      </c>
      <c r="P94" s="108">
        <f t="shared" si="39"/>
        <v>-70.952980695566339</v>
      </c>
      <c r="Q94" s="109">
        <f t="shared" si="40"/>
        <v>0.9139963870356772</v>
      </c>
      <c r="R94" s="322"/>
      <c r="S94" s="46">
        <v>0.80138888888888893</v>
      </c>
      <c r="T94" s="47">
        <v>0.88533564814814825</v>
      </c>
      <c r="U94" s="110">
        <v>5.616666666666692</v>
      </c>
      <c r="V94" s="111">
        <v>120.8876869297692</v>
      </c>
      <c r="W94" s="112"/>
      <c r="X94" s="115"/>
      <c r="Y94" s="331"/>
      <c r="Z94" s="332"/>
      <c r="AA94" s="116">
        <f t="shared" si="41"/>
        <v>-283.81192278226536</v>
      </c>
      <c r="AB94" s="109">
        <f t="shared" si="42"/>
        <v>0.9139963870356772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2850.7275317564645</v>
      </c>
      <c r="N106" s="137">
        <f t="shared" ref="N106:N114" si="48">M106/L106</f>
        <v>647.89262085374185</v>
      </c>
      <c r="O106" s="138">
        <f t="shared" ref="O106:O114" si="49">L106-I106</f>
        <v>0</v>
      </c>
      <c r="P106" s="139">
        <f t="shared" ref="P106:P114" si="50">N106-K106</f>
        <v>-61.198288237167162</v>
      </c>
      <c r="Q106" s="140">
        <f t="shared" ref="Q106:Q114" si="51">N106/K106</f>
        <v>0.91369472171681554</v>
      </c>
      <c r="R106" s="323"/>
      <c r="S106" s="141">
        <v>0.70833333333333337</v>
      </c>
      <c r="T106" s="142">
        <v>0.88533564814814825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-269.27246824353551</v>
      </c>
      <c r="AB106" s="140">
        <f t="shared" ref="AB106:AB114" si="53">M106/J106</f>
        <v>0.91369472171681554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714</v>
      </c>
      <c r="G107" s="147">
        <f t="shared" ref="G107:G114" si="54">E107*F107</f>
        <v>12980.52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2743.3541168696356</v>
      </c>
      <c r="N107" s="151">
        <f t="shared" si="48"/>
        <v>914.45137228987858</v>
      </c>
      <c r="O107" s="153">
        <f t="shared" si="49"/>
        <v>0</v>
      </c>
      <c r="P107" s="154">
        <f t="shared" si="50"/>
        <v>-85.548627710121423</v>
      </c>
      <c r="Q107" s="155">
        <f t="shared" si="51"/>
        <v>0.91445137228987861</v>
      </c>
      <c r="R107" s="321">
        <f>Q123</f>
        <v>0.90389084583943924</v>
      </c>
      <c r="S107" s="156">
        <v>0.73124999999999996</v>
      </c>
      <c r="T107" s="157">
        <v>0.74208333333333332</v>
      </c>
      <c r="U107" s="158"/>
      <c r="V107" s="159">
        <v>15.615920575679645</v>
      </c>
      <c r="W107" s="160"/>
      <c r="X107" s="161"/>
      <c r="Y107" s="324"/>
      <c r="Z107" s="325"/>
      <c r="AA107" s="114">
        <f t="shared" si="52"/>
        <v>-256.64588313036438</v>
      </c>
      <c r="AB107" s="155">
        <f t="shared" si="53"/>
        <v>0.91445137228987849</v>
      </c>
      <c r="AC107" s="326">
        <f>AB123</f>
        <v>0.90389084583943924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449</v>
      </c>
      <c r="G108" s="102">
        <f t="shared" si="54"/>
        <v>8162.82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3220.4846169944904</v>
      </c>
      <c r="N108" s="105">
        <f t="shared" si="48"/>
        <v>1073.4948723314967</v>
      </c>
      <c r="O108" s="107">
        <f t="shared" si="49"/>
        <v>0</v>
      </c>
      <c r="P108" s="108">
        <f t="shared" si="50"/>
        <v>-126.50512766850329</v>
      </c>
      <c r="Q108" s="109">
        <f t="shared" si="51"/>
        <v>0.89457906027624723</v>
      </c>
      <c r="R108" s="322"/>
      <c r="S108" s="46">
        <v>0.75208333333333321</v>
      </c>
      <c r="T108" s="47">
        <v>0.75788194444444434</v>
      </c>
      <c r="U108" s="110">
        <v>15</v>
      </c>
      <c r="V108" s="111">
        <v>8.3652006464609947</v>
      </c>
      <c r="W108" s="112"/>
      <c r="X108" s="115"/>
      <c r="Y108" s="331"/>
      <c r="Z108" s="332"/>
      <c r="AA108" s="116">
        <f t="shared" si="52"/>
        <v>-379.51538300550965</v>
      </c>
      <c r="AB108" s="109">
        <f t="shared" si="53"/>
        <v>0.89457906027624734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2472</v>
      </c>
      <c r="G109" s="102">
        <f t="shared" si="54"/>
        <v>34682.159999999996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2745.4401003867824</v>
      </c>
      <c r="N109" s="105">
        <f t="shared" si="48"/>
        <v>915.14670012892748</v>
      </c>
      <c r="O109" s="107">
        <f t="shared" si="49"/>
        <v>0</v>
      </c>
      <c r="P109" s="108">
        <f t="shared" si="50"/>
        <v>-84.853299871072522</v>
      </c>
      <c r="Q109" s="109">
        <f t="shared" si="51"/>
        <v>0.91514670012892751</v>
      </c>
      <c r="R109" s="322"/>
      <c r="S109" s="46">
        <v>0.76805555555555538</v>
      </c>
      <c r="T109" s="47">
        <v>0.8055671296296294</v>
      </c>
      <c r="U109" s="110">
        <v>14.649999999999892</v>
      </c>
      <c r="V109" s="111">
        <v>54.024125304756936</v>
      </c>
      <c r="W109" s="112"/>
      <c r="X109" s="115"/>
      <c r="Y109" s="331"/>
      <c r="Z109" s="332"/>
      <c r="AA109" s="116">
        <f t="shared" si="52"/>
        <v>-254.55989961321757</v>
      </c>
      <c r="AB109" s="109">
        <f t="shared" si="53"/>
        <v>0.91514670012892751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3084</v>
      </c>
      <c r="G110" s="102">
        <f t="shared" si="54"/>
        <v>44039.519999999997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3222.0803308296872</v>
      </c>
      <c r="N110" s="105">
        <f t="shared" si="48"/>
        <v>1074.0267769432292</v>
      </c>
      <c r="O110" s="107">
        <f t="shared" si="49"/>
        <v>0</v>
      </c>
      <c r="P110" s="108">
        <f t="shared" si="50"/>
        <v>-125.97322305677085</v>
      </c>
      <c r="Q110" s="109">
        <f t="shared" si="51"/>
        <v>0.89502231411935762</v>
      </c>
      <c r="R110" s="322"/>
      <c r="S110" s="46">
        <v>0.81597222222222199</v>
      </c>
      <c r="T110" s="47">
        <v>0.85584490740740715</v>
      </c>
      <c r="U110" s="110">
        <v>14.983333333333331</v>
      </c>
      <c r="V110" s="111">
        <v>57.428735785849298</v>
      </c>
      <c r="W110" s="112"/>
      <c r="X110" s="115"/>
      <c r="Y110" s="331"/>
      <c r="Z110" s="332"/>
      <c r="AA110" s="116">
        <f t="shared" si="52"/>
        <v>-377.91966917031277</v>
      </c>
      <c r="AB110" s="109">
        <f t="shared" si="53"/>
        <v>0.89502231411935751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1533</v>
      </c>
      <c r="G111" s="102">
        <f t="shared" si="54"/>
        <v>27869.94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2743.3541168696356</v>
      </c>
      <c r="N111" s="105">
        <f t="shared" si="48"/>
        <v>914.45137228987858</v>
      </c>
      <c r="O111" s="107">
        <f t="shared" si="49"/>
        <v>0</v>
      </c>
      <c r="P111" s="108">
        <f t="shared" si="50"/>
        <v>-85.548627710121423</v>
      </c>
      <c r="Q111" s="109">
        <f t="shared" si="51"/>
        <v>0.91445137228987861</v>
      </c>
      <c r="R111" s="322"/>
      <c r="S111" s="46">
        <v>0.86597222222222192</v>
      </c>
      <c r="T111" s="47">
        <v>0.88924768518518493</v>
      </c>
      <c r="U111" s="110">
        <v>14.583333333333268</v>
      </c>
      <c r="V111" s="111">
        <v>33.528300059547469</v>
      </c>
      <c r="W111" s="112"/>
      <c r="X111" s="115"/>
      <c r="Y111" s="331"/>
      <c r="Z111" s="332"/>
      <c r="AA111" s="116">
        <f t="shared" si="52"/>
        <v>-256.64588313036438</v>
      </c>
      <c r="AB111" s="109">
        <f t="shared" si="53"/>
        <v>0.91445137228987849</v>
      </c>
      <c r="AC111" s="327"/>
    </row>
    <row r="112" spans="1:29" ht="15.75" customHeight="1">
      <c r="A112" s="317"/>
      <c r="B112" s="99" t="s">
        <v>121</v>
      </c>
      <c r="C112" s="329" t="s">
        <v>152</v>
      </c>
      <c r="D112" s="330"/>
      <c r="E112" s="100">
        <v>18.18</v>
      </c>
      <c r="F112" s="101">
        <v>940</v>
      </c>
      <c r="G112" s="120">
        <f t="shared" si="54"/>
        <v>17089.2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3220.4846169944908</v>
      </c>
      <c r="N112" s="105">
        <f t="shared" si="48"/>
        <v>1073.4948723314969</v>
      </c>
      <c r="O112" s="107">
        <f t="shared" si="49"/>
        <v>0</v>
      </c>
      <c r="P112" s="108">
        <f t="shared" si="50"/>
        <v>-126.50512766850306</v>
      </c>
      <c r="Q112" s="109">
        <f t="shared" si="51"/>
        <v>0.89457906027624745</v>
      </c>
      <c r="R112" s="322"/>
      <c r="S112" s="46">
        <v>0.89930555555555525</v>
      </c>
      <c r="T112" s="119">
        <v>0.91145833333333304</v>
      </c>
      <c r="U112" s="110">
        <v>15</v>
      </c>
      <c r="V112" s="111">
        <v>17.51289222198961</v>
      </c>
      <c r="W112" s="112"/>
      <c r="X112" s="115"/>
      <c r="Y112" s="331"/>
      <c r="Z112" s="332"/>
      <c r="AA112" s="116">
        <f t="shared" si="52"/>
        <v>-379.51538300550919</v>
      </c>
      <c r="AB112" s="109">
        <f t="shared" si="53"/>
        <v>0.89457906027624745</v>
      </c>
      <c r="AC112" s="327"/>
    </row>
    <row r="113" spans="1:29" ht="15.75" customHeight="1">
      <c r="A113" s="317"/>
      <c r="B113" s="99" t="s">
        <v>121</v>
      </c>
      <c r="C113" s="329" t="s">
        <v>153</v>
      </c>
      <c r="D113" s="330"/>
      <c r="E113" s="100">
        <v>14.03</v>
      </c>
      <c r="F113" s="101">
        <v>6293</v>
      </c>
      <c r="G113" s="120">
        <f t="shared" si="54"/>
        <v>88290.79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2745.4401003867824</v>
      </c>
      <c r="N113" s="105">
        <f t="shared" si="48"/>
        <v>915.14670012892748</v>
      </c>
      <c r="O113" s="122">
        <f t="shared" si="49"/>
        <v>0</v>
      </c>
      <c r="P113" s="123">
        <f t="shared" si="50"/>
        <v>-84.853299871072522</v>
      </c>
      <c r="Q113" s="124">
        <f t="shared" si="51"/>
        <v>0.91514670012892751</v>
      </c>
      <c r="R113" s="322"/>
      <c r="S113" s="46">
        <v>0.92152777777777739</v>
      </c>
      <c r="T113" s="119">
        <v>1.0170254629629625</v>
      </c>
      <c r="U113" s="110">
        <v>15</v>
      </c>
      <c r="V113" s="111">
        <v>137.52986267914054</v>
      </c>
      <c r="W113" s="112"/>
      <c r="X113" s="115"/>
      <c r="Y113" s="331"/>
      <c r="Z113" s="332"/>
      <c r="AA113" s="116">
        <f t="shared" si="52"/>
        <v>-254.55989961321757</v>
      </c>
      <c r="AB113" s="109">
        <f t="shared" si="53"/>
        <v>0.91514670012892751</v>
      </c>
      <c r="AC113" s="327"/>
    </row>
    <row r="114" spans="1:29" ht="15.75" customHeight="1">
      <c r="A114" s="317"/>
      <c r="B114" s="99" t="s">
        <v>121</v>
      </c>
      <c r="C114" s="329" t="s">
        <v>154</v>
      </c>
      <c r="D114" s="330"/>
      <c r="E114" s="100">
        <v>14.28</v>
      </c>
      <c r="F114" s="101">
        <v>8163</v>
      </c>
      <c r="G114" s="120">
        <f t="shared" si="54"/>
        <v>116567.64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3222.0803308296877</v>
      </c>
      <c r="N114" s="105">
        <f t="shared" si="48"/>
        <v>1074.0267769432292</v>
      </c>
      <c r="O114" s="122">
        <f t="shared" si="49"/>
        <v>0</v>
      </c>
      <c r="P114" s="123">
        <f t="shared" si="50"/>
        <v>-125.97322305677085</v>
      </c>
      <c r="Q114" s="124">
        <f t="shared" si="51"/>
        <v>0.89502231411935762</v>
      </c>
      <c r="R114" s="322"/>
      <c r="S114" s="46">
        <v>1.0270833333333329</v>
      </c>
      <c r="T114" s="119">
        <v>1.1326388888888885</v>
      </c>
      <c r="U114" s="110">
        <v>15</v>
      </c>
      <c r="V114" s="111">
        <v>152.00738333978202</v>
      </c>
      <c r="W114" s="112"/>
      <c r="X114" s="115"/>
      <c r="Y114" s="331"/>
      <c r="Z114" s="332"/>
      <c r="AA114" s="116">
        <f t="shared" si="52"/>
        <v>-377.91966917031232</v>
      </c>
      <c r="AB114" s="109">
        <f t="shared" si="53"/>
        <v>0.89502231411935773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2982.8397912701494</v>
      </c>
      <c r="N123" s="137">
        <f t="shared" ref="N123:N135" si="59">M123/L123</f>
        <v>994.27993042338312</v>
      </c>
      <c r="O123" s="138">
        <f t="shared" ref="O123:O135" si="60">L123-I123</f>
        <v>0</v>
      </c>
      <c r="P123" s="139">
        <f t="shared" ref="P123:P135" si="61">N123-K123</f>
        <v>-105.72006957661688</v>
      </c>
      <c r="Q123" s="140">
        <f t="shared" ref="Q123:Q135" si="62">N123/K123</f>
        <v>0.90389084583943924</v>
      </c>
      <c r="R123" s="323"/>
      <c r="S123" s="141">
        <v>0.73124999999999996</v>
      </c>
      <c r="T123" s="142">
        <v>1.1326388888888885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-317.16020872985064</v>
      </c>
      <c r="AB123" s="140">
        <f t="shared" ref="AB123:AB135" si="64">M123/J123</f>
        <v>0.90389084583943924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550</v>
      </c>
      <c r="G124" s="147">
        <f t="shared" ref="G124:G135" si="65">E124*F124</f>
        <v>13766.5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3218.5087436999593</v>
      </c>
      <c r="N124" s="151">
        <f t="shared" si="59"/>
        <v>643.7017487399919</v>
      </c>
      <c r="O124" s="153">
        <f t="shared" si="60"/>
        <v>0</v>
      </c>
      <c r="P124" s="154">
        <f t="shared" si="61"/>
        <v>-76.298251260008101</v>
      </c>
      <c r="Q124" s="155">
        <f t="shared" si="62"/>
        <v>0.89403020658332211</v>
      </c>
      <c r="R124" s="321">
        <f>Q140</f>
        <v>0.8942915321562479</v>
      </c>
      <c r="S124" s="156">
        <v>0.74097222222222225</v>
      </c>
      <c r="T124" s="157">
        <v>0.74809027777777781</v>
      </c>
      <c r="U124" s="158"/>
      <c r="V124" s="159">
        <v>10.25319569648383</v>
      </c>
      <c r="W124" s="157"/>
      <c r="X124" s="168"/>
      <c r="Y124" s="324"/>
      <c r="Z124" s="325"/>
      <c r="AA124" s="170">
        <f t="shared" si="63"/>
        <v>-381.49125630004073</v>
      </c>
      <c r="AB124" s="155">
        <f t="shared" si="64"/>
        <v>0.894030206583322</v>
      </c>
      <c r="AC124" s="326">
        <f>AB140</f>
        <v>0.89429153215624779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510</v>
      </c>
      <c r="G125" s="102">
        <f t="shared" si="65"/>
        <v>8517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3221.9638854278305</v>
      </c>
      <c r="N125" s="105">
        <f t="shared" si="59"/>
        <v>1073.9879618092768</v>
      </c>
      <c r="O125" s="107">
        <f t="shared" si="60"/>
        <v>0</v>
      </c>
      <c r="P125" s="108">
        <f t="shared" si="61"/>
        <v>-126.01203819072316</v>
      </c>
      <c r="Q125" s="109">
        <f t="shared" si="62"/>
        <v>0.89498996817439735</v>
      </c>
      <c r="R125" s="322"/>
      <c r="S125" s="46">
        <v>0.7583333333333333</v>
      </c>
      <c r="T125" s="47">
        <v>0.76491898148148141</v>
      </c>
      <c r="U125" s="110">
        <v>14.749999999999908</v>
      </c>
      <c r="V125" s="111">
        <v>9.4973131568595335</v>
      </c>
      <c r="W125" s="112"/>
      <c r="X125" s="13"/>
      <c r="Y125" s="331"/>
      <c r="Z125" s="332"/>
      <c r="AA125" s="171">
        <f t="shared" si="63"/>
        <v>-378.03611457216948</v>
      </c>
      <c r="AB125" s="109">
        <f t="shared" si="64"/>
        <v>0.89498996817439735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762</v>
      </c>
      <c r="G126" s="102">
        <f t="shared" si="65"/>
        <v>22860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3216.3600309830331</v>
      </c>
      <c r="N126" s="105">
        <f t="shared" si="59"/>
        <v>804.09000774575827</v>
      </c>
      <c r="O126" s="107">
        <f t="shared" si="60"/>
        <v>0</v>
      </c>
      <c r="P126" s="108">
        <f t="shared" si="61"/>
        <v>-95.909992254241729</v>
      </c>
      <c r="Q126" s="109">
        <f t="shared" si="62"/>
        <v>0.89343334193973145</v>
      </c>
      <c r="R126" s="322"/>
      <c r="S126" s="46">
        <v>0.77499999999999991</v>
      </c>
      <c r="T126" s="47">
        <v>0.78486111111111101</v>
      </c>
      <c r="U126" s="110">
        <v>14.516666666666644</v>
      </c>
      <c r="V126" s="111">
        <v>14.214826561573194</v>
      </c>
      <c r="W126" s="112"/>
      <c r="X126" s="13"/>
      <c r="Y126" s="331"/>
      <c r="Z126" s="332"/>
      <c r="AA126" s="171">
        <f t="shared" si="63"/>
        <v>-383.63996901696692</v>
      </c>
      <c r="AB126" s="109">
        <f t="shared" si="64"/>
        <v>0.89343334193973145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767</v>
      </c>
      <c r="G127" s="102">
        <f t="shared" si="65"/>
        <v>19036.939999999999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3220.5931506730572</v>
      </c>
      <c r="N127" s="105">
        <f t="shared" si="59"/>
        <v>644.11863013461141</v>
      </c>
      <c r="O127" s="107">
        <f t="shared" si="60"/>
        <v>0</v>
      </c>
      <c r="P127" s="108">
        <f t="shared" si="61"/>
        <v>-75.881369865388592</v>
      </c>
      <c r="Q127" s="109">
        <f t="shared" si="62"/>
        <v>0.89460920852029358</v>
      </c>
      <c r="R127" s="322"/>
      <c r="S127" s="46">
        <v>0.79513888888888873</v>
      </c>
      <c r="T127" s="47">
        <v>0.80505787037037024</v>
      </c>
      <c r="U127" s="110">
        <v>14.799999999999915</v>
      </c>
      <c r="V127" s="111">
        <v>14.289293259653888</v>
      </c>
      <c r="W127" s="112"/>
      <c r="X127" s="13"/>
      <c r="Y127" s="331"/>
      <c r="Z127" s="332"/>
      <c r="AA127" s="171">
        <f t="shared" si="63"/>
        <v>-379.40684932694285</v>
      </c>
      <c r="AB127" s="109">
        <f t="shared" si="64"/>
        <v>0.89460920852029369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1134</v>
      </c>
      <c r="G128" s="102">
        <f t="shared" si="65"/>
        <v>20616.12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3218.603411439085</v>
      </c>
      <c r="N128" s="105">
        <f t="shared" si="59"/>
        <v>1072.8678038130283</v>
      </c>
      <c r="O128" s="107">
        <f t="shared" si="60"/>
        <v>0</v>
      </c>
      <c r="P128" s="108">
        <f t="shared" si="61"/>
        <v>-127.13219618697167</v>
      </c>
      <c r="Q128" s="109">
        <f t="shared" si="62"/>
        <v>0.89405650317752361</v>
      </c>
      <c r="R128" s="322"/>
      <c r="S128" s="46">
        <v>0.81527777777777755</v>
      </c>
      <c r="T128" s="47">
        <v>0.82995370370370347</v>
      </c>
      <c r="U128" s="110">
        <v>14.716666666666516</v>
      </c>
      <c r="V128" s="111">
        <v>21.139603518153955</v>
      </c>
      <c r="W128" s="112"/>
      <c r="X128" s="115"/>
      <c r="Y128" s="331"/>
      <c r="Z128" s="332"/>
      <c r="AA128" s="171">
        <f t="shared" si="63"/>
        <v>-381.39658856091501</v>
      </c>
      <c r="AB128" s="109">
        <f t="shared" si="64"/>
        <v>0.89405650317752361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2553</v>
      </c>
      <c r="G129" s="120">
        <f t="shared" si="65"/>
        <v>42532.98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3220.6678723519899</v>
      </c>
      <c r="N129" s="105">
        <f t="shared" si="59"/>
        <v>644.133574470398</v>
      </c>
      <c r="O129" s="107">
        <f t="shared" si="60"/>
        <v>0</v>
      </c>
      <c r="P129" s="108">
        <f t="shared" si="61"/>
        <v>-75.866425529601997</v>
      </c>
      <c r="Q129" s="109">
        <f t="shared" si="62"/>
        <v>0.89462996454221944</v>
      </c>
      <c r="R129" s="322"/>
      <c r="S129" s="46">
        <v>0.84027777777777746</v>
      </c>
      <c r="T129" s="119">
        <v>0.87329861111111073</v>
      </c>
      <c r="U129" s="110">
        <v>14.866666666666539</v>
      </c>
      <c r="V129" s="111">
        <v>47.56156364801928</v>
      </c>
      <c r="W129" s="112"/>
      <c r="X129" s="49"/>
      <c r="Y129" s="331"/>
      <c r="Z129" s="332"/>
      <c r="AA129" s="171">
        <f t="shared" si="63"/>
        <v>-379.3321276480101</v>
      </c>
      <c r="AB129" s="109">
        <f t="shared" si="64"/>
        <v>0.89462996454221944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1134</v>
      </c>
      <c r="G130" s="120">
        <f t="shared" si="65"/>
        <v>28384.02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3218.5087436999588</v>
      </c>
      <c r="N130" s="105">
        <f t="shared" si="59"/>
        <v>643.70174873999179</v>
      </c>
      <c r="O130" s="122">
        <f t="shared" si="60"/>
        <v>0</v>
      </c>
      <c r="P130" s="123">
        <f t="shared" si="61"/>
        <v>-76.298251260008215</v>
      </c>
      <c r="Q130" s="124">
        <f t="shared" si="62"/>
        <v>0.89403020658332188</v>
      </c>
      <c r="R130" s="322"/>
      <c r="S130" s="46">
        <v>0.88333333333333297</v>
      </c>
      <c r="T130" s="119">
        <v>0.8980092592592589</v>
      </c>
      <c r="U130" s="110">
        <v>15</v>
      </c>
      <c r="V130" s="111">
        <v>21.140225308750299</v>
      </c>
      <c r="W130" s="112"/>
      <c r="X130" s="115"/>
      <c r="Y130" s="331"/>
      <c r="Z130" s="332"/>
      <c r="AA130" s="171">
        <f t="shared" si="63"/>
        <v>-381.49125630004119</v>
      </c>
      <c r="AB130" s="109">
        <f t="shared" si="64"/>
        <v>0.89403020658332188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1078</v>
      </c>
      <c r="G131" s="120">
        <f t="shared" si="65"/>
        <v>18002.599999999999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3221.9638854278305</v>
      </c>
      <c r="N131" s="105">
        <f t="shared" si="59"/>
        <v>1073.9879618092768</v>
      </c>
      <c r="O131" s="122">
        <f t="shared" si="60"/>
        <v>0</v>
      </c>
      <c r="P131" s="123">
        <f t="shared" si="61"/>
        <v>-126.01203819072316</v>
      </c>
      <c r="Q131" s="124">
        <f t="shared" si="62"/>
        <v>0.89498996817439735</v>
      </c>
      <c r="R131" s="322"/>
      <c r="S131" s="46">
        <v>0.90833333333333288</v>
      </c>
      <c r="T131" s="119">
        <v>0.9222685185185181</v>
      </c>
      <c r="U131" s="110">
        <v>14.866666666666539</v>
      </c>
      <c r="V131" s="111">
        <v>20.074712908028584</v>
      </c>
      <c r="W131" s="112"/>
      <c r="X131" s="115"/>
      <c r="Y131" s="331"/>
      <c r="Z131" s="332"/>
      <c r="AA131" s="171">
        <f t="shared" si="63"/>
        <v>-378.03611457216948</v>
      </c>
      <c r="AB131" s="109">
        <f t="shared" si="64"/>
        <v>0.89498996817439735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1816</v>
      </c>
      <c r="G132" s="120">
        <f t="shared" si="65"/>
        <v>54480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3216.3600309830331</v>
      </c>
      <c r="N132" s="105">
        <f t="shared" si="59"/>
        <v>804.09000774575827</v>
      </c>
      <c r="O132" s="122">
        <f t="shared" si="60"/>
        <v>0</v>
      </c>
      <c r="P132" s="123">
        <f t="shared" si="61"/>
        <v>-95.909992254241729</v>
      </c>
      <c r="Q132" s="124">
        <f t="shared" si="62"/>
        <v>0.89343334193973145</v>
      </c>
      <c r="R132" s="322"/>
      <c r="S132" s="46">
        <v>0.93263888888888835</v>
      </c>
      <c r="T132" s="119">
        <v>0.95615740740740685</v>
      </c>
      <c r="U132" s="110">
        <v>14.933333333333163</v>
      </c>
      <c r="V132" s="111">
        <v>33.876804508946087</v>
      </c>
      <c r="W132" s="125"/>
      <c r="X132" s="126"/>
      <c r="Y132" s="331"/>
      <c r="Z132" s="332"/>
      <c r="AA132" s="171">
        <f t="shared" si="63"/>
        <v>-383.63996901696692</v>
      </c>
      <c r="AB132" s="109">
        <f t="shared" si="64"/>
        <v>0.89343334193973145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1751</v>
      </c>
      <c r="G133" s="120">
        <f t="shared" si="65"/>
        <v>43459.82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3220.5931506730572</v>
      </c>
      <c r="N133" s="105">
        <f t="shared" si="59"/>
        <v>644.11863013461141</v>
      </c>
      <c r="O133" s="122">
        <f t="shared" si="60"/>
        <v>0</v>
      </c>
      <c r="P133" s="123">
        <f t="shared" si="61"/>
        <v>-75.881369865388592</v>
      </c>
      <c r="Q133" s="124">
        <f t="shared" si="62"/>
        <v>0.89460920852029358</v>
      </c>
      <c r="R133" s="322"/>
      <c r="S133" s="46">
        <v>0.96597222222222168</v>
      </c>
      <c r="T133" s="119">
        <v>0.98862268518518459</v>
      </c>
      <c r="U133" s="110">
        <v>15</v>
      </c>
      <c r="V133" s="111">
        <v>32.621320075168136</v>
      </c>
      <c r="W133" s="125"/>
      <c r="X133" s="126"/>
      <c r="Y133" s="331"/>
      <c r="Z133" s="332"/>
      <c r="AA133" s="171">
        <f t="shared" si="63"/>
        <v>-379.40684932694285</v>
      </c>
      <c r="AB133" s="109">
        <f t="shared" si="64"/>
        <v>0.89460920852029369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2810</v>
      </c>
      <c r="G134" s="120">
        <f t="shared" si="65"/>
        <v>51085.799999999996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3218.6034114390845</v>
      </c>
      <c r="N134" s="105">
        <f t="shared" si="59"/>
        <v>1072.8678038130281</v>
      </c>
      <c r="O134" s="122">
        <f t="shared" si="60"/>
        <v>0</v>
      </c>
      <c r="P134" s="123">
        <f t="shared" si="61"/>
        <v>-127.1321961869719</v>
      </c>
      <c r="Q134" s="124">
        <f t="shared" si="62"/>
        <v>0.89405650317752339</v>
      </c>
      <c r="R134" s="322"/>
      <c r="S134" s="46">
        <v>0.99861111111111056</v>
      </c>
      <c r="T134" s="119">
        <v>1.0349768518518514</v>
      </c>
      <c r="U134" s="110">
        <v>15</v>
      </c>
      <c r="V134" s="111">
        <v>52.382968153450278</v>
      </c>
      <c r="W134" s="125"/>
      <c r="X134" s="126"/>
      <c r="Y134" s="331"/>
      <c r="Z134" s="332"/>
      <c r="AA134" s="171">
        <f t="shared" si="63"/>
        <v>-381.39658856091546</v>
      </c>
      <c r="AB134" s="109">
        <f t="shared" si="64"/>
        <v>0.8940565031775235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6557</v>
      </c>
      <c r="G135" s="120">
        <f t="shared" si="65"/>
        <v>109239.62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3220.6678723519904</v>
      </c>
      <c r="N135" s="105">
        <f t="shared" si="59"/>
        <v>644.13357447039812</v>
      </c>
      <c r="O135" s="122">
        <f t="shared" si="60"/>
        <v>0</v>
      </c>
      <c r="P135" s="123">
        <f t="shared" si="61"/>
        <v>-75.866425529601884</v>
      </c>
      <c r="Q135" s="124">
        <f t="shared" si="62"/>
        <v>0.89462996454221966</v>
      </c>
      <c r="R135" s="322"/>
      <c r="S135" s="46">
        <v>1.0451388888888884</v>
      </c>
      <c r="T135" s="119">
        <v>1.1299652777777773</v>
      </c>
      <c r="U135" s="110">
        <v>14.633333333333276</v>
      </c>
      <c r="V135" s="111">
        <v>122.15478763809729</v>
      </c>
      <c r="W135" s="125"/>
      <c r="X135" s="126"/>
      <c r="Y135" s="331"/>
      <c r="Z135" s="332"/>
      <c r="AA135" s="171">
        <f t="shared" si="63"/>
        <v>-379.33212764800965</v>
      </c>
      <c r="AB135" s="109">
        <f t="shared" si="64"/>
        <v>0.89462996454221955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3219.449515762492</v>
      </c>
      <c r="N140" s="137">
        <f>M140/L140</f>
        <v>772.66788378299805</v>
      </c>
      <c r="O140" s="138">
        <f>L140-I140</f>
        <v>0</v>
      </c>
      <c r="P140" s="139">
        <f>N140-K140</f>
        <v>-91.33211621700184</v>
      </c>
      <c r="Q140" s="140">
        <f>N140/K140</f>
        <v>0.8942915321562479</v>
      </c>
      <c r="R140" s="323"/>
      <c r="S140" s="141">
        <v>0.74097222222222225</v>
      </c>
      <c r="T140" s="142">
        <v>1.1299652777777773</v>
      </c>
      <c r="U140" s="143"/>
      <c r="V140" s="165"/>
      <c r="W140" s="166"/>
      <c r="X140" s="137"/>
      <c r="Y140" s="353"/>
      <c r="Z140" s="354"/>
      <c r="AA140" s="173">
        <f>M140-J140</f>
        <v>-380.55048423750804</v>
      </c>
      <c r="AB140" s="140">
        <f>M140/J140</f>
        <v>0.89429153215624779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06" priority="1" operator="greaterThan">
      <formula>0</formula>
    </cfRule>
  </conditionalFormatting>
  <conditionalFormatting sqref="P5:P140 AA5:AA140">
    <cfRule type="cellIs" dxfId="205" priority="4" operator="lessThan">
      <formula>0</formula>
    </cfRule>
  </conditionalFormatting>
  <conditionalFormatting sqref="Q5:Q140 AB5:AB140">
    <cfRule type="cellIs" dxfId="204" priority="2" operator="greaterThan">
      <formula>1</formula>
    </cfRule>
    <cfRule type="cellIs" dxfId="203" priority="3" operator="lessThan">
      <formula>0.8</formula>
    </cfRule>
  </conditionalFormatting>
  <conditionalFormatting sqref="AC5:AC6 R5:R140 AC73:AC78">
    <cfRule type="cellIs" dxfId="202" priority="5" operator="lessThan">
      <formula>0.8</formula>
    </cfRule>
  </conditionalFormatting>
  <conditionalFormatting sqref="AC12:AC20">
    <cfRule type="cellIs" dxfId="201" priority="12" operator="lessThan">
      <formula>0.8</formula>
    </cfRule>
  </conditionalFormatting>
  <conditionalFormatting sqref="AC22">
    <cfRule type="cellIs" dxfId="200" priority="11" operator="lessThan">
      <formula>0.8</formula>
    </cfRule>
  </conditionalFormatting>
  <conditionalFormatting sqref="AC39">
    <cfRule type="cellIs" dxfId="199" priority="7" operator="lessThan">
      <formula>0.8</formula>
    </cfRule>
  </conditionalFormatting>
  <conditionalFormatting sqref="AC56:AC61">
    <cfRule type="cellIs" dxfId="198" priority="6" operator="lessThan">
      <formula>0.8</formula>
    </cfRule>
  </conditionalFormatting>
  <conditionalFormatting sqref="AC90">
    <cfRule type="cellIs" dxfId="197" priority="10" operator="lessThan">
      <formula>0.8</formula>
    </cfRule>
  </conditionalFormatting>
  <conditionalFormatting sqref="AC107">
    <cfRule type="cellIs" dxfId="196" priority="9" operator="lessThan">
      <formula>0.8</formula>
    </cfRule>
  </conditionalFormatting>
  <conditionalFormatting sqref="AC124:AC129">
    <cfRule type="cellIs" dxfId="195" priority="8" operator="lessThan">
      <formula>0.8</formula>
    </cfRule>
  </conditionalFormatting>
  <dataValidations count="1">
    <dataValidation type="list" allowBlank="1" showInputMessage="1" showErrorMessage="1" sqref="Y5:Z140" xr:uid="{9E6133FA-6DB4-4A8B-87C7-4627DBFA2CC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65F7-264F-4EB5-B22F-95D600C9CE0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N47" sqref="N47"/>
      <selection activeCell="N47" sqref="N47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98571</v>
      </c>
      <c r="E1" s="87" t="s">
        <v>4</v>
      </c>
      <c r="F1" s="88">
        <f>SUM(G5:G140)</f>
        <v>4420974.209999999</v>
      </c>
      <c r="G1" s="89" t="s">
        <v>85</v>
      </c>
      <c r="H1" s="90">
        <f>L21+L38+L55+L72+L89+L106+L123+L140</f>
        <v>137.24285714285716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46243</v>
      </c>
      <c r="B2" s="294"/>
      <c r="C2" s="91" t="s">
        <v>41</v>
      </c>
      <c r="D2" s="92">
        <f>AVERAGE(N21,N38,N55,N72,N89,N106,N123,N140)</f>
        <v>201.09368571646215</v>
      </c>
      <c r="E2" s="92" t="s">
        <v>92</v>
      </c>
      <c r="F2" s="93">
        <f>F1/D1</f>
        <v>44.850658002860875</v>
      </c>
      <c r="G2" s="94" t="s">
        <v>93</v>
      </c>
      <c r="H2" s="95">
        <f>COUNT(H5:H140)</f>
        <v>2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3453</v>
      </c>
      <c r="G5" s="147">
        <f t="shared" ref="G5:G8" si="0">E5*F5</f>
        <v>68024.099999999991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1082.9672881768488</v>
      </c>
      <c r="N5" s="151">
        <f>M5/L5</f>
        <v>83.305176013603756</v>
      </c>
      <c r="O5" s="153">
        <f>L5-I5</f>
        <v>0</v>
      </c>
      <c r="P5" s="154">
        <f>N5-K5</f>
        <v>-9.0025162940885508</v>
      </c>
      <c r="Q5" s="155">
        <f>N5/K5</f>
        <v>0.902472740147374</v>
      </c>
      <c r="R5" s="321">
        <f>Q21</f>
        <v>0.90200751170928017</v>
      </c>
      <c r="S5" s="156">
        <v>0.20833333333333334</v>
      </c>
      <c r="T5" s="157">
        <v>0.3411805555555556</v>
      </c>
      <c r="U5" s="158"/>
      <c r="V5" s="159">
        <v>191.30771747388872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-117.0327118231512</v>
      </c>
      <c r="AF5" s="131">
        <f>M5/J5</f>
        <v>0.902472740147374</v>
      </c>
      <c r="AG5" s="367">
        <f>AF21</f>
        <v>0.90200751170928029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4553</v>
      </c>
      <c r="G6" s="102">
        <f t="shared" si="0"/>
        <v>256925.79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1804.5548219448356</v>
      </c>
      <c r="N6" s="105">
        <f>M6/L6</f>
        <v>75.189784247701482</v>
      </c>
      <c r="O6" s="107">
        <f>L6-I6</f>
        <v>0</v>
      </c>
      <c r="P6" s="108">
        <f>N6-K6</f>
        <v>-8.1435490856318467</v>
      </c>
      <c r="Q6" s="109">
        <f>N6/K6</f>
        <v>0.90227741097241787</v>
      </c>
      <c r="R6" s="322"/>
      <c r="S6" s="46">
        <v>0.34444444444444444</v>
      </c>
      <c r="T6" s="47">
        <v>0.44957175925925924</v>
      </c>
      <c r="U6" s="110">
        <v>4.6999999999999353</v>
      </c>
      <c r="V6" s="111">
        <v>151.38359703895489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-195.44517805516443</v>
      </c>
      <c r="AF6" s="109">
        <f>M6/J6</f>
        <v>0.90227741097241776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1001</v>
      </c>
      <c r="G7" s="102">
        <f t="shared" si="0"/>
        <v>77427.349999999991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1803.0216040393495</v>
      </c>
      <c r="N7" s="105">
        <f>M7/L7</f>
        <v>72.120864161573977</v>
      </c>
      <c r="O7" s="107">
        <f>L7-I7</f>
        <v>0</v>
      </c>
      <c r="P7" s="108">
        <f>N7-K7</f>
        <v>-7.8791358384260235</v>
      </c>
      <c r="Q7" s="109">
        <f>N7/K7</f>
        <v>0.90151080201967471</v>
      </c>
      <c r="R7" s="322"/>
      <c r="S7" s="46">
        <v>0.45277777777777778</v>
      </c>
      <c r="T7" s="47">
        <v>0.47590277777777779</v>
      </c>
      <c r="U7" s="110">
        <v>4.6166666666666956</v>
      </c>
      <c r="V7" s="111">
        <v>33.310748948013845</v>
      </c>
      <c r="W7" s="112">
        <v>0.47590277777777779</v>
      </c>
      <c r="X7" s="115">
        <v>0.51527777777777772</v>
      </c>
      <c r="Y7" s="12"/>
      <c r="Z7" s="197"/>
      <c r="AA7" s="331"/>
      <c r="AB7" s="332"/>
      <c r="AC7" s="12"/>
      <c r="AD7" s="197"/>
      <c r="AE7" s="116">
        <f>M7-J7</f>
        <v>-196.97839596065046</v>
      </c>
      <c r="AF7" s="109">
        <f>M7/J7</f>
        <v>0.90151080201967482</v>
      </c>
      <c r="AG7" s="368"/>
    </row>
    <row r="8" spans="1:33" ht="15.75" customHeight="1">
      <c r="A8" s="317"/>
      <c r="B8" s="99" t="s">
        <v>188</v>
      </c>
      <c r="C8" s="370" t="s">
        <v>190</v>
      </c>
      <c r="D8" s="370"/>
      <c r="E8" s="100">
        <v>59.52</v>
      </c>
      <c r="F8" s="101">
        <v>5733</v>
      </c>
      <c r="G8" s="102">
        <f t="shared" si="0"/>
        <v>341228.16000000003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1803.9103701457846</v>
      </c>
      <c r="N8" s="105">
        <f>M8/L8</f>
        <v>75.16293208940769</v>
      </c>
      <c r="O8" s="107">
        <f>L8-I8</f>
        <v>0</v>
      </c>
      <c r="P8" s="108">
        <f>N8-K8</f>
        <v>-8.1704012439256388</v>
      </c>
      <c r="Q8" s="109">
        <f>N8/K8</f>
        <v>0.9019551850728923</v>
      </c>
      <c r="R8" s="322"/>
      <c r="S8" s="46">
        <v>0.51527777777777772</v>
      </c>
      <c r="T8" s="47">
        <v>0.64769675925925918</v>
      </c>
      <c r="U8" s="110">
        <v>56.69999999999991</v>
      </c>
      <c r="V8" s="111">
        <v>190.68574896667454</v>
      </c>
      <c r="W8" s="112"/>
      <c r="X8" s="115"/>
      <c r="Y8" s="12"/>
      <c r="Z8" s="197"/>
      <c r="AA8" s="331"/>
      <c r="AB8" s="332"/>
      <c r="AC8" s="12"/>
      <c r="AD8" s="197"/>
      <c r="AE8" s="116">
        <f>M8-J8</f>
        <v>-196.08962985421545</v>
      </c>
      <c r="AF8" s="109">
        <f>M8/J8</f>
        <v>0.9019551850728923</v>
      </c>
      <c r="AG8" s="368"/>
    </row>
    <row r="9" spans="1:33" ht="15.75" customHeight="1">
      <c r="A9" s="317"/>
      <c r="B9" s="99"/>
      <c r="C9" s="370"/>
      <c r="D9" s="370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22"/>
      <c r="S9" s="46"/>
      <c r="T9" s="47"/>
      <c r="U9" s="110"/>
      <c r="V9" s="111"/>
      <c r="W9" s="112"/>
      <c r="X9" s="115"/>
      <c r="Y9" s="12"/>
      <c r="Z9" s="197"/>
      <c r="AA9" s="331"/>
      <c r="AB9" s="332"/>
      <c r="AC9" s="12"/>
      <c r="AD9" s="197"/>
      <c r="AE9" s="116"/>
      <c r="AF9" s="109"/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1623.6135210767045</v>
      </c>
      <c r="N21" s="137">
        <f t="shared" ref="N21:N27" si="5">M21/L21</f>
        <v>75.51690795705602</v>
      </c>
      <c r="O21" s="138">
        <f t="shared" ref="O21:O27" si="6">L21-I21</f>
        <v>0</v>
      </c>
      <c r="P21" s="139">
        <f t="shared" ref="P21:P27" si="7">N21-K21</f>
        <v>-8.2040222755021261</v>
      </c>
      <c r="Q21" s="140">
        <f t="shared" ref="Q21:Q27" si="8">N21/K21</f>
        <v>0.90200751170928017</v>
      </c>
      <c r="R21" s="323"/>
      <c r="S21" s="141">
        <v>0.20833333333333334</v>
      </c>
      <c r="T21" s="142">
        <v>0.64769675925925918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7" si="9">M21-J21</f>
        <v>-176.3864789232955</v>
      </c>
      <c r="AF21" s="140">
        <f t="shared" ref="AF21:AF27" si="10">M21/J21</f>
        <v>0.90200751170928029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2410</v>
      </c>
      <c r="G22" s="147">
        <f t="shared" ref="G22:G27" si="11">E22*F22</f>
        <v>87844.5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7" si="12">F22/V22*60</f>
        <v>1893.2783422374966</v>
      </c>
      <c r="N22" s="151">
        <f t="shared" si="5"/>
        <v>94.663917111874838</v>
      </c>
      <c r="O22" s="153">
        <f t="shared" si="6"/>
        <v>0</v>
      </c>
      <c r="P22" s="154">
        <f t="shared" si="7"/>
        <v>-10.336082888125162</v>
      </c>
      <c r="Q22" s="155">
        <f t="shared" si="8"/>
        <v>0.90156111535118888</v>
      </c>
      <c r="R22" s="321">
        <f>Q38</f>
        <v>0.90292783160299961</v>
      </c>
      <c r="S22" s="156">
        <v>0.20833333333333334</v>
      </c>
      <c r="T22" s="157">
        <v>0.26136574074074076</v>
      </c>
      <c r="U22" s="158"/>
      <c r="V22" s="159">
        <v>76.375457730694876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-206.72165776250336</v>
      </c>
      <c r="AF22" s="155">
        <f t="shared" si="10"/>
        <v>0.90156111535118888</v>
      </c>
      <c r="AG22" s="375">
        <f>AF38</f>
        <v>0.91084825117846446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1562</v>
      </c>
      <c r="G23" s="102">
        <f t="shared" si="11"/>
        <v>49546.64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1804.0275142827245</v>
      </c>
      <c r="N23" s="105">
        <f t="shared" si="5"/>
        <v>82.001250649214754</v>
      </c>
      <c r="O23" s="107">
        <f t="shared" si="6"/>
        <v>0</v>
      </c>
      <c r="P23" s="108">
        <f t="shared" si="7"/>
        <v>-8.9078402598761528</v>
      </c>
      <c r="Q23" s="109">
        <f t="shared" si="8"/>
        <v>0.90201375714136234</v>
      </c>
      <c r="R23" s="322"/>
      <c r="S23" s="46">
        <v>0.26527777777777778</v>
      </c>
      <c r="T23" s="47">
        <v>0.30135416666666665</v>
      </c>
      <c r="U23" s="110">
        <v>5.633333333333308</v>
      </c>
      <c r="V23" s="111">
        <v>51.950427173646943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-195.9724857172755</v>
      </c>
      <c r="AF23" s="109">
        <f t="shared" si="10"/>
        <v>0.90201375714136223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1560</v>
      </c>
      <c r="G24" s="102">
        <f t="shared" si="11"/>
        <v>54272.4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1807.3279954925199</v>
      </c>
      <c r="N24" s="105">
        <f t="shared" si="5"/>
        <v>164.30254504477455</v>
      </c>
      <c r="O24" s="107">
        <f t="shared" si="6"/>
        <v>0</v>
      </c>
      <c r="P24" s="108">
        <f t="shared" si="7"/>
        <v>-17.515636773407266</v>
      </c>
      <c r="Q24" s="109">
        <f t="shared" si="8"/>
        <v>0.90366399774626005</v>
      </c>
      <c r="R24" s="322"/>
      <c r="S24" s="46">
        <v>0.30416666666666664</v>
      </c>
      <c r="T24" s="47">
        <v>0.34012731481481479</v>
      </c>
      <c r="U24" s="110">
        <v>5</v>
      </c>
      <c r="V24" s="111">
        <v>51.7891607021186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-192.6720045074801</v>
      </c>
      <c r="AF24" s="109">
        <f t="shared" si="10"/>
        <v>0.90366399774625994</v>
      </c>
      <c r="AG24" s="368"/>
    </row>
    <row r="25" spans="1:33" ht="15.75" customHeight="1">
      <c r="A25" s="356"/>
      <c r="B25" s="162" t="s">
        <v>184</v>
      </c>
      <c r="C25" s="329" t="s">
        <v>196</v>
      </c>
      <c r="D25" s="330"/>
      <c r="E25" s="100">
        <v>51.44</v>
      </c>
      <c r="F25" s="110">
        <v>1492</v>
      </c>
      <c r="G25" s="102">
        <f t="shared" si="11"/>
        <v>76748.479999999996</v>
      </c>
      <c r="H25" s="26"/>
      <c r="I25" s="106">
        <v>19</v>
      </c>
      <c r="J25" s="104">
        <v>2000</v>
      </c>
      <c r="K25" s="105">
        <f t="shared" si="1"/>
        <v>105.26315789473684</v>
      </c>
      <c r="L25" s="106">
        <v>19</v>
      </c>
      <c r="M25" s="104">
        <f t="shared" si="12"/>
        <v>1804.7709154418083</v>
      </c>
      <c r="N25" s="105">
        <f t="shared" si="5"/>
        <v>94.987942917989912</v>
      </c>
      <c r="O25" s="107">
        <f t="shared" si="6"/>
        <v>0</v>
      </c>
      <c r="P25" s="108">
        <f t="shared" si="7"/>
        <v>-10.275214976746923</v>
      </c>
      <c r="Q25" s="109">
        <f t="shared" si="8"/>
        <v>0.90238545772090417</v>
      </c>
      <c r="R25" s="322"/>
      <c r="S25" s="46">
        <v>0.34374999999999994</v>
      </c>
      <c r="T25" s="47">
        <v>0.37819444444444439</v>
      </c>
      <c r="U25" s="110">
        <v>5.2166666666666295</v>
      </c>
      <c r="V25" s="111">
        <v>49.601863169479039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-195.22908455819174</v>
      </c>
      <c r="AF25" s="109">
        <f t="shared" si="10"/>
        <v>0.90238545772090417</v>
      </c>
      <c r="AG25" s="368"/>
    </row>
    <row r="26" spans="1:33" ht="15.75" customHeight="1">
      <c r="A26" s="357"/>
      <c r="B26" s="162" t="s">
        <v>186</v>
      </c>
      <c r="C26" s="329" t="s">
        <v>197</v>
      </c>
      <c r="D26" s="330"/>
      <c r="E26" s="100">
        <v>43.28</v>
      </c>
      <c r="F26" s="110">
        <v>2482</v>
      </c>
      <c r="G26" s="102">
        <f t="shared" si="11"/>
        <v>107420.96</v>
      </c>
      <c r="H26" s="13"/>
      <c r="I26" s="117">
        <v>21</v>
      </c>
      <c r="J26" s="104">
        <v>1800</v>
      </c>
      <c r="K26" s="105">
        <f t="shared" si="1"/>
        <v>85.714285714285708</v>
      </c>
      <c r="L26" s="106">
        <v>21</v>
      </c>
      <c r="M26" s="104">
        <f t="shared" si="12"/>
        <v>1622.6249246155492</v>
      </c>
      <c r="N26" s="105">
        <f t="shared" si="5"/>
        <v>77.267853553121384</v>
      </c>
      <c r="O26" s="107">
        <f t="shared" si="6"/>
        <v>0</v>
      </c>
      <c r="P26" s="108">
        <f t="shared" si="7"/>
        <v>-8.4464321611643243</v>
      </c>
      <c r="Q26" s="109">
        <f t="shared" si="8"/>
        <v>0.90145829145308287</v>
      </c>
      <c r="R26" s="322"/>
      <c r="S26" s="46">
        <v>0.38194444444444436</v>
      </c>
      <c r="T26" s="47">
        <v>0.4456712962962962</v>
      </c>
      <c r="U26" s="110">
        <v>5.3999999999999648</v>
      </c>
      <c r="V26" s="111">
        <v>91.777217113365765</v>
      </c>
      <c r="W26" s="112">
        <v>0.4456712962962962</v>
      </c>
      <c r="X26" s="115">
        <v>0.48333333333333323</v>
      </c>
      <c r="Y26" s="12"/>
      <c r="Z26" s="197"/>
      <c r="AA26" s="331"/>
      <c r="AB26" s="332"/>
      <c r="AC26" s="12"/>
      <c r="AD26" s="197"/>
      <c r="AE26" s="116">
        <f t="shared" si="9"/>
        <v>-177.37507538445084</v>
      </c>
      <c r="AF26" s="109">
        <f t="shared" si="10"/>
        <v>0.90145829145308287</v>
      </c>
      <c r="AG26" s="368"/>
    </row>
    <row r="27" spans="1:33" ht="15.75" customHeight="1">
      <c r="A27" s="357"/>
      <c r="B27" s="162" t="s">
        <v>198</v>
      </c>
      <c r="C27" s="329" t="s">
        <v>199</v>
      </c>
      <c r="D27" s="330"/>
      <c r="E27" s="100">
        <v>29.97</v>
      </c>
      <c r="F27" s="110">
        <v>2710</v>
      </c>
      <c r="G27" s="120">
        <f t="shared" si="11"/>
        <v>81218.7</v>
      </c>
      <c r="H27" s="121"/>
      <c r="I27" s="106">
        <v>21</v>
      </c>
      <c r="J27" s="104">
        <v>2790</v>
      </c>
      <c r="K27" s="105">
        <f t="shared" si="1"/>
        <v>132.85714285714286</v>
      </c>
      <c r="L27" s="106">
        <v>22</v>
      </c>
      <c r="M27" s="104">
        <f t="shared" si="12"/>
        <v>2626.6346153846152</v>
      </c>
      <c r="N27" s="105">
        <f t="shared" si="5"/>
        <v>119.39248251748251</v>
      </c>
      <c r="O27" s="107">
        <f t="shared" si="6"/>
        <v>1</v>
      </c>
      <c r="P27" s="108">
        <f t="shared" si="7"/>
        <v>-13.464660339660355</v>
      </c>
      <c r="Q27" s="109">
        <f t="shared" si="8"/>
        <v>0.89865309421761019</v>
      </c>
      <c r="R27" s="322"/>
      <c r="S27" s="46">
        <v>0.48333333333333323</v>
      </c>
      <c r="T27" s="119">
        <v>0.52631944444444434</v>
      </c>
      <c r="U27" s="110">
        <v>55</v>
      </c>
      <c r="V27" s="111">
        <v>61.904308672255375</v>
      </c>
      <c r="W27" s="112"/>
      <c r="X27" s="115"/>
      <c r="Y27" s="12"/>
      <c r="Z27" s="197"/>
      <c r="AA27" s="331"/>
      <c r="AB27" s="332"/>
      <c r="AC27" s="12"/>
      <c r="AD27" s="197"/>
      <c r="AE27" s="116">
        <f t="shared" si="9"/>
        <v>-163.36538461538476</v>
      </c>
      <c r="AF27" s="109">
        <f t="shared" si="10"/>
        <v>0.94144609870416318</v>
      </c>
      <c r="AG27" s="368"/>
    </row>
    <row r="28" spans="1:33" ht="15.75" customHeight="1">
      <c r="A28" s="357"/>
      <c r="B28" s="162"/>
      <c r="C28" s="329"/>
      <c r="D28" s="330"/>
      <c r="E28" s="100"/>
      <c r="F28" s="110"/>
      <c r="G28" s="120"/>
      <c r="H28" s="61"/>
      <c r="I28" s="117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12"/>
      <c r="Z28" s="197"/>
      <c r="AA28" s="331"/>
      <c r="AB28" s="332"/>
      <c r="AC28" s="12"/>
      <c r="AD28" s="197"/>
      <c r="AE28" s="116"/>
      <c r="AF28" s="109"/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19</v>
      </c>
      <c r="J38" s="136">
        <f t="shared" si="13"/>
        <v>2115</v>
      </c>
      <c r="K38" s="137">
        <f t="shared" ref="K38" si="14">J38/I38</f>
        <v>111.31578947368421</v>
      </c>
      <c r="L38" s="135">
        <f t="shared" ref="L38:M38" si="15">AVERAGE(L22:L37)</f>
        <v>19.166666666666668</v>
      </c>
      <c r="M38" s="136">
        <f t="shared" si="15"/>
        <v>1926.4440512424524</v>
      </c>
      <c r="N38" s="137">
        <f t="shared" ref="N38:N45" si="16">M38/L38</f>
        <v>100.51012441264969</v>
      </c>
      <c r="O38" s="138">
        <f t="shared" ref="O38:O45" si="17">L38-I38</f>
        <v>0.16666666666666785</v>
      </c>
      <c r="P38" s="139">
        <f t="shared" ref="P38:P45" si="18">N38-K38</f>
        <v>-10.805665061034517</v>
      </c>
      <c r="Q38" s="140">
        <f t="shared" ref="Q38:Q45" si="19">N38/K38</f>
        <v>0.90292783160299961</v>
      </c>
      <c r="R38" s="323"/>
      <c r="S38" s="141">
        <v>0.20833333333333334</v>
      </c>
      <c r="T38" s="142">
        <v>0.52631944444444434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5" si="20">M38-J38</f>
        <v>-188.55594875754764</v>
      </c>
      <c r="AF38" s="140">
        <f t="shared" ref="AF38:AF45" si="21">M38/J38</f>
        <v>0.91084825117846446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3269</v>
      </c>
      <c r="G39" s="147">
        <f t="shared" ref="G39:G45" si="22">E39*F39</f>
        <v>175741.44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1802.3482139012247</v>
      </c>
      <c r="N39" s="151">
        <f t="shared" si="16"/>
        <v>90.117410695061238</v>
      </c>
      <c r="O39" s="153">
        <f t="shared" si="17"/>
        <v>0</v>
      </c>
      <c r="P39" s="154">
        <f t="shared" si="18"/>
        <v>-9.8825893049387616</v>
      </c>
      <c r="Q39" s="155">
        <f t="shared" si="19"/>
        <v>0.9011741069506124</v>
      </c>
      <c r="R39" s="321">
        <f>Q55</f>
        <v>0.90128650898881457</v>
      </c>
      <c r="S39" s="156">
        <v>0.16666666666666666</v>
      </c>
      <c r="T39" s="157">
        <v>0.24223379629629627</v>
      </c>
      <c r="U39" s="158"/>
      <c r="V39" s="159">
        <v>108.82469796191626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-197.65178609877535</v>
      </c>
      <c r="AF39" s="155">
        <f t="shared" si="21"/>
        <v>0.90117410695061229</v>
      </c>
      <c r="AG39" s="326">
        <f>AF55</f>
        <v>0.90128650898881446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3381</v>
      </c>
      <c r="G40" s="102">
        <f t="shared" si="22"/>
        <v>241910.55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1802.2138067243447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22"/>
      <c r="S40" s="46">
        <v>0.24513888888888885</v>
      </c>
      <c r="T40" s="47">
        <v>0.32329861111111108</v>
      </c>
      <c r="U40" s="110">
        <v>5</v>
      </c>
      <c r="V40" s="111">
        <v>112.56156136585861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-197.78619327565525</v>
      </c>
      <c r="AF40" s="109">
        <f t="shared" si="21"/>
        <v>0.90110690336217236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2380</v>
      </c>
      <c r="G41" s="102">
        <f t="shared" si="22"/>
        <v>152129.60000000001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1804.1665741879883</v>
      </c>
      <c r="N41" s="105">
        <f t="shared" si="16"/>
        <v>75.173607257832842</v>
      </c>
      <c r="O41" s="107">
        <f t="shared" si="17"/>
        <v>0</v>
      </c>
      <c r="P41" s="108">
        <f t="shared" si="18"/>
        <v>-8.1597260755004868</v>
      </c>
      <c r="Q41" s="109">
        <f t="shared" si="19"/>
        <v>0.9020832870939941</v>
      </c>
      <c r="R41" s="322"/>
      <c r="S41" s="46">
        <v>0.32708333333333328</v>
      </c>
      <c r="T41" s="47">
        <v>0.38204861111111105</v>
      </c>
      <c r="U41" s="110">
        <v>5.4499999999999726</v>
      </c>
      <c r="V41" s="111">
        <v>79.150119530548793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-195.83342581201168</v>
      </c>
      <c r="AF41" s="109">
        <f t="shared" si="21"/>
        <v>0.90208328709399421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1231</v>
      </c>
      <c r="G42" s="102">
        <f t="shared" si="22"/>
        <v>72222.77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1802.0615804078907</v>
      </c>
      <c r="N42" s="105">
        <f t="shared" si="16"/>
        <v>78.350503495995241</v>
      </c>
      <c r="O42" s="107">
        <f t="shared" si="17"/>
        <v>0</v>
      </c>
      <c r="P42" s="108">
        <f t="shared" si="18"/>
        <v>-8.6060182431351961</v>
      </c>
      <c r="Q42" s="109">
        <f t="shared" si="19"/>
        <v>0.90103079020394528</v>
      </c>
      <c r="R42" s="322"/>
      <c r="S42" s="46">
        <v>0.38611111111111107</v>
      </c>
      <c r="T42" s="47">
        <v>0.41457175925925921</v>
      </c>
      <c r="U42" s="110">
        <v>5.8500000000000352</v>
      </c>
      <c r="V42" s="111">
        <v>40.986390699968219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-197.93841959210931</v>
      </c>
      <c r="AF42" s="109">
        <f t="shared" si="21"/>
        <v>0.90103079020394539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3428</v>
      </c>
      <c r="G43" s="102">
        <f t="shared" si="22"/>
        <v>204103.12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1802.5796769384906</v>
      </c>
      <c r="N43" s="105">
        <f t="shared" si="16"/>
        <v>78.373029432108282</v>
      </c>
      <c r="O43" s="107">
        <f t="shared" si="17"/>
        <v>0</v>
      </c>
      <c r="P43" s="108">
        <f t="shared" si="18"/>
        <v>-8.5834923070221549</v>
      </c>
      <c r="Q43" s="109">
        <f t="shared" si="19"/>
        <v>0.90128983846924526</v>
      </c>
      <c r="R43" s="322"/>
      <c r="S43" s="46">
        <v>0.41736111111111107</v>
      </c>
      <c r="T43" s="47">
        <v>0.49659722222222219</v>
      </c>
      <c r="U43" s="110">
        <v>5</v>
      </c>
      <c r="V43" s="111">
        <v>114.10313931272532</v>
      </c>
      <c r="W43" s="112">
        <v>0.49659722222222219</v>
      </c>
      <c r="X43" s="115">
        <v>0.53611111111111109</v>
      </c>
      <c r="Y43" s="12"/>
      <c r="Z43" s="197"/>
      <c r="AA43" s="331"/>
      <c r="AB43" s="332"/>
      <c r="AC43" s="12"/>
      <c r="AD43" s="197"/>
      <c r="AE43" s="116">
        <f t="shared" si="20"/>
        <v>-197.42032306150941</v>
      </c>
      <c r="AF43" s="109">
        <f t="shared" si="21"/>
        <v>0.90128983846924526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3092</v>
      </c>
      <c r="G44" s="120">
        <f t="shared" si="22"/>
        <v>188890.28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1802.5796932755732</v>
      </c>
      <c r="N44" s="105">
        <f t="shared" si="16"/>
        <v>90.128984663778652</v>
      </c>
      <c r="O44" s="107">
        <f t="shared" si="17"/>
        <v>0</v>
      </c>
      <c r="P44" s="108">
        <f t="shared" si="18"/>
        <v>-9.8710153362213475</v>
      </c>
      <c r="Q44" s="109">
        <f t="shared" si="19"/>
        <v>0.90128984663778655</v>
      </c>
      <c r="R44" s="322"/>
      <c r="S44" s="46">
        <v>0.53611111111111109</v>
      </c>
      <c r="T44" s="119">
        <v>0.60758101851851853</v>
      </c>
      <c r="U44" s="110">
        <v>56.90000000000002</v>
      </c>
      <c r="V44" s="111">
        <v>102.91916673202988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-197.42030672442684</v>
      </c>
      <c r="AF44" s="109">
        <f t="shared" si="21"/>
        <v>0.90128984663778655</v>
      </c>
      <c r="AG44" s="327"/>
    </row>
    <row r="45" spans="1:33" ht="15.75" customHeight="1">
      <c r="A45" s="317"/>
      <c r="B45" s="162" t="s">
        <v>188</v>
      </c>
      <c r="C45" s="329" t="s">
        <v>204</v>
      </c>
      <c r="D45" s="330"/>
      <c r="E45" s="100">
        <v>58.67</v>
      </c>
      <c r="F45" s="101">
        <v>2888</v>
      </c>
      <c r="G45" s="120">
        <f t="shared" si="22"/>
        <v>169438.96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1802.0615804078902</v>
      </c>
      <c r="N45" s="105">
        <f t="shared" si="16"/>
        <v>78.350503495995227</v>
      </c>
      <c r="O45" s="122">
        <f t="shared" si="17"/>
        <v>0</v>
      </c>
      <c r="P45" s="123">
        <f t="shared" si="18"/>
        <v>-8.6060182431352104</v>
      </c>
      <c r="Q45" s="124">
        <f t="shared" si="19"/>
        <v>0.90103079020394505</v>
      </c>
      <c r="R45" s="322"/>
      <c r="S45" s="118">
        <v>0.61041666666666661</v>
      </c>
      <c r="T45" s="119">
        <v>0.67718749999999994</v>
      </c>
      <c r="U45" s="110">
        <v>5</v>
      </c>
      <c r="V45" s="111">
        <v>96.1565364268954</v>
      </c>
      <c r="W45" s="119"/>
      <c r="X45" s="188"/>
      <c r="Y45" s="12"/>
      <c r="Z45" s="197"/>
      <c r="AA45" s="331"/>
      <c r="AB45" s="332"/>
      <c r="AC45" s="12"/>
      <c r="AD45" s="197"/>
      <c r="AE45" s="116">
        <f t="shared" si="20"/>
        <v>-197.93841959210977</v>
      </c>
      <c r="AF45" s="109">
        <f t="shared" si="21"/>
        <v>0.90103079020394516</v>
      </c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1802.573017977629</v>
      </c>
      <c r="N55" s="137">
        <f t="shared" ref="N55:N65" si="27">M55/L55</f>
        <v>81.406523392538091</v>
      </c>
      <c r="O55" s="138">
        <f t="shared" ref="O55:O65" si="28">L55-I55</f>
        <v>0</v>
      </c>
      <c r="P55" s="139">
        <f t="shared" ref="P55:P65" si="29">N55-K55</f>
        <v>-8.9160572526232045</v>
      </c>
      <c r="Q55" s="140">
        <f t="shared" ref="Q55:Q65" si="30">N55/K55</f>
        <v>0.90128650898881457</v>
      </c>
      <c r="R55" s="323"/>
      <c r="S55" s="141">
        <v>0.16666666666666666</v>
      </c>
      <c r="T55" s="142">
        <v>0.67718749999999994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5" si="31">M55-J55</f>
        <v>-197.42698202237102</v>
      </c>
      <c r="AF55" s="140">
        <f t="shared" ref="AF55:AF65" si="32">M55/J55</f>
        <v>0.90128650898881446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2334</v>
      </c>
      <c r="G56" s="147">
        <f t="shared" ref="G56:G65" si="33">E56*F56</f>
        <v>67359.240000000005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3193.0687377304621</v>
      </c>
      <c r="N56" s="151">
        <f t="shared" si="27"/>
        <v>168.05624935423484</v>
      </c>
      <c r="O56" s="153">
        <f t="shared" si="28"/>
        <v>0</v>
      </c>
      <c r="P56" s="154">
        <f t="shared" si="29"/>
        <v>-21.417434856291493</v>
      </c>
      <c r="Q56" s="155">
        <f t="shared" si="30"/>
        <v>0.88696353825846153</v>
      </c>
      <c r="R56" s="321">
        <f>Q72</f>
        <v>0.9013742473238745</v>
      </c>
      <c r="S56" s="156">
        <v>0.16666666666666666</v>
      </c>
      <c r="T56" s="157">
        <v>0.19711805555555556</v>
      </c>
      <c r="U56" s="158"/>
      <c r="V56" s="159">
        <v>43.857496190181067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-406.93126226953791</v>
      </c>
      <c r="AF56" s="155">
        <f t="shared" si="32"/>
        <v>0.88696353825846164</v>
      </c>
      <c r="AG56" s="326">
        <f>AF72</f>
        <v>0.90137424732387439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3020</v>
      </c>
      <c r="G57" s="102">
        <f t="shared" si="33"/>
        <v>108387.8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3192.9909823780727</v>
      </c>
      <c r="N57" s="105">
        <f t="shared" si="27"/>
        <v>168.052156967267</v>
      </c>
      <c r="O57" s="107">
        <f t="shared" si="28"/>
        <v>0</v>
      </c>
      <c r="P57" s="108">
        <f t="shared" si="29"/>
        <v>-21.421527243259334</v>
      </c>
      <c r="Q57" s="109">
        <f t="shared" si="30"/>
        <v>0.88694193954946465</v>
      </c>
      <c r="R57" s="322"/>
      <c r="S57" s="46">
        <v>0.20069444444444445</v>
      </c>
      <c r="T57" s="47">
        <v>0.24009259259259261</v>
      </c>
      <c r="U57" s="110">
        <v>5.1500000000000057</v>
      </c>
      <c r="V57" s="111">
        <v>56.749299011501137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-407.00901762192734</v>
      </c>
      <c r="AF57" s="109">
        <f t="shared" si="32"/>
        <v>0.88694193954946465</v>
      </c>
      <c r="AG57" s="327"/>
    </row>
    <row r="58" spans="1:33" ht="15.75" customHeight="1">
      <c r="A58" s="356"/>
      <c r="B58" s="99" t="s">
        <v>208</v>
      </c>
      <c r="C58" s="370" t="s">
        <v>211</v>
      </c>
      <c r="D58" s="370"/>
      <c r="E58" s="100">
        <v>36.729999999999997</v>
      </c>
      <c r="F58" s="101">
        <v>3752</v>
      </c>
      <c r="G58" s="102">
        <f t="shared" si="33"/>
        <v>137810.96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3194.0904638008228</v>
      </c>
      <c r="N58" s="105">
        <f t="shared" si="27"/>
        <v>152.09954589527729</v>
      </c>
      <c r="O58" s="107">
        <f t="shared" si="28"/>
        <v>0</v>
      </c>
      <c r="P58" s="108">
        <f t="shared" si="29"/>
        <v>-19.329025533294129</v>
      </c>
      <c r="Q58" s="109">
        <f t="shared" si="30"/>
        <v>0.88724735105578423</v>
      </c>
      <c r="R58" s="322"/>
      <c r="S58" s="46">
        <v>0.24375000000000002</v>
      </c>
      <c r="T58" s="47">
        <v>0.29268518518518521</v>
      </c>
      <c r="U58" s="110">
        <v>5.2666666666666773</v>
      </c>
      <c r="V58" s="111">
        <v>70.480157826249354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-405.90953619917718</v>
      </c>
      <c r="AF58" s="109">
        <f t="shared" si="32"/>
        <v>0.88724735105578412</v>
      </c>
      <c r="AG58" s="327"/>
    </row>
    <row r="59" spans="1:33" ht="15.75" customHeight="1">
      <c r="A59" s="356"/>
      <c r="B59" s="99" t="s">
        <v>208</v>
      </c>
      <c r="C59" s="370" t="s">
        <v>212</v>
      </c>
      <c r="D59" s="370"/>
      <c r="E59" s="100">
        <v>43.96</v>
      </c>
      <c r="F59" s="101">
        <v>1675</v>
      </c>
      <c r="G59" s="102">
        <f t="shared" si="33"/>
        <v>73633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3270.8683112263393</v>
      </c>
      <c r="N59" s="105">
        <f t="shared" si="27"/>
        <v>136.28617963443079</v>
      </c>
      <c r="O59" s="107">
        <f t="shared" si="28"/>
        <v>0</v>
      </c>
      <c r="P59" s="108">
        <f t="shared" si="29"/>
        <v>-13.713820365569205</v>
      </c>
      <c r="Q59" s="109">
        <f t="shared" si="30"/>
        <v>0.90857453089620532</v>
      </c>
      <c r="R59" s="322"/>
      <c r="S59" s="46">
        <v>0.29583333333333334</v>
      </c>
      <c r="T59" s="47">
        <v>0.31716435185185188</v>
      </c>
      <c r="U59" s="110">
        <v>4.5333333333332959</v>
      </c>
      <c r="V59" s="111">
        <v>30.725786071870242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-329.1316887736607</v>
      </c>
      <c r="AF59" s="199">
        <f t="shared" si="32"/>
        <v>0.90857453089620532</v>
      </c>
      <c r="AG59" s="327"/>
    </row>
    <row r="60" spans="1:33" ht="15.75" customHeight="1">
      <c r="A60" s="357"/>
      <c r="B60" s="99" t="s">
        <v>208</v>
      </c>
      <c r="C60" s="370" t="s">
        <v>213</v>
      </c>
      <c r="D60" s="370"/>
      <c r="E60" s="100">
        <v>46.93</v>
      </c>
      <c r="F60" s="104">
        <v>1224</v>
      </c>
      <c r="G60" s="102">
        <f t="shared" si="33"/>
        <v>57442.32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3266.3042866123492</v>
      </c>
      <c r="N60" s="105">
        <f t="shared" si="27"/>
        <v>136.09601194218121</v>
      </c>
      <c r="O60" s="107">
        <f t="shared" si="28"/>
        <v>0</v>
      </c>
      <c r="P60" s="108">
        <f t="shared" si="29"/>
        <v>-13.903988057818793</v>
      </c>
      <c r="Q60" s="109">
        <f t="shared" si="30"/>
        <v>0.907306746281208</v>
      </c>
      <c r="R60" s="322"/>
      <c r="S60" s="46">
        <v>0.32013888888888886</v>
      </c>
      <c r="T60" s="47">
        <v>0.33575231481481477</v>
      </c>
      <c r="U60" s="110">
        <v>5</v>
      </c>
      <c r="V60" s="111">
        <v>22.484126877281348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-333.69571338765081</v>
      </c>
      <c r="AF60" s="199">
        <f t="shared" si="32"/>
        <v>0.90730674628120811</v>
      </c>
      <c r="AG60" s="327"/>
    </row>
    <row r="61" spans="1:33" ht="15.75" customHeight="1">
      <c r="A61" s="357"/>
      <c r="B61" s="99" t="s">
        <v>208</v>
      </c>
      <c r="C61" s="370" t="s">
        <v>214</v>
      </c>
      <c r="D61" s="370"/>
      <c r="E61" s="100">
        <v>36.729999999999997</v>
      </c>
      <c r="F61" s="104">
        <v>4008</v>
      </c>
      <c r="G61" s="120">
        <f t="shared" si="33"/>
        <v>147213.84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3261.8967104351832</v>
      </c>
      <c r="N61" s="105">
        <f t="shared" si="27"/>
        <v>163.09483552175917</v>
      </c>
      <c r="O61" s="107">
        <f t="shared" si="28"/>
        <v>0</v>
      </c>
      <c r="P61" s="108">
        <f t="shared" si="29"/>
        <v>-16.905164478240835</v>
      </c>
      <c r="Q61" s="109">
        <f t="shared" si="30"/>
        <v>0.90608241956532865</v>
      </c>
      <c r="R61" s="322"/>
      <c r="S61" s="46">
        <v>0.33958333333333329</v>
      </c>
      <c r="T61" s="119">
        <v>0.39077546296296295</v>
      </c>
      <c r="U61" s="110">
        <v>5.5166666666666764</v>
      </c>
      <c r="V61" s="111">
        <v>73.723977595819264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-338.10328956481681</v>
      </c>
      <c r="AF61" s="199">
        <f t="shared" si="32"/>
        <v>0.90608241956532865</v>
      </c>
      <c r="AG61" s="327"/>
    </row>
    <row r="62" spans="1:33" ht="15.75" customHeight="1">
      <c r="A62" s="357"/>
      <c r="B62" s="99" t="s">
        <v>208</v>
      </c>
      <c r="C62" s="370" t="s">
        <v>233</v>
      </c>
      <c r="D62" s="370"/>
      <c r="E62" s="100">
        <v>48.4</v>
      </c>
      <c r="F62" s="104">
        <v>2594</v>
      </c>
      <c r="G62" s="120">
        <f t="shared" si="33"/>
        <v>125549.59999999999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3265.1452091536044</v>
      </c>
      <c r="N62" s="105">
        <f t="shared" si="27"/>
        <v>148.41569132516383</v>
      </c>
      <c r="O62" s="122">
        <f t="shared" si="28"/>
        <v>0</v>
      </c>
      <c r="P62" s="123">
        <f t="shared" si="29"/>
        <v>-15.220672311199792</v>
      </c>
      <c r="Q62" s="124">
        <f t="shared" si="30"/>
        <v>0.90698478032044572</v>
      </c>
      <c r="R62" s="322"/>
      <c r="S62" s="46">
        <v>0.39374999999999993</v>
      </c>
      <c r="T62" s="119">
        <v>0.42685185185185182</v>
      </c>
      <c r="U62" s="110">
        <v>5</v>
      </c>
      <c r="V62" s="111">
        <v>47.667099020182697</v>
      </c>
      <c r="W62" s="112"/>
      <c r="X62" s="115"/>
      <c r="Y62" s="12"/>
      <c r="Z62" s="197"/>
      <c r="AA62" s="331"/>
      <c r="AB62" s="332"/>
      <c r="AC62" s="12"/>
      <c r="AD62" s="197"/>
      <c r="AE62" s="198">
        <f t="shared" si="31"/>
        <v>-334.85479084639564</v>
      </c>
      <c r="AF62" s="199">
        <f t="shared" si="32"/>
        <v>0.9069847803204456</v>
      </c>
      <c r="AG62" s="327"/>
    </row>
    <row r="63" spans="1:33" ht="15.75" customHeight="1">
      <c r="A63" s="357"/>
      <c r="B63" s="99" t="s">
        <v>208</v>
      </c>
      <c r="C63" s="370" t="s">
        <v>215</v>
      </c>
      <c r="D63" s="370"/>
      <c r="E63" s="100">
        <v>37.799999999999997</v>
      </c>
      <c r="F63" s="104">
        <v>2095</v>
      </c>
      <c r="G63" s="120">
        <f t="shared" si="33"/>
        <v>79191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3268.5720400560035</v>
      </c>
      <c r="N63" s="105">
        <f t="shared" si="27"/>
        <v>155.64628762171446</v>
      </c>
      <c r="O63" s="122">
        <f t="shared" si="28"/>
        <v>0</v>
      </c>
      <c r="P63" s="123">
        <f t="shared" si="29"/>
        <v>-15.782283806856952</v>
      </c>
      <c r="Q63" s="124">
        <f t="shared" si="30"/>
        <v>0.90793667779333442</v>
      </c>
      <c r="R63" s="322"/>
      <c r="S63" s="46">
        <v>0.42986111111111103</v>
      </c>
      <c r="T63" s="119">
        <v>0.45656249999999993</v>
      </c>
      <c r="U63" s="110">
        <v>5</v>
      </c>
      <c r="V63" s="111">
        <v>38.457160637599486</v>
      </c>
      <c r="W63" s="112">
        <v>0.45656249999999993</v>
      </c>
      <c r="X63" s="115">
        <v>0.49583333333333324</v>
      </c>
      <c r="Y63" s="12"/>
      <c r="Z63" s="197"/>
      <c r="AA63" s="331"/>
      <c r="AB63" s="332"/>
      <c r="AC63" s="12"/>
      <c r="AD63" s="197"/>
      <c r="AE63" s="198">
        <f t="shared" si="31"/>
        <v>-331.42795994399648</v>
      </c>
      <c r="AF63" s="199">
        <f t="shared" si="32"/>
        <v>0.90793667779333431</v>
      </c>
      <c r="AG63" s="327"/>
    </row>
    <row r="64" spans="1:33" ht="15.75" customHeight="1">
      <c r="A64" s="357"/>
      <c r="B64" s="99" t="s">
        <v>208</v>
      </c>
      <c r="C64" s="370" t="s">
        <v>216</v>
      </c>
      <c r="D64" s="370"/>
      <c r="E64" s="100">
        <v>38.479999999999997</v>
      </c>
      <c r="F64" s="104">
        <v>6122</v>
      </c>
      <c r="G64" s="120">
        <f t="shared" si="33"/>
        <v>235574.55999999997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3267.9641222106411</v>
      </c>
      <c r="N64" s="105">
        <f t="shared" si="27"/>
        <v>163.39820611053204</v>
      </c>
      <c r="O64" s="122">
        <f t="shared" si="28"/>
        <v>0</v>
      </c>
      <c r="P64" s="123">
        <f t="shared" si="29"/>
        <v>-16.601793889467956</v>
      </c>
      <c r="Q64" s="124">
        <f t="shared" si="30"/>
        <v>0.90776781172517806</v>
      </c>
      <c r="R64" s="322"/>
      <c r="S64" s="46">
        <v>0.49583333333333324</v>
      </c>
      <c r="T64" s="119">
        <v>0.57388888888888878</v>
      </c>
      <c r="U64" s="110">
        <v>56.549999999999969</v>
      </c>
      <c r="V64" s="111">
        <v>112.40025479579725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-332.03587778935889</v>
      </c>
      <c r="AF64" s="199">
        <f t="shared" si="32"/>
        <v>0.90776781172517806</v>
      </c>
      <c r="AG64" s="327"/>
    </row>
    <row r="65" spans="1:33" ht="15.75" customHeight="1">
      <c r="A65" s="357"/>
      <c r="B65" s="99" t="s">
        <v>208</v>
      </c>
      <c r="C65" s="370" t="s">
        <v>215</v>
      </c>
      <c r="D65" s="370"/>
      <c r="E65" s="100">
        <v>37.799999999999997</v>
      </c>
      <c r="F65" s="104">
        <v>5386</v>
      </c>
      <c r="G65" s="120">
        <f t="shared" si="33"/>
        <v>203590.8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3268.572040056004</v>
      </c>
      <c r="N65" s="105">
        <f t="shared" si="27"/>
        <v>155.64628762171446</v>
      </c>
      <c r="O65" s="122">
        <f t="shared" si="28"/>
        <v>0</v>
      </c>
      <c r="P65" s="123">
        <f t="shared" si="29"/>
        <v>-15.782283806856952</v>
      </c>
      <c r="Q65" s="124">
        <f t="shared" si="30"/>
        <v>0.90793667779333442</v>
      </c>
      <c r="R65" s="322"/>
      <c r="S65" s="46">
        <v>0.57777777777777772</v>
      </c>
      <c r="T65" s="119">
        <v>0.64643518518518517</v>
      </c>
      <c r="U65" s="110">
        <v>5.600000000000076</v>
      </c>
      <c r="V65" s="111">
        <v>98.868862622487256</v>
      </c>
      <c r="W65" s="112"/>
      <c r="X65" s="115"/>
      <c r="Y65" s="12"/>
      <c r="Z65" s="197"/>
      <c r="AA65" s="331"/>
      <c r="AB65" s="332"/>
      <c r="AC65" s="12"/>
      <c r="AD65" s="197"/>
      <c r="AE65" s="198">
        <f t="shared" si="31"/>
        <v>-331.42795994399603</v>
      </c>
      <c r="AF65" s="199">
        <f t="shared" si="32"/>
        <v>0.90793667779333442</v>
      </c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3244.947290365948</v>
      </c>
      <c r="N72" s="137">
        <f>M72/L72</f>
        <v>153.78897110739089</v>
      </c>
      <c r="O72" s="138">
        <f>L72-I72</f>
        <v>0</v>
      </c>
      <c r="P72" s="139">
        <f>N72-K72</f>
        <v>-16.827142636684925</v>
      </c>
      <c r="Q72" s="140">
        <f>N72/K72</f>
        <v>0.9013742473238745</v>
      </c>
      <c r="R72" s="323"/>
      <c r="S72" s="141">
        <v>0.16666666666666666</v>
      </c>
      <c r="T72" s="142">
        <v>0.64643518518518517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-355.05270963405201</v>
      </c>
      <c r="AF72" s="140">
        <f>M72/J72</f>
        <v>0.90137424732387439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2039</v>
      </c>
      <c r="G73" s="120">
        <f t="shared" ref="G73:G75" si="39">E73*F73</f>
        <v>48018.450000000004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2256.5793326791172</v>
      </c>
      <c r="N73" s="105">
        <f>M73/L73</f>
        <v>376.09655544651952</v>
      </c>
      <c r="O73" s="107">
        <f>L73-I73</f>
        <v>0</v>
      </c>
      <c r="P73" s="108">
        <f>N73-K73</f>
        <v>-40.570111220147169</v>
      </c>
      <c r="Q73" s="109">
        <f>N73/K73</f>
        <v>0.90263173307164679</v>
      </c>
      <c r="R73" s="321">
        <f>Q89</f>
        <v>0.85059323297332534</v>
      </c>
      <c r="S73" s="46">
        <v>0.38124999999999998</v>
      </c>
      <c r="T73" s="119">
        <v>0.41888888888888887</v>
      </c>
      <c r="U73" s="110">
        <v>5</v>
      </c>
      <c r="V73" s="111">
        <v>54.214801238453326</v>
      </c>
      <c r="W73" s="112"/>
      <c r="X73" s="161"/>
      <c r="Y73" s="12"/>
      <c r="Z73" s="197"/>
      <c r="AA73" s="324"/>
      <c r="AB73" s="325"/>
      <c r="AC73" s="12"/>
      <c r="AD73" s="197"/>
      <c r="AE73" s="114">
        <f>M73-J73</f>
        <v>-243.42066732088279</v>
      </c>
      <c r="AF73" s="155">
        <f>M73/J73</f>
        <v>0.9026317330716469</v>
      </c>
      <c r="AG73" s="326">
        <f>AF89</f>
        <v>0.90375531003415832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722</v>
      </c>
      <c r="G74" s="120">
        <f t="shared" si="39"/>
        <v>19530.100000000002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2960.6599775921868</v>
      </c>
      <c r="N74" s="105">
        <f>M74/L74</f>
        <v>493.4433295986978</v>
      </c>
      <c r="O74" s="122">
        <f>L74-I74</f>
        <v>1</v>
      </c>
      <c r="P74" s="123">
        <f>N74-K74</f>
        <v>-161.15667040130222</v>
      </c>
      <c r="Q74" s="124">
        <f>N74/K74</f>
        <v>0.75380893614222089</v>
      </c>
      <c r="R74" s="322"/>
      <c r="S74" s="46">
        <v>0.42222222222222217</v>
      </c>
      <c r="T74" s="119">
        <v>0.43237268518518512</v>
      </c>
      <c r="U74" s="110">
        <v>4.799999999999951</v>
      </c>
      <c r="V74" s="111">
        <v>14.631872733737838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-312.34002240781319</v>
      </c>
      <c r="AF74" s="109">
        <f>M74/J74</f>
        <v>0.90457072337066513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953</v>
      </c>
      <c r="G75" s="120">
        <f t="shared" si="39"/>
        <v>25778.65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2958.1312242976915</v>
      </c>
      <c r="N75" s="105">
        <f>M75/L75</f>
        <v>591.62624485953825</v>
      </c>
      <c r="O75" s="122">
        <f>L75-I75</f>
        <v>0</v>
      </c>
      <c r="P75" s="123">
        <f>N75-K75</f>
        <v>-62.973755140461776</v>
      </c>
      <c r="Q75" s="124">
        <f>N75/K75</f>
        <v>0.90379811313708869</v>
      </c>
      <c r="R75" s="322"/>
      <c r="S75" s="46">
        <v>0.43611111111111106</v>
      </c>
      <c r="T75" s="119">
        <v>0.44952546296296292</v>
      </c>
      <c r="U75" s="110">
        <v>5.3833333333333488</v>
      </c>
      <c r="V75" s="111">
        <v>19.329771286118472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-314.86877570230854</v>
      </c>
      <c r="AF75" s="109">
        <f>M75/J75</f>
        <v>0.9037981131370888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2725.1235115229988</v>
      </c>
      <c r="N89" s="137">
        <f>M89/L89</f>
        <v>480.90414909229389</v>
      </c>
      <c r="O89" s="138">
        <f>L89-I89</f>
        <v>0.33333333333333393</v>
      </c>
      <c r="P89" s="139">
        <f>N89-K89</f>
        <v>-84.470850907706222</v>
      </c>
      <c r="Q89" s="140">
        <f>N89/K89</f>
        <v>0.85059323297332534</v>
      </c>
      <c r="R89" s="323"/>
      <c r="S89" s="141">
        <v>0.20833333333333334</v>
      </c>
      <c r="T89" s="142">
        <v>0.44952546296296292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-290.20982181033469</v>
      </c>
      <c r="AF89" s="140">
        <f>M89/J89</f>
        <v>0.90375531003415832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2344</v>
      </c>
      <c r="G90" s="147">
        <f t="shared" ref="G90:G91" si="43">E90*F90</f>
        <v>36355.440000000002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3249.2331074640338</v>
      </c>
      <c r="N90" s="151">
        <f>M90/L90</f>
        <v>541.53885124400563</v>
      </c>
      <c r="O90" s="153">
        <f>L90-I90</f>
        <v>0</v>
      </c>
      <c r="P90" s="154">
        <f>N90-K90</f>
        <v>-58.461148755994373</v>
      </c>
      <c r="Q90" s="155">
        <f>N90/K90</f>
        <v>0.90256475207334275</v>
      </c>
      <c r="R90" s="321">
        <f>Q106</f>
        <v>0.90270838708479839</v>
      </c>
      <c r="S90" s="156">
        <v>0.25</v>
      </c>
      <c r="T90" s="157">
        <v>0.28005787037037039</v>
      </c>
      <c r="U90" s="158"/>
      <c r="V90" s="159">
        <v>43.284059760725178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-350.76689253596624</v>
      </c>
      <c r="AF90" s="155">
        <f>M90/J90</f>
        <v>0.90256475207334275</v>
      </c>
      <c r="AG90" s="326">
        <f>AF106</f>
        <v>0.90270838708479839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2411</v>
      </c>
      <c r="G91" s="102">
        <f t="shared" si="43"/>
        <v>36189.11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3250.2672795465146</v>
      </c>
      <c r="N91" s="105">
        <f>M91/L91</f>
        <v>541.71121325775243</v>
      </c>
      <c r="O91" s="107">
        <f>L91-I91</f>
        <v>0</v>
      </c>
      <c r="P91" s="108">
        <f>N91-K91</f>
        <v>-58.288786742247567</v>
      </c>
      <c r="Q91" s="109">
        <f>N91/K91</f>
        <v>0.90285202209625404</v>
      </c>
      <c r="R91" s="322"/>
      <c r="S91" s="46">
        <v>0.28402777777777777</v>
      </c>
      <c r="T91" s="47">
        <v>0.31493055555555555</v>
      </c>
      <c r="U91" s="110">
        <v>5.7166666666666277</v>
      </c>
      <c r="V91" s="111">
        <v>44.507108972337598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-349.7327204534854</v>
      </c>
      <c r="AF91" s="109">
        <f>M91/J91</f>
        <v>0.90285202209625404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3249.7501935052742</v>
      </c>
      <c r="N106" s="137">
        <f>M106/L106</f>
        <v>541.62503225087903</v>
      </c>
      <c r="O106" s="138">
        <f>L106-I106</f>
        <v>0</v>
      </c>
      <c r="P106" s="139">
        <f>N106-K106</f>
        <v>-58.37496774912097</v>
      </c>
      <c r="Q106" s="140">
        <f>N106/K106</f>
        <v>0.90270838708479839</v>
      </c>
      <c r="R106" s="323"/>
      <c r="S106" s="141">
        <v>0.25</v>
      </c>
      <c r="T106" s="142">
        <v>0.31493055555555555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-350.24980649472582</v>
      </c>
      <c r="AF106" s="140">
        <f>M106/J106</f>
        <v>0.90270838708479839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1746</v>
      </c>
      <c r="G107" s="147">
        <f t="shared" ref="G107:G109" si="47">E107*F107</f>
        <v>101564.82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1802.8</v>
      </c>
      <c r="N107" s="151">
        <f>M107/L107</f>
        <v>106.04705882352941</v>
      </c>
      <c r="O107" s="153">
        <f>L107-I107</f>
        <v>-1</v>
      </c>
      <c r="P107" s="154">
        <f>N107-K107</f>
        <v>-5.0640522875817027</v>
      </c>
      <c r="Q107" s="155">
        <f>N107/K107</f>
        <v>0.95442352941176467</v>
      </c>
      <c r="R107" s="321">
        <f>Q123</f>
        <v>0.9495488095238096</v>
      </c>
      <c r="S107" s="156">
        <v>0.70833333333333337</v>
      </c>
      <c r="T107" s="157">
        <v>0.74868055555555557</v>
      </c>
      <c r="U107" s="158"/>
      <c r="V107" s="159">
        <v>58.10960727756823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-197.20000000000005</v>
      </c>
      <c r="AF107" s="155">
        <f>M107/J107</f>
        <v>0.90139999999999998</v>
      </c>
      <c r="AG107" s="326">
        <f>AF123</f>
        <v>0.90126666666666677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1652</v>
      </c>
      <c r="G108" s="102">
        <f t="shared" si="47"/>
        <v>83706.84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1802.2</v>
      </c>
      <c r="N108" s="105">
        <f>M108/L108</f>
        <v>94.852631578947367</v>
      </c>
      <c r="O108" s="107">
        <f>L108-I108</f>
        <v>-1</v>
      </c>
      <c r="P108" s="108">
        <f>N108-K108</f>
        <v>-5.1473684210526329</v>
      </c>
      <c r="Q108" s="109">
        <f>N108/K108</f>
        <v>0.94852631578947366</v>
      </c>
      <c r="R108" s="322"/>
      <c r="S108" s="46">
        <v>0.75277777777777777</v>
      </c>
      <c r="T108" s="47">
        <v>0.79096064814814815</v>
      </c>
      <c r="U108" s="110">
        <v>5.8999999999999631</v>
      </c>
      <c r="V108" s="111">
        <v>54.999445122627897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-197.79999999999995</v>
      </c>
      <c r="AF108" s="109">
        <f>M108/J108</f>
        <v>0.90110000000000001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1780</v>
      </c>
      <c r="G109" s="102">
        <f t="shared" si="47"/>
        <v>101994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22"/>
      <c r="S109" s="46">
        <v>0.79374999999999996</v>
      </c>
      <c r="T109" s="47">
        <v>0.83488425925925924</v>
      </c>
      <c r="U109" s="110">
        <v>5</v>
      </c>
      <c r="V109" s="111">
        <v>59.247753245312325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-197.40000000000009</v>
      </c>
      <c r="AF109" s="109">
        <f>M109/J109</f>
        <v>0.90129999999999999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1802.5333333333335</v>
      </c>
      <c r="N123" s="137">
        <f>M123/L123</f>
        <v>96.564285714285717</v>
      </c>
      <c r="O123" s="138">
        <f>L123-I123</f>
        <v>-1</v>
      </c>
      <c r="P123" s="139">
        <f>N123-K123</f>
        <v>-5.1306295399515705</v>
      </c>
      <c r="Q123" s="140">
        <f>N123/K123</f>
        <v>0.9495488095238096</v>
      </c>
      <c r="R123" s="323"/>
      <c r="S123" s="141">
        <v>0.70833333333333337</v>
      </c>
      <c r="T123" s="142">
        <v>0.83488425925925924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-197.46666666666647</v>
      </c>
      <c r="AF123" s="140">
        <f>M123/J123</f>
        <v>0.90126666666666677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2061</v>
      </c>
      <c r="G124" s="147">
        <f t="shared" ref="G124:G126" si="54">E124*F124</f>
        <v>98103.6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1805.0014667902765</v>
      </c>
      <c r="N124" s="151">
        <f>M124/L124</f>
        <v>78.478324643055501</v>
      </c>
      <c r="O124" s="153">
        <f>L124-I124</f>
        <v>0</v>
      </c>
      <c r="P124" s="154">
        <f>N124-K124</f>
        <v>-8.4781970960749362</v>
      </c>
      <c r="Q124" s="155">
        <f>N124/K124</f>
        <v>0.90250073339513825</v>
      </c>
      <c r="R124" s="321">
        <f>Q140</f>
        <v>0.9019851557529468</v>
      </c>
      <c r="S124" s="156">
        <v>0.70833333333333337</v>
      </c>
      <c r="T124" s="157">
        <v>0.75590277777777781</v>
      </c>
      <c r="U124" s="158"/>
      <c r="V124" s="159">
        <v>68.509639618131175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-194.99853320972352</v>
      </c>
      <c r="AF124" s="155">
        <f>M124/J124</f>
        <v>0.90250073339513825</v>
      </c>
      <c r="AG124" s="375">
        <f>AF140</f>
        <v>0.90198515575294691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1702</v>
      </c>
      <c r="G125" s="102">
        <f t="shared" si="54"/>
        <v>96792.739999999991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1803.8791094481862</v>
      </c>
      <c r="N125" s="105">
        <f>M125/L125</f>
        <v>78.429526497747233</v>
      </c>
      <c r="O125" s="107">
        <f>L125-I125</f>
        <v>0</v>
      </c>
      <c r="P125" s="108">
        <f>N125-K125</f>
        <v>-8.5269952413832044</v>
      </c>
      <c r="Q125" s="109">
        <f>N125/K125</f>
        <v>0.90193955472409315</v>
      </c>
      <c r="R125" s="322"/>
      <c r="S125" s="46">
        <v>0.75902777777777775</v>
      </c>
      <c r="T125" s="47">
        <v>0.79833333333333334</v>
      </c>
      <c r="U125" s="110">
        <v>5</v>
      </c>
      <c r="V125" s="111">
        <v>56.611332469634796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-196.12089055181377</v>
      </c>
      <c r="AF125" s="109">
        <f>M125/J125</f>
        <v>0.90193955472409315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2326</v>
      </c>
      <c r="G126" s="102">
        <f t="shared" si="54"/>
        <v>132093.54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1803.0303582792185</v>
      </c>
      <c r="N126" s="105">
        <f>M126/L126</f>
        <v>78.392624273009503</v>
      </c>
      <c r="O126" s="107">
        <f>L126-I126</f>
        <v>0</v>
      </c>
      <c r="P126" s="108">
        <f>N126-K126</f>
        <v>-8.5638974661209346</v>
      </c>
      <c r="Q126" s="109">
        <f>N126/K126</f>
        <v>0.90151517913960921</v>
      </c>
      <c r="R126" s="322"/>
      <c r="S126" s="46">
        <v>0.80208333333333326</v>
      </c>
      <c r="T126" s="47">
        <v>0.85583333333333322</v>
      </c>
      <c r="U126" s="110">
        <v>5.3999999999998849</v>
      </c>
      <c r="V126" s="111">
        <v>77.403022838280819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-196.96964172078151</v>
      </c>
      <c r="AF126" s="109">
        <f>M126/J126</f>
        <v>0.90151517913960921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1803.9703115058937</v>
      </c>
      <c r="N140" s="137">
        <f>M140/L140</f>
        <v>78.433491804604074</v>
      </c>
      <c r="O140" s="138">
        <f>L140-I140</f>
        <v>0</v>
      </c>
      <c r="P140" s="139">
        <f>N140-K140</f>
        <v>-8.5230299345263631</v>
      </c>
      <c r="Q140" s="140">
        <f>N140/K140</f>
        <v>0.9019851557529468</v>
      </c>
      <c r="R140" s="323"/>
      <c r="S140" s="141">
        <v>0.70833333333333337</v>
      </c>
      <c r="T140" s="142">
        <v>0.85583333333333322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-196.02968849410627</v>
      </c>
      <c r="AF140" s="140">
        <f>M140/J140</f>
        <v>0.90198515575294691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94" priority="2" operator="greaterThan">
      <formula>0</formula>
    </cfRule>
  </conditionalFormatting>
  <conditionalFormatting sqref="P5:P140 AE5:AE140">
    <cfRule type="cellIs" dxfId="193" priority="5" operator="lessThan">
      <formula>0</formula>
    </cfRule>
  </conditionalFormatting>
  <conditionalFormatting sqref="Q5:Q140 AF5:AF140">
    <cfRule type="cellIs" dxfId="192" priority="3" operator="greaterThan">
      <formula>1</formula>
    </cfRule>
    <cfRule type="cellIs" dxfId="191" priority="4" operator="lessThan">
      <formula>0.8</formula>
    </cfRule>
  </conditionalFormatting>
  <conditionalFormatting sqref="AG5 R5:R140 AG107:AG124">
    <cfRule type="cellIs" dxfId="190" priority="6" operator="lessThan">
      <formula>0.8</formula>
    </cfRule>
  </conditionalFormatting>
  <conditionalFormatting sqref="AG22">
    <cfRule type="cellIs" dxfId="189" priority="11" operator="lessThan">
      <formula>0.8</formula>
    </cfRule>
  </conditionalFormatting>
  <conditionalFormatting sqref="AG37">
    <cfRule type="cellIs" dxfId="188" priority="10" operator="lessThan">
      <formula>0.8</formula>
    </cfRule>
  </conditionalFormatting>
  <conditionalFormatting sqref="AG39:AG74">
    <cfRule type="cellIs" dxfId="187" priority="8" operator="lessThan">
      <formula>0.8</formula>
    </cfRule>
  </conditionalFormatting>
  <conditionalFormatting sqref="AG80:AG88">
    <cfRule type="cellIs" dxfId="186" priority="9" operator="lessThan">
      <formula>0.8</formula>
    </cfRule>
  </conditionalFormatting>
  <conditionalFormatting sqref="AG90:AG95">
    <cfRule type="cellIs" dxfId="185" priority="7" operator="lessThan">
      <formula>0.8</formula>
    </cfRule>
  </conditionalFormatting>
  <conditionalFormatting sqref="AG139">
    <cfRule type="cellIs" dxfId="184" priority="1" operator="lessThan">
      <formula>0.8</formula>
    </cfRule>
  </conditionalFormatting>
  <dataValidations count="1">
    <dataValidation type="list" allowBlank="1" showInputMessage="1" showErrorMessage="1" sqref="AA5:AB140" xr:uid="{E92523DF-E214-4AD0-A9D6-BD9D071F3F3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3C5D-41CA-4CE0-86C8-9CF91597EA8F}">
  <sheetPr>
    <tabColor theme="9" tint="0.59999389629810485"/>
  </sheetPr>
  <dimension ref="B1:AR42"/>
  <sheetViews>
    <sheetView zoomScale="70" zoomScaleNormal="70" workbookViewId="0">
      <selection activeCell="P41" sqref="P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234</v>
      </c>
      <c r="D3" s="208"/>
      <c r="E3" s="3" t="s">
        <v>3</v>
      </c>
      <c r="F3" s="209">
        <f>'0808(18度C)'!D1+'0808(4度C)'!D1</f>
        <v>168530</v>
      </c>
      <c r="G3" s="210"/>
      <c r="H3" s="3" t="s">
        <v>4</v>
      </c>
      <c r="I3" s="211">
        <f>'0808(18度C)'!F1+'0808(4度C)'!F1</f>
        <v>5207709.95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494.88872296723548</v>
      </c>
      <c r="F6" s="245" t="e">
        <f>AVERAGE(#REF!,D14:K14)</f>
        <v>#REF!</v>
      </c>
      <c r="G6" s="246">
        <f>AVERAGE(D14:K14)</f>
        <v>271.34188948852051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787.42857142857144</v>
      </c>
      <c r="N6" s="247"/>
      <c r="O6" s="235">
        <f>'0808(4度C)'!Y2</f>
        <v>0</v>
      </c>
      <c r="P6" s="235">
        <f>'0808(4度C)'!Z2</f>
        <v>0</v>
      </c>
      <c r="Q6" s="235">
        <f>'0808(4度C)'!AC2</f>
        <v>0</v>
      </c>
      <c r="R6" s="235">
        <f>'0808(4度C)'!AD2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444.63999207797815</v>
      </c>
      <c r="F7" s="241" t="e">
        <f>AVERAGE(#REF!,D15:K15)</f>
        <v>#REF!</v>
      </c>
      <c r="G7" s="242">
        <f>AVERAGE(D15:K15)</f>
        <v>239.97102153793753</v>
      </c>
      <c r="H7" s="243"/>
      <c r="I7" s="242">
        <f>AVERAGE(L15:O15)</f>
        <v>87.481600974765797</v>
      </c>
      <c r="J7" s="243"/>
      <c r="K7" s="242">
        <f>AVERAGE(D33:O33)</f>
        <v>664.57589294345348</v>
      </c>
      <c r="L7" s="243"/>
      <c r="M7" s="242">
        <f>AVERAGE(P33:X33)</f>
        <v>710.28674257417003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0.90036808528320533</v>
      </c>
      <c r="F8" s="260" t="e">
        <f>AVERAGE(D16:K16,#REF!)</f>
        <v>#REF!</v>
      </c>
      <c r="G8" s="248">
        <f>AVERAGE(D16:K16)</f>
        <v>0.89333183680953721</v>
      </c>
      <c r="H8" s="249"/>
      <c r="I8" s="248">
        <f>AVERAGE(L16:O16)</f>
        <v>0.92558007787647345</v>
      </c>
      <c r="J8" s="249"/>
      <c r="K8" s="248">
        <f>AVERAGE(D34:O34)</f>
        <v>0.89725620955869456</v>
      </c>
      <c r="L8" s="249"/>
      <c r="M8" s="248">
        <f>AVERAGE(P34:X34)</f>
        <v>0.90142833742158379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83.720930232558146</v>
      </c>
      <c r="F14" s="28">
        <v>117.52</v>
      </c>
      <c r="G14" s="28">
        <v>90.909090909090907</v>
      </c>
      <c r="H14" s="28">
        <v>170.5263157894737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75.498768422172319</v>
      </c>
      <c r="F15" s="28">
        <v>106.08939395760657</v>
      </c>
      <c r="G15" s="28">
        <v>81.928405647238733</v>
      </c>
      <c r="H15" s="28">
        <v>153.57421507159728</v>
      </c>
      <c r="I15" s="28">
        <v>481.08197262170557</v>
      </c>
      <c r="J15" s="28">
        <v>541.65337350730476</v>
      </c>
      <c r="K15" s="36" t="s">
        <v>43</v>
      </c>
      <c r="L15" s="34" t="s">
        <v>43</v>
      </c>
      <c r="M15" s="30">
        <v>96.549999999999983</v>
      </c>
      <c r="N15" s="28">
        <v>78.413201949531626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0.90179084504261375</v>
      </c>
      <c r="F16" s="42">
        <f t="shared" si="0"/>
        <v>0.90273480222606006</v>
      </c>
      <c r="G16" s="42">
        <f t="shared" si="0"/>
        <v>0.90121246211962613</v>
      </c>
      <c r="H16" s="42">
        <f t="shared" si="0"/>
        <v>0.90058953282726795</v>
      </c>
      <c r="I16" s="42">
        <f t="shared" si="0"/>
        <v>0.85090775612948133</v>
      </c>
      <c r="J16" s="42">
        <f t="shared" si="0"/>
        <v>0.90275562251217456</v>
      </c>
      <c r="K16" s="43" t="s">
        <v>43</v>
      </c>
      <c r="L16" s="41" t="s">
        <v>43</v>
      </c>
      <c r="M16" s="44">
        <f>M15/M14</f>
        <v>0.94940833333333319</v>
      </c>
      <c r="N16" s="42">
        <f>N15/N14</f>
        <v>0.90175182241961371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0.57769675925925923</v>
      </c>
      <c r="F18" s="47">
        <v>0.50924768518518515</v>
      </c>
      <c r="G18" s="47">
        <v>0.55949074074074057</v>
      </c>
      <c r="H18" s="47">
        <v>0.62956018518518508</v>
      </c>
      <c r="I18" s="47">
        <v>0.39062499999999989</v>
      </c>
      <c r="J18" s="47">
        <v>0.29896990740740736</v>
      </c>
      <c r="K18" s="47" t="s">
        <v>43</v>
      </c>
      <c r="L18" s="46" t="s">
        <v>43</v>
      </c>
      <c r="M18" s="48">
        <v>0.81306712962962968</v>
      </c>
      <c r="N18" s="47">
        <v>0.84067129629629622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21.5</v>
      </c>
      <c r="F23" s="57">
        <v>18</v>
      </c>
      <c r="G23" s="57">
        <v>22</v>
      </c>
      <c r="H23" s="57">
        <v>21.111111111111111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287.4505142143517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753.6313504413688</v>
      </c>
      <c r="N33" s="28">
        <v>847.26823790600531</v>
      </c>
      <c r="O33" s="28">
        <v>769.95346921208818</v>
      </c>
      <c r="P33" s="27">
        <v>438.60823083382041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647.67580267192363</v>
      </c>
      <c r="W33" s="28">
        <v>982.54065300793809</v>
      </c>
      <c r="X33" s="31">
        <v>772.32228378299817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0.87832101565496357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0.91349254598953789</v>
      </c>
      <c r="N34" s="42">
        <f>N33/N32</f>
        <v>0.90047832047981236</v>
      </c>
      <c r="O34" s="42">
        <f>O33/O32</f>
        <v>0.89673295611046422</v>
      </c>
      <c r="P34" s="41">
        <f>P33/P32</f>
        <v>0.8934612109577823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0.91338895248604624</v>
      </c>
      <c r="W34" s="42">
        <f>W33/W32</f>
        <v>0.90497165408625868</v>
      </c>
      <c r="X34" s="45">
        <f>X33/X32</f>
        <v>0.89389153215624795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0.31736111111111104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0.73055555555555551</v>
      </c>
      <c r="X35" s="49">
        <v>0.74097222222222225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0.39062499999999989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0.38664351851851841</v>
      </c>
      <c r="N36" s="47">
        <v>0.46381944444444451</v>
      </c>
      <c r="O36" s="47">
        <v>0.46468750000000009</v>
      </c>
      <c r="P36" s="46">
        <v>0.75473379629629633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0.8615856481481482</v>
      </c>
      <c r="W36" s="47">
        <v>1.0797800925925922</v>
      </c>
      <c r="X36" s="49">
        <v>1.0942245370370367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8100-17BA-49E1-9D5E-C403F1C7DEE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41" sqref="P41"/>
      <selection activeCell="P41" sqref="P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89110</v>
      </c>
      <c r="E1" s="87" t="s">
        <v>4</v>
      </c>
      <c r="F1" s="88">
        <f>SUM(G5:G140)</f>
        <v>1747150.3399999996</v>
      </c>
      <c r="G1" s="89" t="s">
        <v>85</v>
      </c>
      <c r="H1" s="90">
        <f>L21+L38+L55+L72+L89+L106+L123+L140</f>
        <v>41.709523809523809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46242</v>
      </c>
      <c r="B2" s="294"/>
      <c r="C2" s="91" t="s">
        <v>41</v>
      </c>
      <c r="D2" s="92">
        <f>AVERAGE(N21,N38,N55,N72,N89,N106,N123,N140)</f>
        <v>687.4313177588117</v>
      </c>
      <c r="E2" s="92" t="s">
        <v>92</v>
      </c>
      <c r="F2" s="93">
        <f>F1/D1</f>
        <v>19.606669734036579</v>
      </c>
      <c r="G2" s="94" t="s">
        <v>93</v>
      </c>
      <c r="H2" s="95">
        <f>COUNT(H5:H140)</f>
        <v>9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1435</v>
      </c>
      <c r="G5" s="147">
        <f t="shared" ref="G5:G9" si="0">E5*F5</f>
        <v>36793.4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3216.8895511531841</v>
      </c>
      <c r="N5" s="151">
        <f>M5/L5</f>
        <v>321.68895511531844</v>
      </c>
      <c r="O5" s="153">
        <f>L5-I5</f>
        <v>0</v>
      </c>
      <c r="P5" s="154">
        <f>N5-K5</f>
        <v>-38.311044884681564</v>
      </c>
      <c r="Q5" s="155">
        <f>N5/K5</f>
        <v>0.89358043087588457</v>
      </c>
      <c r="R5" s="321">
        <f>Q21</f>
        <v>0.87832101565496357</v>
      </c>
      <c r="S5" s="156">
        <v>0.20833333333333334</v>
      </c>
      <c r="T5" s="157">
        <v>0.22690972222222222</v>
      </c>
      <c r="U5" s="158"/>
      <c r="V5" s="159">
        <v>26.764984818684571</v>
      </c>
      <c r="W5" s="160"/>
      <c r="X5" s="161"/>
      <c r="Y5" s="324"/>
      <c r="Z5" s="325"/>
      <c r="AA5" s="114">
        <f>M5-J5</f>
        <v>-383.11044884681587</v>
      </c>
      <c r="AB5" s="155">
        <f>M5/J5</f>
        <v>0.89358043087588446</v>
      </c>
      <c r="AC5" s="326">
        <f>AB21</f>
        <v>0.87832101565496357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2126</v>
      </c>
      <c r="G6" s="102">
        <f t="shared" si="0"/>
        <v>62759.519999999997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3157.1833410043864</v>
      </c>
      <c r="N6" s="105">
        <f>M6/L6</f>
        <v>287.01666736403513</v>
      </c>
      <c r="O6" s="107">
        <f>L6-I6</f>
        <v>0</v>
      </c>
      <c r="P6" s="108">
        <f>N6-K6</f>
        <v>-40.256059908692123</v>
      </c>
      <c r="Q6" s="109">
        <f>N6/K6</f>
        <v>0.87699537250121851</v>
      </c>
      <c r="R6" s="322"/>
      <c r="S6" s="46">
        <v>0.2298611111111111</v>
      </c>
      <c r="T6" s="47">
        <v>0.25791666666666668</v>
      </c>
      <c r="U6" s="110">
        <v>5</v>
      </c>
      <c r="V6" s="111">
        <v>40.403101822848107</v>
      </c>
      <c r="W6" s="112"/>
      <c r="X6" s="115"/>
      <c r="Y6" s="331"/>
      <c r="Z6" s="332"/>
      <c r="AA6" s="116">
        <f>M6-J6</f>
        <v>-442.81665899561358</v>
      </c>
      <c r="AB6" s="109">
        <f>M6/J6</f>
        <v>0.8769953725012184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2441</v>
      </c>
      <c r="G7" s="102">
        <f t="shared" si="0"/>
        <v>72863.850000000006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3157.291905152008</v>
      </c>
      <c r="N7" s="105">
        <f>M7/L7</f>
        <v>287.02653683200072</v>
      </c>
      <c r="O7" s="107">
        <f>L7-I7</f>
        <v>0</v>
      </c>
      <c r="P7" s="108">
        <f>N7-K7</f>
        <v>-40.246190440726537</v>
      </c>
      <c r="Q7" s="109">
        <f>N7/K7</f>
        <v>0.8770255292088911</v>
      </c>
      <c r="R7" s="322"/>
      <c r="S7" s="46">
        <v>0.26180555555555551</v>
      </c>
      <c r="T7" s="47">
        <v>0.29401620370370368</v>
      </c>
      <c r="U7" s="110">
        <v>5.5999999999999162</v>
      </c>
      <c r="V7" s="111">
        <v>46.387855288581143</v>
      </c>
      <c r="W7" s="112"/>
      <c r="X7" s="115"/>
      <c r="Y7" s="331"/>
      <c r="Z7" s="332"/>
      <c r="AA7" s="116">
        <f>M7-J7</f>
        <v>-442.70809484799202</v>
      </c>
      <c r="AB7" s="109">
        <f>M7/J7</f>
        <v>0.8770255292088911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1384</v>
      </c>
      <c r="G8" s="102">
        <f t="shared" si="0"/>
        <v>41520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3156.5911721090984</v>
      </c>
      <c r="N8" s="105">
        <f>M8/L8</f>
        <v>286.96283382809986</v>
      </c>
      <c r="O8" s="107">
        <f>L8-I8</f>
        <v>0</v>
      </c>
      <c r="P8" s="108">
        <f>N8-K8</f>
        <v>-40.309893444627392</v>
      </c>
      <c r="Q8" s="109">
        <f>N8/K8</f>
        <v>0.87683088114141627</v>
      </c>
      <c r="R8" s="322"/>
      <c r="S8" s="46">
        <v>0.29791666666666661</v>
      </c>
      <c r="T8" s="47">
        <v>0.31618055555555552</v>
      </c>
      <c r="U8" s="110">
        <v>5.6166666666666121</v>
      </c>
      <c r="V8" s="111">
        <v>26.306859353128157</v>
      </c>
      <c r="W8" s="112"/>
      <c r="X8" s="115"/>
      <c r="Y8" s="331"/>
      <c r="Z8" s="332"/>
      <c r="AA8" s="116">
        <f>M8-J8</f>
        <v>-443.40882789090165</v>
      </c>
      <c r="AB8" s="109">
        <f>M8/J8</f>
        <v>0.87683088114141616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1088</v>
      </c>
      <c r="G9" s="102">
        <f t="shared" si="0"/>
        <v>31084.16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3121.8223123706707</v>
      </c>
      <c r="N9" s="105">
        <f>M9/L9</f>
        <v>260.15185936422256</v>
      </c>
      <c r="O9" s="107">
        <f>L9-I9</f>
        <v>0</v>
      </c>
      <c r="P9" s="108">
        <f>N9-K9</f>
        <v>-39.84814063577744</v>
      </c>
      <c r="Q9" s="109">
        <f>N9/K9</f>
        <v>0.8671728645474085</v>
      </c>
      <c r="R9" s="322"/>
      <c r="S9" s="46">
        <v>0.32013888888888881</v>
      </c>
      <c r="T9" s="47">
        <v>0.33465277777777769</v>
      </c>
      <c r="U9" s="110">
        <v>5.6999999999999318</v>
      </c>
      <c r="V9" s="111">
        <v>20.910863421444134</v>
      </c>
      <c r="W9" s="112"/>
      <c r="X9" s="115"/>
      <c r="Y9" s="331"/>
      <c r="Z9" s="332"/>
      <c r="AA9" s="116">
        <f>M9-J9</f>
        <v>-478.17768762932928</v>
      </c>
      <c r="AB9" s="109">
        <f>M9/J9</f>
        <v>0.8671728645474085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3161.955656357869</v>
      </c>
      <c r="N21" s="137">
        <f>M21/L21</f>
        <v>287.4505142143517</v>
      </c>
      <c r="O21" s="138">
        <f>L21-I21</f>
        <v>0</v>
      </c>
      <c r="P21" s="139">
        <f>N21-K21</f>
        <v>-39.822213058375553</v>
      </c>
      <c r="Q21" s="140">
        <f>N21/K21</f>
        <v>0.87832101565496357</v>
      </c>
      <c r="R21" s="323"/>
      <c r="S21" s="141">
        <v>0.20833333333333334</v>
      </c>
      <c r="T21" s="142">
        <v>0.39062499999999989</v>
      </c>
      <c r="U21" s="143"/>
      <c r="V21" s="165"/>
      <c r="W21" s="166"/>
      <c r="X21" s="137"/>
      <c r="Y21" s="353"/>
      <c r="Z21" s="354"/>
      <c r="AA21" s="167">
        <f>M21-J21</f>
        <v>-438.04434364213103</v>
      </c>
      <c r="AB21" s="140">
        <f>M21/J21</f>
        <v>0.87832101565496357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1819</v>
      </c>
      <c r="G22" s="147">
        <f t="shared" ref="G22:G24" si="5">E22*F22</f>
        <v>33706.07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3013.0934405697476</v>
      </c>
      <c r="N22" s="151">
        <f>M22/L22</f>
        <v>1004.3644801899159</v>
      </c>
      <c r="O22" s="153">
        <f>L22-I22</f>
        <v>0</v>
      </c>
      <c r="P22" s="154">
        <f>N22-K22</f>
        <v>-95.635519810084133</v>
      </c>
      <c r="Q22" s="155">
        <f>N22/K22</f>
        <v>0.913058618354469</v>
      </c>
      <c r="R22" s="321">
        <f>Q38</f>
        <v>0.91349254598953789</v>
      </c>
      <c r="S22" s="156">
        <v>0.31736111111111104</v>
      </c>
      <c r="T22" s="157">
        <v>0.34251157407407401</v>
      </c>
      <c r="U22" s="158"/>
      <c r="V22" s="111">
        <v>36.221910190532512</v>
      </c>
      <c r="W22" s="160"/>
      <c r="X22" s="161"/>
      <c r="Y22" s="324"/>
      <c r="Z22" s="325"/>
      <c r="AA22" s="114">
        <f>M22-J22</f>
        <v>-286.9065594302524</v>
      </c>
      <c r="AB22" s="155">
        <f>M22/J22</f>
        <v>0.913058618354469</v>
      </c>
      <c r="AC22" s="326">
        <f>AB38</f>
        <v>0.91349254598953789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533</v>
      </c>
      <c r="G23" s="102">
        <f t="shared" si="5"/>
        <v>11875.24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3016.3698070850169</v>
      </c>
      <c r="N23" s="105">
        <f>M23/L23</f>
        <v>603.27396141700342</v>
      </c>
      <c r="O23" s="107">
        <f>L23-I23</f>
        <v>0</v>
      </c>
      <c r="P23" s="108">
        <f>N23-K23</f>
        <v>-56.72603858299658</v>
      </c>
      <c r="Q23" s="109">
        <f>N23/K23</f>
        <v>0.91405145669242938</v>
      </c>
      <c r="R23" s="322"/>
      <c r="S23" s="46">
        <v>0.34583333333333327</v>
      </c>
      <c r="T23" s="47">
        <v>0.35319444444444437</v>
      </c>
      <c r="U23" s="110">
        <v>4.783333333333335</v>
      </c>
      <c r="V23" s="111">
        <v>10.602148292587865</v>
      </c>
      <c r="W23" s="112"/>
      <c r="X23" s="115"/>
      <c r="Y23" s="331"/>
      <c r="Z23" s="332"/>
      <c r="AA23" s="116">
        <f>M23-J23</f>
        <v>-283.63019291498313</v>
      </c>
      <c r="AB23" s="109">
        <f>M23/J23</f>
        <v>0.91405145669242938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2149</v>
      </c>
      <c r="G24" s="102">
        <f t="shared" si="5"/>
        <v>38445.61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3014.1129576416602</v>
      </c>
      <c r="N24" s="105">
        <f>M24/L24</f>
        <v>753.52823941041504</v>
      </c>
      <c r="O24" s="107">
        <f>L24-I24</f>
        <v>0</v>
      </c>
      <c r="P24" s="108">
        <f>N24-K24</f>
        <v>-71.47176058958496</v>
      </c>
      <c r="Q24" s="109">
        <f>N24/K24</f>
        <v>0.91336756292171517</v>
      </c>
      <c r="R24" s="322"/>
      <c r="S24" s="46">
        <v>0.35694444444444434</v>
      </c>
      <c r="T24" s="47">
        <v>0.38664351851851841</v>
      </c>
      <c r="U24" s="110">
        <v>5.3999999999999648</v>
      </c>
      <c r="V24" s="111">
        <v>42.778755080528519</v>
      </c>
      <c r="W24" s="112"/>
      <c r="X24" s="115"/>
      <c r="Y24" s="331"/>
      <c r="Z24" s="332"/>
      <c r="AA24" s="116">
        <f>M24-J24</f>
        <v>-285.88704235833984</v>
      </c>
      <c r="AB24" s="109">
        <f>M24/J24</f>
        <v>0.91336756292171517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3014.5254017654752</v>
      </c>
      <c r="N38" s="137">
        <f t="shared" ref="N38:N44" si="10">M38/L38</f>
        <v>753.6313504413688</v>
      </c>
      <c r="O38" s="138">
        <f t="shared" ref="O38:O44" si="11">L38-I38</f>
        <v>0</v>
      </c>
      <c r="P38" s="139">
        <f t="shared" ref="P38:P44" si="12">N38-K38</f>
        <v>-71.368649558631205</v>
      </c>
      <c r="Q38" s="140">
        <f t="shared" ref="Q38:Q44" si="13">N38/K38</f>
        <v>0.91349254598953789</v>
      </c>
      <c r="R38" s="323"/>
      <c r="S38" s="141">
        <v>0.31736111111111104</v>
      </c>
      <c r="T38" s="142">
        <v>0.38664351851851841</v>
      </c>
      <c r="U38" s="143"/>
      <c r="V38" s="165"/>
      <c r="W38" s="98"/>
      <c r="X38" s="68"/>
      <c r="Y38" s="353"/>
      <c r="Z38" s="354"/>
      <c r="AA38" s="167">
        <f t="shared" ref="AA38:AA44" si="14">M38-J38</f>
        <v>-285.47459823452482</v>
      </c>
      <c r="AB38" s="140">
        <f t="shared" ref="AB38:AB44" si="15">M38/J38</f>
        <v>0.91349254598953789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572</v>
      </c>
      <c r="G39" s="147">
        <f t="shared" ref="G39:G44" si="16">E39*F39</f>
        <v>14317.16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3219.9495508629147</v>
      </c>
      <c r="N39" s="151">
        <f t="shared" si="10"/>
        <v>643.989910172583</v>
      </c>
      <c r="O39" s="153">
        <f t="shared" si="11"/>
        <v>0</v>
      </c>
      <c r="P39" s="154">
        <f t="shared" si="12"/>
        <v>-76.010089827417005</v>
      </c>
      <c r="Q39" s="155">
        <f t="shared" si="13"/>
        <v>0.89443043079525419</v>
      </c>
      <c r="R39" s="321">
        <f>Q55</f>
        <v>0.90047832047981236</v>
      </c>
      <c r="S39" s="156">
        <v>0.25</v>
      </c>
      <c r="T39" s="157">
        <v>0.25739583333333332</v>
      </c>
      <c r="U39" s="158"/>
      <c r="V39" s="159">
        <v>10.658552085327727</v>
      </c>
      <c r="W39" s="160"/>
      <c r="X39" s="161"/>
      <c r="Y39" s="324"/>
      <c r="Z39" s="325"/>
      <c r="AA39" s="114">
        <f t="shared" si="14"/>
        <v>-380.05044913708525</v>
      </c>
      <c r="AB39" s="155">
        <f t="shared" si="15"/>
        <v>0.89443043079525408</v>
      </c>
      <c r="AC39" s="326">
        <f>AB55</f>
        <v>0.90047832047981236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812</v>
      </c>
      <c r="G40" s="102">
        <f t="shared" si="16"/>
        <v>14762.16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3218.1618073801164</v>
      </c>
      <c r="N40" s="105">
        <f t="shared" si="10"/>
        <v>1072.7206024600389</v>
      </c>
      <c r="O40" s="107">
        <f t="shared" si="11"/>
        <v>0</v>
      </c>
      <c r="P40" s="108">
        <f t="shared" si="12"/>
        <v>-127.27939753996111</v>
      </c>
      <c r="Q40" s="109">
        <f t="shared" si="13"/>
        <v>0.89393383538336579</v>
      </c>
      <c r="R40" s="322"/>
      <c r="S40" s="46">
        <v>0.2673611111111111</v>
      </c>
      <c r="T40" s="47">
        <v>0.27787037037037038</v>
      </c>
      <c r="U40" s="110">
        <v>15</v>
      </c>
      <c r="V40" s="111">
        <v>15.139077186321659</v>
      </c>
      <c r="W40" s="112"/>
      <c r="X40" s="115"/>
      <c r="Y40" s="331"/>
      <c r="Z40" s="332"/>
      <c r="AA40" s="116">
        <f t="shared" si="14"/>
        <v>-381.83819261988356</v>
      </c>
      <c r="AB40" s="109">
        <f t="shared" si="15"/>
        <v>0.89393383538336568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855</v>
      </c>
      <c r="G41" s="102">
        <f t="shared" si="16"/>
        <v>21221.1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3220.7201595422816</v>
      </c>
      <c r="N41" s="105">
        <f t="shared" si="10"/>
        <v>644.14403190845633</v>
      </c>
      <c r="O41" s="107">
        <f t="shared" si="11"/>
        <v>0</v>
      </c>
      <c r="P41" s="108">
        <f t="shared" si="12"/>
        <v>-75.855968091543673</v>
      </c>
      <c r="Q41" s="109">
        <f t="shared" si="13"/>
        <v>0.89464448876174485</v>
      </c>
      <c r="R41" s="322"/>
      <c r="S41" s="46">
        <v>0.28819444444444448</v>
      </c>
      <c r="T41" s="47">
        <v>0.29924768518518524</v>
      </c>
      <c r="U41" s="110">
        <v>14.866666666666699</v>
      </c>
      <c r="V41" s="111">
        <v>15.928114663426888</v>
      </c>
      <c r="W41" s="112"/>
      <c r="X41" s="115"/>
      <c r="Y41" s="331"/>
      <c r="Z41" s="332"/>
      <c r="AA41" s="116">
        <f t="shared" si="14"/>
        <v>-379.27984045771836</v>
      </c>
      <c r="AB41" s="109">
        <f t="shared" si="15"/>
        <v>0.89464448876174485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1432</v>
      </c>
      <c r="G42" s="102">
        <f t="shared" si="16"/>
        <v>24444.240000000002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3019.7683646395126</v>
      </c>
      <c r="N42" s="105">
        <f t="shared" si="10"/>
        <v>1006.5894548798375</v>
      </c>
      <c r="O42" s="107">
        <f t="shared" si="11"/>
        <v>0</v>
      </c>
      <c r="P42" s="108">
        <f t="shared" si="12"/>
        <v>-93.41054512016251</v>
      </c>
      <c r="Q42" s="109">
        <f t="shared" si="13"/>
        <v>0.9150813226180341</v>
      </c>
      <c r="R42" s="322"/>
      <c r="S42" s="46">
        <v>0.30902777777777785</v>
      </c>
      <c r="T42" s="47">
        <v>0.32878472222222227</v>
      </c>
      <c r="U42" s="110">
        <v>15</v>
      </c>
      <c r="V42" s="111">
        <v>28.452513446426799</v>
      </c>
      <c r="W42" s="112"/>
      <c r="X42" s="115"/>
      <c r="Y42" s="331"/>
      <c r="Z42" s="332"/>
      <c r="AA42" s="116">
        <f t="shared" si="14"/>
        <v>-280.23163536048742</v>
      </c>
      <c r="AB42" s="109">
        <f t="shared" si="15"/>
        <v>0.9150813226180341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3505</v>
      </c>
      <c r="G43" s="102">
        <f t="shared" si="16"/>
        <v>49175.149999999994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2743.7161146167418</v>
      </c>
      <c r="N43" s="105">
        <f t="shared" si="10"/>
        <v>914.57203820558061</v>
      </c>
      <c r="O43" s="107">
        <f t="shared" si="11"/>
        <v>0</v>
      </c>
      <c r="P43" s="108">
        <f t="shared" si="12"/>
        <v>-85.427961794419389</v>
      </c>
      <c r="Q43" s="109">
        <f t="shared" si="13"/>
        <v>0.91457203820558064</v>
      </c>
      <c r="R43" s="322"/>
      <c r="S43" s="46">
        <v>0.33888888888888896</v>
      </c>
      <c r="T43" s="47">
        <v>0.39210648148148153</v>
      </c>
      <c r="U43" s="110">
        <v>14.550000000000036</v>
      </c>
      <c r="V43" s="111">
        <v>76.647871432346022</v>
      </c>
      <c r="W43" s="112"/>
      <c r="X43" s="115"/>
      <c r="Y43" s="331"/>
      <c r="Z43" s="332"/>
      <c r="AA43" s="116">
        <f t="shared" si="14"/>
        <v>-256.28388538325817</v>
      </c>
      <c r="AB43" s="109">
        <f t="shared" si="15"/>
        <v>0.91457203820558064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4768</v>
      </c>
      <c r="G44" s="120">
        <f t="shared" si="16"/>
        <v>68087.039999999994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3217.5852368905494</v>
      </c>
      <c r="N44" s="105">
        <f t="shared" si="10"/>
        <v>1072.5284122968499</v>
      </c>
      <c r="O44" s="107">
        <f t="shared" si="11"/>
        <v>0</v>
      </c>
      <c r="P44" s="108">
        <f t="shared" si="12"/>
        <v>-127.47158770315013</v>
      </c>
      <c r="Q44" s="109">
        <f t="shared" si="13"/>
        <v>0.89377367691404153</v>
      </c>
      <c r="R44" s="322"/>
      <c r="S44" s="46">
        <v>0.4020833333333334</v>
      </c>
      <c r="T44" s="119">
        <v>0.46381944444444451</v>
      </c>
      <c r="U44" s="110">
        <v>15</v>
      </c>
      <c r="V44" s="111">
        <v>88.911397503944798</v>
      </c>
      <c r="W44" s="112"/>
      <c r="X44" s="115"/>
      <c r="Y44" s="331"/>
      <c r="Z44" s="332"/>
      <c r="AA44" s="116">
        <f t="shared" si="14"/>
        <v>-382.41476310945063</v>
      </c>
      <c r="AB44" s="109">
        <f t="shared" si="15"/>
        <v>0.89377367691404153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3106.6502056553527</v>
      </c>
      <c r="N55" s="137">
        <f t="shared" ref="N55:N62" si="22">M55/L55</f>
        <v>847.26823790600531</v>
      </c>
      <c r="O55" s="138">
        <f t="shared" ref="O55:O62" si="23">L55-I55</f>
        <v>0</v>
      </c>
      <c r="P55" s="139">
        <f t="shared" ref="P55:P62" si="24">N55-K55</f>
        <v>-93.640853003085681</v>
      </c>
      <c r="Q55" s="140">
        <f t="shared" ref="Q55:Q62" si="25">N55/K55</f>
        <v>0.90047832047981236</v>
      </c>
      <c r="R55" s="323"/>
      <c r="S55" s="141">
        <v>0.25</v>
      </c>
      <c r="T55" s="142">
        <v>0.46381944444444451</v>
      </c>
      <c r="U55" s="143"/>
      <c r="V55" s="165"/>
      <c r="W55" s="98"/>
      <c r="X55" s="68"/>
      <c r="Y55" s="353"/>
      <c r="Z55" s="354"/>
      <c r="AA55" s="167">
        <f t="shared" ref="AA55:AA62" si="26">M55-J55</f>
        <v>-343.34979434464731</v>
      </c>
      <c r="AB55" s="140">
        <f t="shared" ref="AB55:AB62" si="27">M55/J55</f>
        <v>0.90047832047981236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956</v>
      </c>
      <c r="G56" s="147">
        <f t="shared" ref="G56:G62" si="28">E56*F56</f>
        <v>19808.32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3218.7183578594536</v>
      </c>
      <c r="N56" s="151">
        <f t="shared" si="22"/>
        <v>1072.9061192864845</v>
      </c>
      <c r="O56" s="153">
        <f t="shared" si="23"/>
        <v>0</v>
      </c>
      <c r="P56" s="154">
        <f t="shared" si="24"/>
        <v>-127.09388071351555</v>
      </c>
      <c r="Q56" s="155">
        <f t="shared" si="25"/>
        <v>0.89408843273873706</v>
      </c>
      <c r="R56" s="321">
        <f>Q72</f>
        <v>0.89673295611046422</v>
      </c>
      <c r="S56" s="156">
        <v>0.25</v>
      </c>
      <c r="T56" s="157">
        <v>0.26237268518518519</v>
      </c>
      <c r="U56" s="158"/>
      <c r="V56" s="159">
        <v>17.820757712441221</v>
      </c>
      <c r="W56" s="157"/>
      <c r="X56" s="168"/>
      <c r="Y56" s="324"/>
      <c r="Z56" s="325"/>
      <c r="AA56" s="114">
        <f t="shared" si="26"/>
        <v>-381.28164214054641</v>
      </c>
      <c r="AB56" s="155">
        <f t="shared" si="27"/>
        <v>0.89408843273873706</v>
      </c>
      <c r="AC56" s="326">
        <f>AB72</f>
        <v>0.89673295611046411</v>
      </c>
    </row>
    <row r="57" spans="1:29" ht="15.75" customHeight="1">
      <c r="A57" s="356"/>
      <c r="B57" s="99" t="s">
        <v>121</v>
      </c>
      <c r="C57" s="329" t="s">
        <v>232</v>
      </c>
      <c r="D57" s="330"/>
      <c r="E57" s="100">
        <v>23.72</v>
      </c>
      <c r="F57" s="101">
        <v>350</v>
      </c>
      <c r="G57" s="102">
        <f t="shared" si="28"/>
        <v>8302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3217.5111494849389</v>
      </c>
      <c r="N57" s="105">
        <f t="shared" si="22"/>
        <v>643.50222989698773</v>
      </c>
      <c r="O57" s="107">
        <f t="shared" si="23"/>
        <v>0</v>
      </c>
      <c r="P57" s="108">
        <f t="shared" si="24"/>
        <v>-76.497770103012272</v>
      </c>
      <c r="Q57" s="109">
        <f t="shared" si="25"/>
        <v>0.89375309707914963</v>
      </c>
      <c r="R57" s="322"/>
      <c r="S57" s="46">
        <v>0.27222222222222225</v>
      </c>
      <c r="T57" s="47">
        <v>0.27674768518518522</v>
      </c>
      <c r="U57" s="110">
        <v>15</v>
      </c>
      <c r="V57" s="111">
        <v>6.5267839097812272</v>
      </c>
      <c r="W57" s="112"/>
      <c r="X57" s="13"/>
      <c r="Y57" s="331"/>
      <c r="Z57" s="332"/>
      <c r="AA57" s="116">
        <f t="shared" si="26"/>
        <v>-382.48885051506113</v>
      </c>
      <c r="AB57" s="109">
        <f t="shared" si="27"/>
        <v>0.89375309707914974</v>
      </c>
      <c r="AC57" s="327"/>
    </row>
    <row r="58" spans="1:29" ht="15.75" customHeight="1">
      <c r="A58" s="356"/>
      <c r="B58" s="99" t="s">
        <v>121</v>
      </c>
      <c r="C58" s="329" t="s">
        <v>135</v>
      </c>
      <c r="D58" s="330"/>
      <c r="E58" s="100">
        <v>30</v>
      </c>
      <c r="F58" s="101">
        <v>1336</v>
      </c>
      <c r="G58" s="102">
        <f t="shared" si="28"/>
        <v>40080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3221.0706743701639</v>
      </c>
      <c r="N58" s="105">
        <f t="shared" si="22"/>
        <v>805.26766859254099</v>
      </c>
      <c r="O58" s="107">
        <f t="shared" si="23"/>
        <v>0</v>
      </c>
      <c r="P58" s="108">
        <f t="shared" si="24"/>
        <v>-94.732331407459014</v>
      </c>
      <c r="Q58" s="109">
        <f t="shared" si="25"/>
        <v>0.89474185399171224</v>
      </c>
      <c r="R58" s="322"/>
      <c r="S58" s="46">
        <v>0.28680555555555559</v>
      </c>
      <c r="T58" s="47">
        <v>0.3040856481481482</v>
      </c>
      <c r="U58" s="110">
        <v>15</v>
      </c>
      <c r="V58" s="111">
        <v>24.886135109616674</v>
      </c>
      <c r="W58" s="112"/>
      <c r="X58" s="13"/>
      <c r="Y58" s="331"/>
      <c r="Z58" s="332"/>
      <c r="AA58" s="116">
        <f t="shared" si="26"/>
        <v>-378.92932562983606</v>
      </c>
      <c r="AB58" s="109">
        <f t="shared" si="27"/>
        <v>0.89474185399171224</v>
      </c>
      <c r="AC58" s="327"/>
    </row>
    <row r="59" spans="1:29" ht="15.75" customHeight="1">
      <c r="A59" s="356"/>
      <c r="B59" s="99" t="s">
        <v>121</v>
      </c>
      <c r="C59" s="329" t="s">
        <v>136</v>
      </c>
      <c r="D59" s="330"/>
      <c r="E59" s="100">
        <v>30</v>
      </c>
      <c r="F59" s="101">
        <v>1438</v>
      </c>
      <c r="G59" s="102">
        <f t="shared" si="28"/>
        <v>43140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3020.0709012974698</v>
      </c>
      <c r="N59" s="105">
        <f t="shared" si="22"/>
        <v>755.01772532436746</v>
      </c>
      <c r="O59" s="107">
        <f t="shared" si="23"/>
        <v>0</v>
      </c>
      <c r="P59" s="108">
        <f t="shared" si="24"/>
        <v>-69.982274675632539</v>
      </c>
      <c r="Q59" s="109">
        <f t="shared" si="25"/>
        <v>0.91517300039317273</v>
      </c>
      <c r="R59" s="322"/>
      <c r="S59" s="46">
        <v>0.31388888888888894</v>
      </c>
      <c r="T59" s="47">
        <v>0.33372685185185191</v>
      </c>
      <c r="U59" s="110">
        <v>15</v>
      </c>
      <c r="V59" s="111">
        <v>28.568865705415313</v>
      </c>
      <c r="W59" s="112"/>
      <c r="X59" s="115"/>
      <c r="Y59" s="331"/>
      <c r="Z59" s="332"/>
      <c r="AA59" s="116">
        <f t="shared" si="26"/>
        <v>-279.92909870253015</v>
      </c>
      <c r="AB59" s="109">
        <f t="shared" si="27"/>
        <v>0.91517300039317273</v>
      </c>
      <c r="AC59" s="327"/>
    </row>
    <row r="60" spans="1:29" ht="15.75" customHeight="1">
      <c r="A60" s="357"/>
      <c r="B60" s="99" t="s">
        <v>121</v>
      </c>
      <c r="C60" s="329" t="s">
        <v>137</v>
      </c>
      <c r="D60" s="330"/>
      <c r="E60" s="100">
        <v>27.48</v>
      </c>
      <c r="F60" s="101">
        <v>2255</v>
      </c>
      <c r="G60" s="102">
        <f t="shared" si="28"/>
        <v>61967.4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3220.2058765915908</v>
      </c>
      <c r="N60" s="105">
        <f t="shared" si="22"/>
        <v>644.04117531831821</v>
      </c>
      <c r="O60" s="107">
        <f t="shared" si="23"/>
        <v>0</v>
      </c>
      <c r="P60" s="108">
        <f t="shared" si="24"/>
        <v>-75.95882468168179</v>
      </c>
      <c r="Q60" s="109">
        <f t="shared" si="25"/>
        <v>0.89450163238655311</v>
      </c>
      <c r="R60" s="322"/>
      <c r="S60" s="46">
        <v>0.34375000000000006</v>
      </c>
      <c r="T60" s="47">
        <v>0.37291666666666673</v>
      </c>
      <c r="U60" s="110">
        <v>15</v>
      </c>
      <c r="V60" s="111">
        <v>42.015947173914093</v>
      </c>
      <c r="W60" s="112"/>
      <c r="X60" s="115"/>
      <c r="Y60" s="331"/>
      <c r="Z60" s="332"/>
      <c r="AA60" s="116">
        <f t="shared" si="26"/>
        <v>-379.79412340840918</v>
      </c>
      <c r="AB60" s="109">
        <f t="shared" si="27"/>
        <v>0.894501632386553</v>
      </c>
      <c r="AC60" s="327"/>
    </row>
    <row r="61" spans="1:29" ht="15.75" customHeight="1">
      <c r="A61" s="357"/>
      <c r="B61" s="99" t="s">
        <v>121</v>
      </c>
      <c r="C61" s="329" t="s">
        <v>138</v>
      </c>
      <c r="D61" s="330"/>
      <c r="E61" s="100">
        <v>18.18</v>
      </c>
      <c r="F61" s="101">
        <v>1525</v>
      </c>
      <c r="G61" s="120">
        <f t="shared" si="28"/>
        <v>27724.5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3215.8862807528703</v>
      </c>
      <c r="N61" s="105">
        <f t="shared" si="22"/>
        <v>1071.9620935842902</v>
      </c>
      <c r="O61" s="107">
        <f t="shared" si="23"/>
        <v>0</v>
      </c>
      <c r="P61" s="108">
        <f t="shared" si="24"/>
        <v>-128.03790641570981</v>
      </c>
      <c r="Q61" s="109">
        <f t="shared" si="25"/>
        <v>0.89330174465357515</v>
      </c>
      <c r="R61" s="322"/>
      <c r="S61" s="46">
        <v>0.38333333333333341</v>
      </c>
      <c r="T61" s="119">
        <v>0.40309027777777784</v>
      </c>
      <c r="U61" s="110">
        <v>15.000000000000027</v>
      </c>
      <c r="V61" s="111">
        <v>28.452498630821907</v>
      </c>
      <c r="W61" s="112"/>
      <c r="X61" s="49"/>
      <c r="Y61" s="331"/>
      <c r="Z61" s="332"/>
      <c r="AA61" s="116">
        <f t="shared" si="26"/>
        <v>-384.11371924712967</v>
      </c>
      <c r="AB61" s="109">
        <f t="shared" si="27"/>
        <v>0.89330174465357515</v>
      </c>
      <c r="AC61" s="327"/>
    </row>
    <row r="62" spans="1:29" ht="15.75" customHeight="1">
      <c r="A62" s="357"/>
      <c r="B62" s="99" t="s">
        <v>121</v>
      </c>
      <c r="C62" s="329" t="s">
        <v>139</v>
      </c>
      <c r="D62" s="330"/>
      <c r="E62" s="100">
        <v>16.66</v>
      </c>
      <c r="F62" s="101">
        <v>3974</v>
      </c>
      <c r="G62" s="120">
        <f t="shared" si="28"/>
        <v>66206.84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3215.1873667940713</v>
      </c>
      <c r="N62" s="105">
        <f t="shared" si="22"/>
        <v>643.03747335881428</v>
      </c>
      <c r="O62" s="122">
        <f t="shared" si="23"/>
        <v>0</v>
      </c>
      <c r="P62" s="123">
        <f t="shared" si="24"/>
        <v>-76.962526641185718</v>
      </c>
      <c r="Q62" s="124">
        <f t="shared" si="25"/>
        <v>0.89310760188724203</v>
      </c>
      <c r="R62" s="322"/>
      <c r="S62" s="46">
        <v>0.41319444444444453</v>
      </c>
      <c r="T62" s="119">
        <v>0.46468750000000009</v>
      </c>
      <c r="U62" s="110">
        <v>14.550000000000036</v>
      </c>
      <c r="V62" s="111">
        <v>74.160530257915696</v>
      </c>
      <c r="W62" s="112"/>
      <c r="X62" s="115"/>
      <c r="Y62" s="331"/>
      <c r="Z62" s="332"/>
      <c r="AA62" s="116">
        <f t="shared" si="26"/>
        <v>-384.81263320592871</v>
      </c>
      <c r="AB62" s="109">
        <f t="shared" si="27"/>
        <v>0.89310760188724203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3189.8072295929369</v>
      </c>
      <c r="N72" s="137">
        <f>M72/L72</f>
        <v>769.95346921208818</v>
      </c>
      <c r="O72" s="138">
        <f>L72-I72</f>
        <v>0</v>
      </c>
      <c r="P72" s="139">
        <f>N72-K72</f>
        <v>-88.667220443084148</v>
      </c>
      <c r="Q72" s="140">
        <f>N72/K72</f>
        <v>0.89673295611046422</v>
      </c>
      <c r="R72" s="323"/>
      <c r="S72" s="141">
        <v>0.25</v>
      </c>
      <c r="T72" s="142">
        <v>0.46468750000000009</v>
      </c>
      <c r="U72" s="143"/>
      <c r="V72" s="165"/>
      <c r="W72" s="166"/>
      <c r="X72" s="137"/>
      <c r="Y72" s="353"/>
      <c r="Z72" s="354"/>
      <c r="AA72" s="167">
        <f>M72-J72</f>
        <v>-367.33562754992045</v>
      </c>
      <c r="AB72" s="140">
        <f>M72/J72</f>
        <v>0.89673295611046411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1468</v>
      </c>
      <c r="G73" s="147">
        <f t="shared" ref="G73:G75" si="33">E73*F73</f>
        <v>41940.76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3120.1789996522871</v>
      </c>
      <c r="N73" s="151">
        <f>M73/L73</f>
        <v>260.01491663769059</v>
      </c>
      <c r="O73" s="153">
        <f>L73-I73</f>
        <v>0</v>
      </c>
      <c r="P73" s="154">
        <f>N73-K73</f>
        <v>-39.98508336230941</v>
      </c>
      <c r="Q73" s="155">
        <f>N73/K73</f>
        <v>0.86671638879230195</v>
      </c>
      <c r="R73" s="321">
        <f>Q89</f>
        <v>0.8934612109577823</v>
      </c>
      <c r="S73" s="156">
        <v>0.70833333333333337</v>
      </c>
      <c r="T73" s="157">
        <v>0.72792824074074081</v>
      </c>
      <c r="U73" s="158"/>
      <c r="V73" s="159">
        <v>28.2291496769306</v>
      </c>
      <c r="W73" s="157"/>
      <c r="X73" s="168"/>
      <c r="Y73" s="324"/>
      <c r="Z73" s="325"/>
      <c r="AA73" s="114">
        <f>M73-J73</f>
        <v>-479.82100034771292</v>
      </c>
      <c r="AB73" s="155">
        <f>M73/J73</f>
        <v>0.86671638879230195</v>
      </c>
      <c r="AC73" s="326">
        <f>AB89</f>
        <v>0.8934612109577823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514</v>
      </c>
      <c r="G74" s="102">
        <f t="shared" si="33"/>
        <v>9102.94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3265.7323134124822</v>
      </c>
      <c r="N74" s="105">
        <f>M74/L74</f>
        <v>653.14646268249646</v>
      </c>
      <c r="O74" s="107">
        <f>L74-I74</f>
        <v>0</v>
      </c>
      <c r="P74" s="108">
        <f>N74-K74</f>
        <v>-66.853537317503537</v>
      </c>
      <c r="Q74" s="109">
        <f>N74/K74</f>
        <v>0.90714786483680065</v>
      </c>
      <c r="R74" s="322"/>
      <c r="S74" s="46">
        <v>0.73125000000000007</v>
      </c>
      <c r="T74" s="47">
        <v>0.73780092592592594</v>
      </c>
      <c r="U74" s="110">
        <v>4.783333333333335</v>
      </c>
      <c r="V74" s="111">
        <v>9.4435174228270302</v>
      </c>
      <c r="W74" s="112"/>
      <c r="X74" s="13"/>
      <c r="Y74" s="331"/>
      <c r="Z74" s="332"/>
      <c r="AA74" s="116">
        <f>M74-J74</f>
        <v>-334.2676865875178</v>
      </c>
      <c r="AB74" s="109">
        <f>M74/J74</f>
        <v>0.90714786483680065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1078</v>
      </c>
      <c r="G75" s="102">
        <f t="shared" si="33"/>
        <v>20395.760000000002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3263.4697652792797</v>
      </c>
      <c r="N75" s="105">
        <f>M75/L75</f>
        <v>652.6939530558559</v>
      </c>
      <c r="O75" s="107">
        <f>L75-I75</f>
        <v>0</v>
      </c>
      <c r="P75" s="108">
        <f>N75-K75</f>
        <v>-67.3060469441441</v>
      </c>
      <c r="Q75" s="109">
        <f>N75/K75</f>
        <v>0.90651937924424431</v>
      </c>
      <c r="R75" s="322"/>
      <c r="S75" s="46">
        <v>0.74097222222222225</v>
      </c>
      <c r="T75" s="47">
        <v>0.75473379629629633</v>
      </c>
      <c r="U75" s="110">
        <v>4.5666666666666877</v>
      </c>
      <c r="V75" s="111">
        <v>19.819396118862109</v>
      </c>
      <c r="W75" s="112"/>
      <c r="X75" s="13"/>
      <c r="Y75" s="331"/>
      <c r="Z75" s="332"/>
      <c r="AA75" s="116">
        <f>M75-J75</f>
        <v>-336.53023472072027</v>
      </c>
      <c r="AB75" s="109">
        <f>M75/J75</f>
        <v>0.90651937924424442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3216.4603594480163</v>
      </c>
      <c r="N89" s="137">
        <f t="shared" ref="N89:N94" si="37">M89/L89</f>
        <v>438.60823083382041</v>
      </c>
      <c r="O89" s="138">
        <f t="shared" ref="O89:O94" si="38">L89-I89</f>
        <v>0</v>
      </c>
      <c r="P89" s="139">
        <f t="shared" ref="P89:P94" si="39">N89-K89</f>
        <v>-52.300860075270521</v>
      </c>
      <c r="Q89" s="140">
        <f t="shared" ref="Q89:Q94" si="40">N89/K89</f>
        <v>0.8934612109577823</v>
      </c>
      <c r="R89" s="323"/>
      <c r="S89" s="141">
        <v>0.70833333333333337</v>
      </c>
      <c r="T89" s="142">
        <v>0.75473379629629633</v>
      </c>
      <c r="U89" s="143"/>
      <c r="V89" s="165"/>
      <c r="W89" s="166"/>
      <c r="X89" s="137"/>
      <c r="Y89" s="353"/>
      <c r="Z89" s="354"/>
      <c r="AA89" s="167">
        <f t="shared" ref="AA89:AA94" si="41">M89-J89</f>
        <v>-383.53964055198367</v>
      </c>
      <c r="AB89" s="140">
        <f t="shared" ref="AB89:AB94" si="42">M89/J89</f>
        <v>0.8934612109577823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456</v>
      </c>
      <c r="G90" s="147">
        <f t="shared" ref="G90:G94" si="43">E90*F90</f>
        <v>10611.119999999999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2740.8771411010994</v>
      </c>
      <c r="N90" s="151">
        <f t="shared" si="37"/>
        <v>548.17542822021983</v>
      </c>
      <c r="O90" s="153">
        <f t="shared" si="38"/>
        <v>0</v>
      </c>
      <c r="P90" s="154">
        <f t="shared" si="39"/>
        <v>-51.824571779780172</v>
      </c>
      <c r="Q90" s="155">
        <f t="shared" si="40"/>
        <v>0.91362571370036638</v>
      </c>
      <c r="R90" s="321">
        <f>Q106</f>
        <v>0.91338895248604624</v>
      </c>
      <c r="S90" s="156">
        <v>0.70833333333333337</v>
      </c>
      <c r="T90" s="157">
        <v>0.71525462962962971</v>
      </c>
      <c r="U90" s="158"/>
      <c r="V90" s="159">
        <v>9.9822059112830566</v>
      </c>
      <c r="W90" s="160"/>
      <c r="X90" s="161"/>
      <c r="Y90" s="324"/>
      <c r="Z90" s="325"/>
      <c r="AA90" s="114">
        <f t="shared" si="41"/>
        <v>-259.12285889890063</v>
      </c>
      <c r="AB90" s="155">
        <f t="shared" si="42"/>
        <v>0.91362571370036649</v>
      </c>
      <c r="AC90" s="326">
        <f>AB106</f>
        <v>0.91338895248604624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1305</v>
      </c>
      <c r="G91" s="102">
        <f t="shared" si="43"/>
        <v>32024.699999999997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2740.8099097226473</v>
      </c>
      <c r="N91" s="105">
        <f t="shared" si="37"/>
        <v>685.20247743066182</v>
      </c>
      <c r="O91" s="107">
        <f t="shared" si="38"/>
        <v>0</v>
      </c>
      <c r="P91" s="108">
        <f t="shared" si="39"/>
        <v>-64.797522569338184</v>
      </c>
      <c r="Q91" s="109">
        <f t="shared" si="40"/>
        <v>0.91360330324088246</v>
      </c>
      <c r="R91" s="322"/>
      <c r="S91" s="46">
        <v>0.71805555555555556</v>
      </c>
      <c r="T91" s="47">
        <v>0.73789351851851848</v>
      </c>
      <c r="U91" s="110">
        <v>5</v>
      </c>
      <c r="V91" s="111">
        <v>28.568197933844843</v>
      </c>
      <c r="W91" s="112"/>
      <c r="X91" s="115"/>
      <c r="Y91" s="331"/>
      <c r="Z91" s="332"/>
      <c r="AA91" s="116">
        <f t="shared" si="41"/>
        <v>-259.19009027735274</v>
      </c>
      <c r="AB91" s="109">
        <f t="shared" si="42"/>
        <v>0.91360330324088246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1322</v>
      </c>
      <c r="G92" s="102">
        <f t="shared" si="43"/>
        <v>32164.26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2741.0237563503788</v>
      </c>
      <c r="N92" s="105">
        <f t="shared" si="37"/>
        <v>685.2559390875947</v>
      </c>
      <c r="O92" s="107">
        <f t="shared" si="38"/>
        <v>0</v>
      </c>
      <c r="P92" s="108">
        <f t="shared" si="39"/>
        <v>-64.744060912405303</v>
      </c>
      <c r="Q92" s="109">
        <f t="shared" si="40"/>
        <v>0.91367458545012625</v>
      </c>
      <c r="R92" s="322"/>
      <c r="S92" s="46">
        <v>0.7416666666666667</v>
      </c>
      <c r="T92" s="47">
        <v>0.76175925925925925</v>
      </c>
      <c r="U92" s="110">
        <v>5.4333333333334366</v>
      </c>
      <c r="V92" s="111">
        <v>28.9380928626511</v>
      </c>
      <c r="W92" s="112"/>
      <c r="X92" s="115"/>
      <c r="Y92" s="331"/>
      <c r="Z92" s="332"/>
      <c r="AA92" s="116">
        <f t="shared" si="41"/>
        <v>-258.97624364962121</v>
      </c>
      <c r="AB92" s="109">
        <f t="shared" si="42"/>
        <v>0.91367458545012625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1516</v>
      </c>
      <c r="G93" s="102">
        <f t="shared" si="43"/>
        <v>33776.480000000003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3011.618774390462</v>
      </c>
      <c r="N93" s="105">
        <f t="shared" si="37"/>
        <v>602.32375487809236</v>
      </c>
      <c r="O93" s="107">
        <f t="shared" si="38"/>
        <v>0</v>
      </c>
      <c r="P93" s="108">
        <f t="shared" si="39"/>
        <v>-57.676245121907641</v>
      </c>
      <c r="Q93" s="109">
        <f t="shared" si="40"/>
        <v>0.91261174981529147</v>
      </c>
      <c r="R93" s="322"/>
      <c r="S93" s="46">
        <v>0.76458333333333339</v>
      </c>
      <c r="T93" s="47">
        <v>0.78555555555555556</v>
      </c>
      <c r="U93" s="110">
        <v>5</v>
      </c>
      <c r="V93" s="111">
        <v>30.203025951852052</v>
      </c>
      <c r="W93" s="112"/>
      <c r="X93" s="115"/>
      <c r="Y93" s="331"/>
      <c r="Z93" s="332"/>
      <c r="AA93" s="116">
        <f t="shared" si="41"/>
        <v>-288.38122560953798</v>
      </c>
      <c r="AB93" s="109">
        <f t="shared" si="42"/>
        <v>0.91261174981529147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5260</v>
      </c>
      <c r="G94" s="102">
        <f t="shared" si="43"/>
        <v>94101.400000000009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3014.5380772177346</v>
      </c>
      <c r="N94" s="105">
        <f t="shared" si="37"/>
        <v>753.63451930443364</v>
      </c>
      <c r="O94" s="107">
        <f t="shared" si="38"/>
        <v>0</v>
      </c>
      <c r="P94" s="108">
        <f t="shared" si="39"/>
        <v>-71.365480695566362</v>
      </c>
      <c r="Q94" s="109">
        <f t="shared" si="40"/>
        <v>0.91349638703567715</v>
      </c>
      <c r="R94" s="322"/>
      <c r="S94" s="46">
        <v>0.78888888888888897</v>
      </c>
      <c r="T94" s="47">
        <v>0.8615856481481482</v>
      </c>
      <c r="U94" s="110">
        <v>4.8000000000001108</v>
      </c>
      <c r="V94" s="111">
        <v>104.69265669096565</v>
      </c>
      <c r="W94" s="112"/>
      <c r="X94" s="115"/>
      <c r="Y94" s="331"/>
      <c r="Z94" s="332"/>
      <c r="AA94" s="116">
        <f t="shared" si="41"/>
        <v>-285.46192278226545</v>
      </c>
      <c r="AB94" s="109">
        <f t="shared" si="42"/>
        <v>0.91349638703567715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2849.7735317564643</v>
      </c>
      <c r="N106" s="137">
        <f t="shared" ref="N106:N113" si="48">M106/L106</f>
        <v>647.67580267192363</v>
      </c>
      <c r="O106" s="138">
        <f t="shared" ref="O106:O113" si="49">L106-I106</f>
        <v>0</v>
      </c>
      <c r="P106" s="139">
        <f t="shared" ref="P106:P113" si="50">N106-K106</f>
        <v>-61.415106418985374</v>
      </c>
      <c r="Q106" s="140">
        <f t="shared" ref="Q106:Q113" si="51">N106/K106</f>
        <v>0.91338895248604624</v>
      </c>
      <c r="R106" s="323"/>
      <c r="S106" s="141">
        <v>0.70833333333333337</v>
      </c>
      <c r="T106" s="142">
        <v>0.8615856481481482</v>
      </c>
      <c r="U106" s="143"/>
      <c r="V106" s="165"/>
      <c r="W106" s="98"/>
      <c r="X106" s="68"/>
      <c r="Y106" s="353"/>
      <c r="Z106" s="354"/>
      <c r="AA106" s="167">
        <f t="shared" ref="AA106:AA113" si="52">M106-J106</f>
        <v>-270.22646824353569</v>
      </c>
      <c r="AB106" s="140">
        <f t="shared" ref="AB106:AB113" si="53">M106/J106</f>
        <v>0.91338895248604624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616</v>
      </c>
      <c r="G107" s="147">
        <f t="shared" ref="G107:G113" si="54">E107*F107</f>
        <v>11198.88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2743.0541168696359</v>
      </c>
      <c r="N107" s="151">
        <f t="shared" si="48"/>
        <v>914.35137228987867</v>
      </c>
      <c r="O107" s="153">
        <f t="shared" si="49"/>
        <v>0</v>
      </c>
      <c r="P107" s="154">
        <f t="shared" si="50"/>
        <v>-85.648627710121332</v>
      </c>
      <c r="Q107" s="155">
        <f t="shared" si="51"/>
        <v>0.91435137228987862</v>
      </c>
      <c r="R107" s="321">
        <f>Q123</f>
        <v>0.90497165408625868</v>
      </c>
      <c r="S107" s="156">
        <v>0.73055555555555551</v>
      </c>
      <c r="T107" s="157">
        <v>0.73990740740740735</v>
      </c>
      <c r="U107" s="158"/>
      <c r="V107" s="159">
        <v>13.474032383356192</v>
      </c>
      <c r="W107" s="160"/>
      <c r="X107" s="161"/>
      <c r="Y107" s="324"/>
      <c r="Z107" s="325"/>
      <c r="AA107" s="114">
        <f t="shared" si="52"/>
        <v>-256.94588313036411</v>
      </c>
      <c r="AB107" s="155">
        <f t="shared" si="53"/>
        <v>0.91435137228987862</v>
      </c>
      <c r="AC107" s="326">
        <f>AB123</f>
        <v>0.90497165408625868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1217</v>
      </c>
      <c r="G108" s="102">
        <f t="shared" si="54"/>
        <v>22125.06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3220.1246169944902</v>
      </c>
      <c r="N108" s="105">
        <f t="shared" si="48"/>
        <v>1073.3748723314968</v>
      </c>
      <c r="O108" s="107">
        <f t="shared" si="49"/>
        <v>0</v>
      </c>
      <c r="P108" s="108">
        <f t="shared" si="50"/>
        <v>-126.62512766850318</v>
      </c>
      <c r="Q108" s="109">
        <f t="shared" si="51"/>
        <v>0.89447906027624735</v>
      </c>
      <c r="R108" s="322"/>
      <c r="S108" s="46">
        <v>0.74999999999999989</v>
      </c>
      <c r="T108" s="47">
        <v>0.76574074074074061</v>
      </c>
      <c r="U108" s="110">
        <v>14.53333333333326</v>
      </c>
      <c r="V108" s="111">
        <v>22.676141045793862</v>
      </c>
      <c r="W108" s="112"/>
      <c r="X108" s="115"/>
      <c r="Y108" s="331"/>
      <c r="Z108" s="332"/>
      <c r="AA108" s="116">
        <f t="shared" si="52"/>
        <v>-379.87538300550978</v>
      </c>
      <c r="AB108" s="109">
        <f t="shared" si="53"/>
        <v>0.89447906027624724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2156</v>
      </c>
      <c r="G109" s="102">
        <f t="shared" si="54"/>
        <v>30248.68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2743.6401003867823</v>
      </c>
      <c r="N109" s="105">
        <f t="shared" si="48"/>
        <v>914.54670012892745</v>
      </c>
      <c r="O109" s="107">
        <f t="shared" si="49"/>
        <v>0</v>
      </c>
      <c r="P109" s="108">
        <f t="shared" si="50"/>
        <v>-85.453299871072545</v>
      </c>
      <c r="Q109" s="109">
        <f t="shared" si="51"/>
        <v>0.91454670012892747</v>
      </c>
      <c r="R109" s="322"/>
      <c r="S109" s="46">
        <v>0.77569444444444424</v>
      </c>
      <c r="T109" s="47">
        <v>0.80842592592592577</v>
      </c>
      <c r="U109" s="110">
        <v>15</v>
      </c>
      <c r="V109" s="111">
        <v>47.149041152213655</v>
      </c>
      <c r="W109" s="112"/>
      <c r="X109" s="115"/>
      <c r="Y109" s="331"/>
      <c r="Z109" s="332"/>
      <c r="AA109" s="116">
        <f t="shared" si="52"/>
        <v>-256.35989961321775</v>
      </c>
      <c r="AB109" s="109">
        <f t="shared" si="53"/>
        <v>0.91454670012892747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2614</v>
      </c>
      <c r="G110" s="102">
        <f t="shared" si="54"/>
        <v>37327.919999999998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3219.9203308296869</v>
      </c>
      <c r="N110" s="105">
        <f t="shared" si="48"/>
        <v>1073.3067769432289</v>
      </c>
      <c r="O110" s="107">
        <f t="shared" si="49"/>
        <v>0</v>
      </c>
      <c r="P110" s="108">
        <f t="shared" si="50"/>
        <v>-126.6932230567711</v>
      </c>
      <c r="Q110" s="109">
        <f t="shared" si="51"/>
        <v>0.89442231411935746</v>
      </c>
      <c r="R110" s="322"/>
      <c r="S110" s="46">
        <v>0.81874999999999976</v>
      </c>
      <c r="T110" s="47">
        <v>0.85256944444444416</v>
      </c>
      <c r="U110" s="110">
        <v>14.866666666666539</v>
      </c>
      <c r="V110" s="111">
        <v>48.709279698105618</v>
      </c>
      <c r="W110" s="112"/>
      <c r="X110" s="115"/>
      <c r="Y110" s="331"/>
      <c r="Z110" s="332"/>
      <c r="AA110" s="116">
        <f t="shared" si="52"/>
        <v>-380.07966917031308</v>
      </c>
      <c r="AB110" s="109">
        <f t="shared" si="53"/>
        <v>0.89442231411935746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1371</v>
      </c>
      <c r="G111" s="102">
        <f t="shared" si="54"/>
        <v>24924.78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2743.0541168696363</v>
      </c>
      <c r="N111" s="105">
        <f t="shared" si="48"/>
        <v>914.35137228987878</v>
      </c>
      <c r="O111" s="107">
        <f t="shared" si="49"/>
        <v>0</v>
      </c>
      <c r="P111" s="108">
        <f t="shared" si="50"/>
        <v>-85.648627710121218</v>
      </c>
      <c r="Q111" s="109">
        <f t="shared" si="51"/>
        <v>0.91435137228987873</v>
      </c>
      <c r="R111" s="322"/>
      <c r="S111" s="46">
        <v>0.86249999999999971</v>
      </c>
      <c r="T111" s="47">
        <v>0.88332175925925893</v>
      </c>
      <c r="U111" s="110">
        <v>15</v>
      </c>
      <c r="V111" s="111">
        <v>29.988471424645031</v>
      </c>
      <c r="W111" s="112"/>
      <c r="X111" s="115"/>
      <c r="Y111" s="331"/>
      <c r="Z111" s="332"/>
      <c r="AA111" s="116">
        <f t="shared" si="52"/>
        <v>-256.94588313036365</v>
      </c>
      <c r="AB111" s="109">
        <f t="shared" si="53"/>
        <v>0.91435137228987873</v>
      </c>
      <c r="AC111" s="327"/>
    </row>
    <row r="112" spans="1:29" ht="15.75" customHeight="1">
      <c r="A112" s="317"/>
      <c r="B112" s="99" t="s">
        <v>121</v>
      </c>
      <c r="C112" s="329" t="s">
        <v>153</v>
      </c>
      <c r="D112" s="330"/>
      <c r="E112" s="100">
        <v>14.03</v>
      </c>
      <c r="F112" s="101">
        <v>5545</v>
      </c>
      <c r="G112" s="120">
        <f t="shared" si="54"/>
        <v>77796.349999999991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2743.6401003867823</v>
      </c>
      <c r="N112" s="105">
        <f t="shared" si="48"/>
        <v>914.54670012892745</v>
      </c>
      <c r="O112" s="107">
        <f t="shared" si="49"/>
        <v>0</v>
      </c>
      <c r="P112" s="108">
        <f t="shared" si="50"/>
        <v>-85.453299871072545</v>
      </c>
      <c r="Q112" s="109">
        <f t="shared" si="51"/>
        <v>0.91454670012892747</v>
      </c>
      <c r="R112" s="322"/>
      <c r="S112" s="46">
        <v>0.89305555555555527</v>
      </c>
      <c r="T112" s="119">
        <v>0.97725694444444411</v>
      </c>
      <c r="U112" s="110">
        <v>15</v>
      </c>
      <c r="V112" s="111">
        <v>121.26226029175544</v>
      </c>
      <c r="W112" s="112"/>
      <c r="X112" s="115"/>
      <c r="Y112" s="331"/>
      <c r="Z112" s="332"/>
      <c r="AA112" s="116">
        <f t="shared" si="52"/>
        <v>-256.35989961321775</v>
      </c>
      <c r="AB112" s="109">
        <f t="shared" si="53"/>
        <v>0.91454670012892747</v>
      </c>
      <c r="AC112" s="327"/>
    </row>
    <row r="113" spans="1:29" ht="15.75" customHeight="1">
      <c r="A113" s="317"/>
      <c r="B113" s="99" t="s">
        <v>121</v>
      </c>
      <c r="C113" s="329" t="s">
        <v>154</v>
      </c>
      <c r="D113" s="330"/>
      <c r="E113" s="100">
        <v>14.28</v>
      </c>
      <c r="F113" s="101">
        <v>7132</v>
      </c>
      <c r="G113" s="120">
        <f t="shared" si="54"/>
        <v>101844.95999999999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3219.9203308296869</v>
      </c>
      <c r="N113" s="105">
        <f t="shared" si="48"/>
        <v>1073.3067769432289</v>
      </c>
      <c r="O113" s="122">
        <f t="shared" si="49"/>
        <v>0</v>
      </c>
      <c r="P113" s="123">
        <f t="shared" si="50"/>
        <v>-126.6932230567711</v>
      </c>
      <c r="Q113" s="124">
        <f t="shared" si="51"/>
        <v>0.89442231411935746</v>
      </c>
      <c r="R113" s="322"/>
      <c r="S113" s="46">
        <v>0.98749999999999971</v>
      </c>
      <c r="T113" s="119">
        <v>1.0797800925925922</v>
      </c>
      <c r="U113" s="110">
        <v>14.750000000000068</v>
      </c>
      <c r="V113" s="111">
        <v>132.89769808985818</v>
      </c>
      <c r="W113" s="112"/>
      <c r="X113" s="115"/>
      <c r="Y113" s="331"/>
      <c r="Z113" s="332"/>
      <c r="AA113" s="116">
        <f t="shared" si="52"/>
        <v>-380.07966917031308</v>
      </c>
      <c r="AB113" s="109">
        <f t="shared" si="53"/>
        <v>0.89442231411935746</v>
      </c>
      <c r="AC113" s="327"/>
    </row>
    <row r="114" spans="1:29" ht="15.75" customHeight="1">
      <c r="A114" s="317"/>
      <c r="B114" s="99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46"/>
      <c r="T114" s="119"/>
      <c r="U114" s="110"/>
      <c r="V114" s="111"/>
      <c r="W114" s="112"/>
      <c r="X114" s="115"/>
      <c r="Y114" s="331"/>
      <c r="Z114" s="332"/>
      <c r="AA114" s="116"/>
      <c r="AB114" s="109"/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2947.6219590238143</v>
      </c>
      <c r="N123" s="137">
        <f t="shared" ref="N123:N135" si="59">M123/L123</f>
        <v>982.54065300793809</v>
      </c>
      <c r="O123" s="138">
        <f t="shared" ref="O123:O135" si="60">L123-I123</f>
        <v>0</v>
      </c>
      <c r="P123" s="139">
        <f t="shared" ref="P123:P135" si="61">N123-K123</f>
        <v>-103.17363270634769</v>
      </c>
      <c r="Q123" s="140">
        <f t="shared" ref="Q123:Q135" si="62">N123/K123</f>
        <v>0.90497165408625868</v>
      </c>
      <c r="R123" s="323"/>
      <c r="S123" s="141">
        <v>0.73055555555555551</v>
      </c>
      <c r="T123" s="142">
        <v>1.0797800925925922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-309.52089811904307</v>
      </c>
      <c r="AB123" s="140">
        <f t="shared" ref="AB123:AB135" si="64">M123/J123</f>
        <v>0.90497165408625868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475</v>
      </c>
      <c r="G124" s="147">
        <f t="shared" ref="G124:G135" si="65">E124*F124</f>
        <v>11889.25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3217.788743699959</v>
      </c>
      <c r="N124" s="151">
        <f t="shared" si="59"/>
        <v>643.55774873999178</v>
      </c>
      <c r="O124" s="153">
        <f t="shared" si="60"/>
        <v>0</v>
      </c>
      <c r="P124" s="154">
        <f t="shared" si="61"/>
        <v>-76.44225126000822</v>
      </c>
      <c r="Q124" s="155">
        <f t="shared" si="62"/>
        <v>0.89383020658332191</v>
      </c>
      <c r="R124" s="321">
        <f>Q140</f>
        <v>0.89389153215624795</v>
      </c>
      <c r="S124" s="156">
        <v>0.74097222222222225</v>
      </c>
      <c r="T124" s="157">
        <v>0.74711805555555555</v>
      </c>
      <c r="U124" s="158"/>
      <c r="V124" s="159">
        <v>8.8570140149192671</v>
      </c>
      <c r="W124" s="157"/>
      <c r="X124" s="168"/>
      <c r="Y124" s="324"/>
      <c r="Z124" s="325"/>
      <c r="AA124" s="170">
        <f t="shared" si="63"/>
        <v>-382.21125630004099</v>
      </c>
      <c r="AB124" s="155">
        <f t="shared" si="64"/>
        <v>0.89383020658332191</v>
      </c>
      <c r="AC124" s="326">
        <f>AB140</f>
        <v>0.89389153215624795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398</v>
      </c>
      <c r="G125" s="102">
        <f t="shared" si="65"/>
        <v>6646.5999999999995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3220.1638854278308</v>
      </c>
      <c r="N125" s="105">
        <f t="shared" si="59"/>
        <v>1073.3879618092769</v>
      </c>
      <c r="O125" s="107">
        <f t="shared" si="60"/>
        <v>0</v>
      </c>
      <c r="P125" s="108">
        <f t="shared" si="61"/>
        <v>-126.61203819072307</v>
      </c>
      <c r="Q125" s="109">
        <f t="shared" si="62"/>
        <v>0.89448996817439741</v>
      </c>
      <c r="R125" s="322"/>
      <c r="S125" s="46">
        <v>0.75694444444444442</v>
      </c>
      <c r="T125" s="47">
        <v>0.76208333333333333</v>
      </c>
      <c r="U125" s="110">
        <v>15</v>
      </c>
      <c r="V125" s="111">
        <v>7.4157716345009277</v>
      </c>
      <c r="W125" s="112"/>
      <c r="X125" s="13"/>
      <c r="Y125" s="331"/>
      <c r="Z125" s="332"/>
      <c r="AA125" s="171">
        <f t="shared" si="63"/>
        <v>-379.83611457216921</v>
      </c>
      <c r="AB125" s="109">
        <f t="shared" si="64"/>
        <v>0.89448996817439741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679</v>
      </c>
      <c r="G126" s="102">
        <f t="shared" si="65"/>
        <v>20370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3215.2800309830332</v>
      </c>
      <c r="N126" s="105">
        <f t="shared" si="59"/>
        <v>803.82000774575829</v>
      </c>
      <c r="O126" s="107">
        <f t="shared" si="60"/>
        <v>0</v>
      </c>
      <c r="P126" s="108">
        <f t="shared" si="61"/>
        <v>-96.179992254241711</v>
      </c>
      <c r="Q126" s="109">
        <f t="shared" si="62"/>
        <v>0.89313334193973148</v>
      </c>
      <c r="R126" s="322"/>
      <c r="S126" s="46">
        <v>0.77222222222222214</v>
      </c>
      <c r="T126" s="47">
        <v>0.78101851851851845</v>
      </c>
      <c r="U126" s="110">
        <v>14.599999999999884</v>
      </c>
      <c r="V126" s="111">
        <v>12.670747060107308</v>
      </c>
      <c r="W126" s="112"/>
      <c r="X126" s="13"/>
      <c r="Y126" s="331"/>
      <c r="Z126" s="332"/>
      <c r="AA126" s="171">
        <f t="shared" si="63"/>
        <v>-384.71996901696684</v>
      </c>
      <c r="AB126" s="109">
        <f t="shared" si="64"/>
        <v>0.89313334193973148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685</v>
      </c>
      <c r="G127" s="102">
        <f t="shared" si="65"/>
        <v>17001.7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3218.7931506730574</v>
      </c>
      <c r="N127" s="105">
        <f t="shared" si="59"/>
        <v>643.75863013461151</v>
      </c>
      <c r="O127" s="107">
        <f t="shared" si="60"/>
        <v>0</v>
      </c>
      <c r="P127" s="108">
        <f t="shared" si="61"/>
        <v>-76.241369865388492</v>
      </c>
      <c r="Q127" s="109">
        <f t="shared" si="62"/>
        <v>0.89410920852029374</v>
      </c>
      <c r="R127" s="322"/>
      <c r="S127" s="46">
        <v>0.79097222222222208</v>
      </c>
      <c r="T127" s="47">
        <v>0.79983796296296283</v>
      </c>
      <c r="U127" s="110">
        <v>15</v>
      </c>
      <c r="V127" s="111">
        <v>12.768760860388277</v>
      </c>
      <c r="W127" s="112"/>
      <c r="X127" s="13"/>
      <c r="Y127" s="331"/>
      <c r="Z127" s="332"/>
      <c r="AA127" s="171">
        <f t="shared" si="63"/>
        <v>-381.20684932694257</v>
      </c>
      <c r="AB127" s="109">
        <f t="shared" si="64"/>
        <v>0.89410920852029374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962</v>
      </c>
      <c r="G128" s="102">
        <f t="shared" si="65"/>
        <v>17489.16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3216.8034114390853</v>
      </c>
      <c r="N128" s="105">
        <f t="shared" si="59"/>
        <v>1072.2678038130284</v>
      </c>
      <c r="O128" s="107">
        <f t="shared" si="60"/>
        <v>0</v>
      </c>
      <c r="P128" s="108">
        <f t="shared" si="61"/>
        <v>-127.73219618697158</v>
      </c>
      <c r="Q128" s="109">
        <f t="shared" si="62"/>
        <v>0.89355650317752366</v>
      </c>
      <c r="R128" s="322"/>
      <c r="S128" s="46">
        <v>0.80972222222222201</v>
      </c>
      <c r="T128" s="47">
        <v>0.8221759259259257</v>
      </c>
      <c r="U128" s="110">
        <v>15</v>
      </c>
      <c r="V128" s="111">
        <v>17.943278658168946</v>
      </c>
      <c r="W128" s="112"/>
      <c r="X128" s="115"/>
      <c r="Y128" s="331"/>
      <c r="Z128" s="332"/>
      <c r="AA128" s="171">
        <f t="shared" si="63"/>
        <v>-383.19658856091473</v>
      </c>
      <c r="AB128" s="109">
        <f t="shared" si="64"/>
        <v>0.89355650317752366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2222</v>
      </c>
      <c r="G129" s="120">
        <f t="shared" si="65"/>
        <v>37018.519999999997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3219.2278723519898</v>
      </c>
      <c r="N129" s="105">
        <f t="shared" si="59"/>
        <v>643.84557447039799</v>
      </c>
      <c r="O129" s="107">
        <f t="shared" si="60"/>
        <v>0</v>
      </c>
      <c r="P129" s="108">
        <f t="shared" si="61"/>
        <v>-76.154425529602008</v>
      </c>
      <c r="Q129" s="109">
        <f t="shared" si="62"/>
        <v>0.89422996454221948</v>
      </c>
      <c r="R129" s="322"/>
      <c r="S129" s="46">
        <v>0.83194444444444415</v>
      </c>
      <c r="T129" s="119">
        <v>0.86069444444444421</v>
      </c>
      <c r="U129" s="110">
        <v>15</v>
      </c>
      <c r="V129" s="111">
        <v>41.413657338458464</v>
      </c>
      <c r="W129" s="112"/>
      <c r="X129" s="49"/>
      <c r="Y129" s="331"/>
      <c r="Z129" s="332"/>
      <c r="AA129" s="171">
        <f t="shared" si="63"/>
        <v>-380.77212764801016</v>
      </c>
      <c r="AB129" s="109">
        <f t="shared" si="64"/>
        <v>0.89422996454221937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984</v>
      </c>
      <c r="G130" s="120">
        <f t="shared" si="65"/>
        <v>24629.52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3217.7887436999586</v>
      </c>
      <c r="N130" s="105">
        <f t="shared" si="59"/>
        <v>643.55774873999167</v>
      </c>
      <c r="O130" s="122">
        <f t="shared" si="60"/>
        <v>0</v>
      </c>
      <c r="P130" s="123">
        <f t="shared" si="61"/>
        <v>-76.442251260008334</v>
      </c>
      <c r="Q130" s="124">
        <f t="shared" si="62"/>
        <v>0.8938302065833218</v>
      </c>
      <c r="R130" s="322"/>
      <c r="S130" s="46">
        <v>0.87083333333333302</v>
      </c>
      <c r="T130" s="119">
        <v>0.88356481481481453</v>
      </c>
      <c r="U130" s="110">
        <v>14.599999999999884</v>
      </c>
      <c r="V130" s="111">
        <v>18.348003769853811</v>
      </c>
      <c r="W130" s="112"/>
      <c r="X130" s="115"/>
      <c r="Y130" s="331"/>
      <c r="Z130" s="332"/>
      <c r="AA130" s="171">
        <f t="shared" si="63"/>
        <v>-382.21125630004144</v>
      </c>
      <c r="AB130" s="109">
        <f t="shared" si="64"/>
        <v>0.8938302065833218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941</v>
      </c>
      <c r="G131" s="120">
        <f t="shared" si="65"/>
        <v>15714.699999999999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3220.1638854278303</v>
      </c>
      <c r="N131" s="105">
        <f t="shared" si="59"/>
        <v>1073.3879618092767</v>
      </c>
      <c r="O131" s="122">
        <f t="shared" si="60"/>
        <v>0</v>
      </c>
      <c r="P131" s="123">
        <f t="shared" si="61"/>
        <v>-126.6120381907233</v>
      </c>
      <c r="Q131" s="124">
        <f t="shared" si="62"/>
        <v>0.8944899681743973</v>
      </c>
      <c r="R131" s="322"/>
      <c r="S131" s="46">
        <v>0.8937499999999996</v>
      </c>
      <c r="T131" s="119">
        <v>0.90591435185185143</v>
      </c>
      <c r="U131" s="110">
        <v>14.666666666666508</v>
      </c>
      <c r="V131" s="111">
        <v>17.533269115742144</v>
      </c>
      <c r="W131" s="112"/>
      <c r="X131" s="115"/>
      <c r="Y131" s="331"/>
      <c r="Z131" s="332"/>
      <c r="AA131" s="171">
        <f t="shared" si="63"/>
        <v>-379.83611457216966</v>
      </c>
      <c r="AB131" s="109">
        <f t="shared" si="64"/>
        <v>0.8944899681743973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1615</v>
      </c>
      <c r="G132" s="120">
        <f t="shared" si="65"/>
        <v>48450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3215.2800309830336</v>
      </c>
      <c r="N132" s="105">
        <f t="shared" si="59"/>
        <v>803.8200077457584</v>
      </c>
      <c r="O132" s="122">
        <f t="shared" si="60"/>
        <v>0</v>
      </c>
      <c r="P132" s="123">
        <f t="shared" si="61"/>
        <v>-96.179992254241597</v>
      </c>
      <c r="Q132" s="124">
        <f t="shared" si="62"/>
        <v>0.8931333419397316</v>
      </c>
      <c r="R132" s="322"/>
      <c r="S132" s="46">
        <v>0.91597222222222174</v>
      </c>
      <c r="T132" s="119">
        <v>0.93689814814814765</v>
      </c>
      <c r="U132" s="110">
        <v>15</v>
      </c>
      <c r="V132" s="111">
        <v>30.137343891124154</v>
      </c>
      <c r="W132" s="125"/>
      <c r="X132" s="126"/>
      <c r="Y132" s="331"/>
      <c r="Z132" s="332"/>
      <c r="AA132" s="171">
        <f t="shared" si="63"/>
        <v>-384.71996901696639</v>
      </c>
      <c r="AB132" s="109">
        <f t="shared" si="64"/>
        <v>0.8931333419397316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1539</v>
      </c>
      <c r="G133" s="120">
        <f t="shared" si="65"/>
        <v>38197.980000000003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3218.7931506730574</v>
      </c>
      <c r="N133" s="105">
        <f t="shared" si="59"/>
        <v>643.75863013461151</v>
      </c>
      <c r="O133" s="122">
        <f t="shared" si="60"/>
        <v>0</v>
      </c>
      <c r="P133" s="123">
        <f t="shared" si="61"/>
        <v>-76.241369865388492</v>
      </c>
      <c r="Q133" s="124">
        <f t="shared" si="62"/>
        <v>0.89410920852029374</v>
      </c>
      <c r="R133" s="322"/>
      <c r="S133" s="46">
        <v>0.94722222222222174</v>
      </c>
      <c r="T133" s="119">
        <v>0.96714120370370327</v>
      </c>
      <c r="U133" s="110">
        <v>14.866666666666699</v>
      </c>
      <c r="V133" s="111">
        <v>28.687770750565779</v>
      </c>
      <c r="W133" s="125"/>
      <c r="X133" s="126"/>
      <c r="Y133" s="331"/>
      <c r="Z133" s="332"/>
      <c r="AA133" s="171">
        <f t="shared" si="63"/>
        <v>-381.20684932694257</v>
      </c>
      <c r="AB133" s="109">
        <f t="shared" si="64"/>
        <v>0.89410920852029374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2509</v>
      </c>
      <c r="G134" s="120">
        <f t="shared" si="65"/>
        <v>45613.62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3216.8034114390848</v>
      </c>
      <c r="N134" s="105">
        <f t="shared" si="59"/>
        <v>1072.2678038130282</v>
      </c>
      <c r="O134" s="122">
        <f t="shared" si="60"/>
        <v>0</v>
      </c>
      <c r="P134" s="123">
        <f t="shared" si="61"/>
        <v>-127.73219618697181</v>
      </c>
      <c r="Q134" s="124">
        <f t="shared" si="62"/>
        <v>0.89355650317752344</v>
      </c>
      <c r="R134" s="322"/>
      <c r="S134" s="46">
        <v>0.97708333333333286</v>
      </c>
      <c r="T134" s="119">
        <v>1.0095717592592588</v>
      </c>
      <c r="U134" s="110">
        <v>15</v>
      </c>
      <c r="V134" s="111">
        <v>46.798010554413608</v>
      </c>
      <c r="W134" s="125"/>
      <c r="X134" s="126"/>
      <c r="Y134" s="331"/>
      <c r="Z134" s="332"/>
      <c r="AA134" s="171">
        <f t="shared" si="63"/>
        <v>-383.19658856091519</v>
      </c>
      <c r="AB134" s="109">
        <f t="shared" si="64"/>
        <v>0.89355650317752355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5778</v>
      </c>
      <c r="G135" s="120">
        <f t="shared" si="65"/>
        <v>96261.48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3219.2278723519903</v>
      </c>
      <c r="N135" s="105">
        <f t="shared" si="59"/>
        <v>643.84557447039811</v>
      </c>
      <c r="O135" s="122">
        <f t="shared" si="60"/>
        <v>0</v>
      </c>
      <c r="P135" s="123">
        <f t="shared" si="61"/>
        <v>-76.154425529601895</v>
      </c>
      <c r="Q135" s="124">
        <f t="shared" si="62"/>
        <v>0.89422996454221959</v>
      </c>
      <c r="R135" s="322"/>
      <c r="S135" s="46">
        <v>1.0194444444444442</v>
      </c>
      <c r="T135" s="119">
        <v>1.0942245370370367</v>
      </c>
      <c r="U135" s="110">
        <v>15</v>
      </c>
      <c r="V135" s="111">
        <v>107.6904194876746</v>
      </c>
      <c r="W135" s="125"/>
      <c r="X135" s="126"/>
      <c r="Y135" s="331"/>
      <c r="Z135" s="332"/>
      <c r="AA135" s="171">
        <f t="shared" si="63"/>
        <v>-380.7721276480097</v>
      </c>
      <c r="AB135" s="109">
        <f t="shared" si="64"/>
        <v>0.89422996454221948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3218.0095157624928</v>
      </c>
      <c r="N140" s="137">
        <f>M140/L140</f>
        <v>772.32228378299817</v>
      </c>
      <c r="O140" s="138">
        <f>L140-I140</f>
        <v>0</v>
      </c>
      <c r="P140" s="139">
        <f>N140-K140</f>
        <v>-91.677716217001716</v>
      </c>
      <c r="Q140" s="140">
        <f>N140/K140</f>
        <v>0.89389153215624795</v>
      </c>
      <c r="R140" s="323"/>
      <c r="S140" s="141">
        <v>0.74097222222222225</v>
      </c>
      <c r="T140" s="142">
        <v>1.0942245370370367</v>
      </c>
      <c r="U140" s="143"/>
      <c r="V140" s="165"/>
      <c r="W140" s="166"/>
      <c r="X140" s="137"/>
      <c r="Y140" s="353"/>
      <c r="Z140" s="354"/>
      <c r="AA140" s="173">
        <f>M140-J140</f>
        <v>-381.99048423750719</v>
      </c>
      <c r="AB140" s="140">
        <f>M140/J140</f>
        <v>0.89389153215624795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83" priority="1" operator="greaterThan">
      <formula>0</formula>
    </cfRule>
  </conditionalFormatting>
  <conditionalFormatting sqref="P5:P140 AA5:AA140">
    <cfRule type="cellIs" dxfId="182" priority="4" operator="lessThan">
      <formula>0</formula>
    </cfRule>
  </conditionalFormatting>
  <conditionalFormatting sqref="Q5:Q140 AB5:AB140">
    <cfRule type="cellIs" dxfId="181" priority="2" operator="greaterThan">
      <formula>1</formula>
    </cfRule>
    <cfRule type="cellIs" dxfId="180" priority="3" operator="lessThan">
      <formula>0.8</formula>
    </cfRule>
  </conditionalFormatting>
  <conditionalFormatting sqref="AC5:AC6 R5:R140 AC73:AC78">
    <cfRule type="cellIs" dxfId="179" priority="5" operator="lessThan">
      <formula>0.8</formula>
    </cfRule>
  </conditionalFormatting>
  <conditionalFormatting sqref="AC12:AC20">
    <cfRule type="cellIs" dxfId="178" priority="12" operator="lessThan">
      <formula>0.8</formula>
    </cfRule>
  </conditionalFormatting>
  <conditionalFormatting sqref="AC22">
    <cfRule type="cellIs" dxfId="177" priority="11" operator="lessThan">
      <formula>0.8</formula>
    </cfRule>
  </conditionalFormatting>
  <conditionalFormatting sqref="AC39">
    <cfRule type="cellIs" dxfId="176" priority="7" operator="lessThan">
      <formula>0.8</formula>
    </cfRule>
  </conditionalFormatting>
  <conditionalFormatting sqref="AC56:AC61">
    <cfRule type="cellIs" dxfId="175" priority="6" operator="lessThan">
      <formula>0.8</formula>
    </cfRule>
  </conditionalFormatting>
  <conditionalFormatting sqref="AC90">
    <cfRule type="cellIs" dxfId="174" priority="10" operator="lessThan">
      <formula>0.8</formula>
    </cfRule>
  </conditionalFormatting>
  <conditionalFormatting sqref="AC107">
    <cfRule type="cellIs" dxfId="173" priority="9" operator="lessThan">
      <formula>0.8</formula>
    </cfRule>
  </conditionalFormatting>
  <conditionalFormatting sqref="AC124:AC129">
    <cfRule type="cellIs" dxfId="172" priority="8" operator="lessThan">
      <formula>0.8</formula>
    </cfRule>
  </conditionalFormatting>
  <dataValidations count="1">
    <dataValidation type="list" allowBlank="1" showInputMessage="1" showErrorMessage="1" sqref="Y5:Z140" xr:uid="{868994A5-4AD4-4AB5-876B-00585A6129A8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5C93-31D2-4F9C-B0AC-EDD95C7237DC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P41" sqref="P41"/>
      <selection activeCell="P41" sqref="P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79420</v>
      </c>
      <c r="E1" s="87" t="s">
        <v>4</v>
      </c>
      <c r="F1" s="88">
        <f>SUM(G5:G140)</f>
        <v>3460559.6100000003</v>
      </c>
      <c r="G1" s="89" t="s">
        <v>85</v>
      </c>
      <c r="H1" s="90">
        <f>L21+L38+L55+L72+L89+L106+L123+L140</f>
        <v>135.94444444444446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46242</v>
      </c>
      <c r="B2" s="294"/>
      <c r="C2" s="91" t="s">
        <v>41</v>
      </c>
      <c r="D2" s="92">
        <f>AVERAGE(N21,N38,N55,N72,N89,N106,N123,N140)</f>
        <v>201.8486663971446</v>
      </c>
      <c r="E2" s="92" t="s">
        <v>92</v>
      </c>
      <c r="F2" s="93">
        <f>F1/D1</f>
        <v>43.572898640141027</v>
      </c>
      <c r="G2" s="94" t="s">
        <v>93</v>
      </c>
      <c r="H2" s="95">
        <f>COUNT(H5:H140)</f>
        <v>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3540</v>
      </c>
      <c r="G5" s="147">
        <f t="shared" ref="G5:G8" si="0">E5*F5</f>
        <v>69738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1082.6072881768489</v>
      </c>
      <c r="N5" s="151">
        <f>M5/L5</f>
        <v>83.27748370591145</v>
      </c>
      <c r="O5" s="153">
        <f>L5-I5</f>
        <v>0</v>
      </c>
      <c r="P5" s="154">
        <f>N5-K5</f>
        <v>-9.0302086017808563</v>
      </c>
      <c r="Q5" s="155">
        <f>N5/K5</f>
        <v>0.90217274014737403</v>
      </c>
      <c r="R5" s="321">
        <f>Q21</f>
        <v>0.90179084504261375</v>
      </c>
      <c r="S5" s="156">
        <v>0.20833333333333334</v>
      </c>
      <c r="T5" s="157">
        <v>0.34457175925925926</v>
      </c>
      <c r="U5" s="158"/>
      <c r="V5" s="159">
        <v>196.19302615049776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-117.3927118231511</v>
      </c>
      <c r="AF5" s="131">
        <f>M5/J5</f>
        <v>0.90217274014737403</v>
      </c>
      <c r="AG5" s="367">
        <f>AF21</f>
        <v>0.90179084504261375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3767</v>
      </c>
      <c r="G6" s="102">
        <f t="shared" si="0"/>
        <v>212571.81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1803.9548219448357</v>
      </c>
      <c r="N6" s="105">
        <f>M6/L6</f>
        <v>75.16478424770149</v>
      </c>
      <c r="O6" s="107">
        <f>L6-I6</f>
        <v>0</v>
      </c>
      <c r="P6" s="108">
        <f>N6-K6</f>
        <v>-8.1685490856318381</v>
      </c>
      <c r="Q6" s="109">
        <f>N6/K6</f>
        <v>0.9019774109724179</v>
      </c>
      <c r="R6" s="322"/>
      <c r="S6" s="46">
        <v>0.34791666666666665</v>
      </c>
      <c r="T6" s="47">
        <v>0.43491898148148145</v>
      </c>
      <c r="U6" s="110">
        <v>4.8166666666666469</v>
      </c>
      <c r="V6" s="111">
        <v>125.29138604276621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-196.04517805516434</v>
      </c>
      <c r="AF6" s="109">
        <f>M6/J6</f>
        <v>0.90197741097241779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498</v>
      </c>
      <c r="G7" s="102">
        <f t="shared" si="0"/>
        <v>38520.299999999996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1803.0216040393495</v>
      </c>
      <c r="N7" s="105">
        <f>M7/L7</f>
        <v>72.120864161573977</v>
      </c>
      <c r="O7" s="107">
        <f>L7-I7</f>
        <v>0</v>
      </c>
      <c r="P7" s="108">
        <f>N7-K7</f>
        <v>-7.8791358384260235</v>
      </c>
      <c r="Q7" s="109">
        <f>N7/K7</f>
        <v>0.90151080201967471</v>
      </c>
      <c r="R7" s="322"/>
      <c r="S7" s="46">
        <v>0.43888888888888888</v>
      </c>
      <c r="T7" s="47">
        <v>0.4503935185185185</v>
      </c>
      <c r="U7" s="110">
        <v>5.7166666666667076</v>
      </c>
      <c r="V7" s="111">
        <v>16.572180795315578</v>
      </c>
      <c r="W7" s="112">
        <v>0.4503935185185185</v>
      </c>
      <c r="X7" s="115">
        <v>0.48888888888888887</v>
      </c>
      <c r="Y7" s="12"/>
      <c r="Z7" s="197"/>
      <c r="AA7" s="331"/>
      <c r="AB7" s="332"/>
      <c r="AC7" s="12"/>
      <c r="AD7" s="197"/>
      <c r="AE7" s="116">
        <f>M7-J7</f>
        <v>-196.97839596065046</v>
      </c>
      <c r="AF7" s="109">
        <f>M7/J7</f>
        <v>0.90151080201967482</v>
      </c>
      <c r="AG7" s="368"/>
    </row>
    <row r="8" spans="1:33" ht="15.75" customHeight="1">
      <c r="A8" s="317"/>
      <c r="B8" s="99" t="s">
        <v>188</v>
      </c>
      <c r="C8" s="370" t="s">
        <v>190</v>
      </c>
      <c r="D8" s="370"/>
      <c r="E8" s="100">
        <v>59.52</v>
      </c>
      <c r="F8" s="101">
        <v>3844</v>
      </c>
      <c r="G8" s="102">
        <f t="shared" si="0"/>
        <v>228794.88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1803.3103701457844</v>
      </c>
      <c r="N8" s="105">
        <f>M8/L8</f>
        <v>75.137932089407684</v>
      </c>
      <c r="O8" s="107">
        <f>L8-I8</f>
        <v>0</v>
      </c>
      <c r="P8" s="108">
        <f>N8-K8</f>
        <v>-8.1954012439256445</v>
      </c>
      <c r="Q8" s="109">
        <f>N8/K8</f>
        <v>0.90165518507289222</v>
      </c>
      <c r="R8" s="322"/>
      <c r="S8" s="46">
        <v>0.48888888888888887</v>
      </c>
      <c r="T8" s="47">
        <v>0.57769675925925923</v>
      </c>
      <c r="U8" s="110">
        <v>55.433333333333337</v>
      </c>
      <c r="V8" s="111">
        <v>127.89811660726735</v>
      </c>
      <c r="W8" s="112"/>
      <c r="X8" s="115"/>
      <c r="Y8" s="12"/>
      <c r="Z8" s="197"/>
      <c r="AA8" s="331"/>
      <c r="AB8" s="332"/>
      <c r="AC8" s="12"/>
      <c r="AD8" s="197"/>
      <c r="AE8" s="116">
        <f>M8-J8</f>
        <v>-196.68962985421558</v>
      </c>
      <c r="AF8" s="109">
        <f>M8/J8</f>
        <v>0.90165518507289222</v>
      </c>
      <c r="AG8" s="368"/>
    </row>
    <row r="9" spans="1:33" ht="15.75" customHeight="1">
      <c r="A9" s="317"/>
      <c r="B9" s="99"/>
      <c r="C9" s="370"/>
      <c r="D9" s="370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22"/>
      <c r="S9" s="46"/>
      <c r="T9" s="47"/>
      <c r="U9" s="110"/>
      <c r="V9" s="111"/>
      <c r="W9" s="112"/>
      <c r="X9" s="115"/>
      <c r="Y9" s="12"/>
      <c r="Z9" s="197"/>
      <c r="AA9" s="331"/>
      <c r="AB9" s="332"/>
      <c r="AC9" s="12"/>
      <c r="AD9" s="197"/>
      <c r="AE9" s="116"/>
      <c r="AF9" s="109"/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1623.2235210767049</v>
      </c>
      <c r="N21" s="137">
        <f t="shared" ref="N21:N28" si="5">M21/L21</f>
        <v>75.498768422172319</v>
      </c>
      <c r="O21" s="138">
        <f t="shared" ref="O21:O28" si="6">L21-I21</f>
        <v>0</v>
      </c>
      <c r="P21" s="139">
        <f t="shared" ref="P21:P28" si="7">N21-K21</f>
        <v>-8.2221618103858276</v>
      </c>
      <c r="Q21" s="140">
        <f t="shared" ref="Q21:Q28" si="8">N21/K21</f>
        <v>0.90179084504261375</v>
      </c>
      <c r="R21" s="323"/>
      <c r="S21" s="141">
        <v>0.20833333333333334</v>
      </c>
      <c r="T21" s="142">
        <v>0.57769675925925923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8" si="9">M21-J21</f>
        <v>-176.77647892329514</v>
      </c>
      <c r="AF21" s="140">
        <f t="shared" ref="AF21:AF28" si="10">M21/J21</f>
        <v>0.90179084504261375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1868</v>
      </c>
      <c r="G22" s="147">
        <f t="shared" ref="G22:G28" si="11">E22*F22</f>
        <v>68088.600000000006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1892.858342237497</v>
      </c>
      <c r="N22" s="151">
        <f t="shared" si="5"/>
        <v>94.642917111874851</v>
      </c>
      <c r="O22" s="153">
        <f t="shared" si="6"/>
        <v>0</v>
      </c>
      <c r="P22" s="154">
        <f t="shared" si="7"/>
        <v>-10.357082888125149</v>
      </c>
      <c r="Q22" s="155">
        <f t="shared" si="8"/>
        <v>0.90136111535118901</v>
      </c>
      <c r="R22" s="321">
        <f>Q38</f>
        <v>0.90273480222606006</v>
      </c>
      <c r="S22" s="156">
        <v>0.20833333333333334</v>
      </c>
      <c r="T22" s="157">
        <v>0.24944444444444447</v>
      </c>
      <c r="U22" s="158"/>
      <c r="V22" s="159">
        <v>59.212037952884124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-207.14165776250297</v>
      </c>
      <c r="AF22" s="155">
        <f t="shared" si="10"/>
        <v>0.90136111535118901</v>
      </c>
      <c r="AG22" s="375">
        <f>AF38</f>
        <v>0.90995668064386859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1158</v>
      </c>
      <c r="G23" s="102">
        <f t="shared" si="11"/>
        <v>36731.760000000002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1804.2275142827243</v>
      </c>
      <c r="N23" s="105">
        <f t="shared" si="5"/>
        <v>82.010341558305655</v>
      </c>
      <c r="O23" s="107">
        <f t="shared" si="6"/>
        <v>0</v>
      </c>
      <c r="P23" s="108">
        <f t="shared" si="7"/>
        <v>-8.898749350785252</v>
      </c>
      <c r="Q23" s="109">
        <f t="shared" si="8"/>
        <v>0.90211375714136222</v>
      </c>
      <c r="R23" s="322"/>
      <c r="S23" s="46">
        <v>0.25277777777777777</v>
      </c>
      <c r="T23" s="47">
        <v>0.2795138888888889</v>
      </c>
      <c r="U23" s="110">
        <v>4.799999999999951</v>
      </c>
      <c r="V23" s="111">
        <v>38.509555723975296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-195.77248571727569</v>
      </c>
      <c r="AF23" s="109">
        <f t="shared" si="10"/>
        <v>0.9021137571413621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1129</v>
      </c>
      <c r="G24" s="102">
        <f t="shared" si="11"/>
        <v>39277.909999999996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1808.1279954925199</v>
      </c>
      <c r="N24" s="105">
        <f t="shared" si="5"/>
        <v>164.37527231750181</v>
      </c>
      <c r="O24" s="107">
        <f t="shared" si="6"/>
        <v>0</v>
      </c>
      <c r="P24" s="108">
        <f t="shared" si="7"/>
        <v>-17.442909500680003</v>
      </c>
      <c r="Q24" s="109">
        <f t="shared" si="8"/>
        <v>0.90406399774626001</v>
      </c>
      <c r="R24" s="322"/>
      <c r="S24" s="46">
        <v>0.28333333333333333</v>
      </c>
      <c r="T24" s="47">
        <v>0.30934027777777778</v>
      </c>
      <c r="U24" s="110">
        <v>5.4999999999999805</v>
      </c>
      <c r="V24" s="111">
        <v>37.464161922645388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-191.87200450748014</v>
      </c>
      <c r="AF24" s="109">
        <f t="shared" si="10"/>
        <v>0.9040639977462599</v>
      </c>
      <c r="AG24" s="368"/>
    </row>
    <row r="25" spans="1:33" ht="15.75" customHeight="1">
      <c r="A25" s="356"/>
      <c r="B25" s="162" t="s">
        <v>184</v>
      </c>
      <c r="C25" s="329" t="s">
        <v>235</v>
      </c>
      <c r="D25" s="330"/>
      <c r="E25" s="100">
        <v>33.200000000000003</v>
      </c>
      <c r="F25" s="110">
        <v>2323</v>
      </c>
      <c r="G25" s="102">
        <f t="shared" si="11"/>
        <v>77123.600000000006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1808.199331203715</v>
      </c>
      <c r="N25" s="105">
        <f t="shared" si="5"/>
        <v>164.38175738215591</v>
      </c>
      <c r="O25" s="107">
        <f t="shared" si="6"/>
        <v>0</v>
      </c>
      <c r="P25" s="108">
        <f t="shared" si="7"/>
        <v>-17.436424436025902</v>
      </c>
      <c r="Q25" s="109">
        <f t="shared" si="8"/>
        <v>0.90409966560185751</v>
      </c>
      <c r="R25" s="322"/>
      <c r="S25" s="46">
        <v>0.3125</v>
      </c>
      <c r="T25" s="47">
        <v>0.36601851851851852</v>
      </c>
      <c r="U25" s="110">
        <v>4.5499999999999918</v>
      </c>
      <c r="V25" s="111">
        <v>77.082209684932792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-191.80066879628498</v>
      </c>
      <c r="AF25" s="109">
        <f t="shared" si="10"/>
        <v>0.90409966560185751</v>
      </c>
      <c r="AG25" s="368"/>
    </row>
    <row r="26" spans="1:33" ht="15.75" customHeight="1">
      <c r="A26" s="357"/>
      <c r="B26" s="162" t="s">
        <v>184</v>
      </c>
      <c r="C26" s="329" t="s">
        <v>196</v>
      </c>
      <c r="D26" s="330"/>
      <c r="E26" s="100">
        <v>51.44</v>
      </c>
      <c r="F26" s="110">
        <v>1129</v>
      </c>
      <c r="G26" s="102">
        <f t="shared" si="11"/>
        <v>58075.759999999995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1804.7709154418083</v>
      </c>
      <c r="N26" s="105">
        <f t="shared" si="5"/>
        <v>94.987942917989912</v>
      </c>
      <c r="O26" s="107">
        <f t="shared" si="6"/>
        <v>0</v>
      </c>
      <c r="P26" s="108">
        <f t="shared" si="7"/>
        <v>-10.275214976746923</v>
      </c>
      <c r="Q26" s="109">
        <f t="shared" si="8"/>
        <v>0.90238545772090417</v>
      </c>
      <c r="R26" s="322"/>
      <c r="S26" s="46">
        <v>0.37013888888888885</v>
      </c>
      <c r="T26" s="47">
        <v>0.39620370370370367</v>
      </c>
      <c r="U26" s="110">
        <v>5.933333333333275</v>
      </c>
      <c r="V26" s="111">
        <v>37.533849543124553</v>
      </c>
      <c r="W26" s="112"/>
      <c r="X26" s="115"/>
      <c r="Y26" s="12"/>
      <c r="Z26" s="197"/>
      <c r="AA26" s="331"/>
      <c r="AB26" s="332"/>
      <c r="AC26" s="12"/>
      <c r="AD26" s="197"/>
      <c r="AE26" s="116">
        <f t="shared" si="9"/>
        <v>-195.22908455819174</v>
      </c>
      <c r="AF26" s="109">
        <f t="shared" si="10"/>
        <v>0.90238545772090417</v>
      </c>
      <c r="AG26" s="368"/>
    </row>
    <row r="27" spans="1:33" ht="15.75" customHeight="1">
      <c r="A27" s="357"/>
      <c r="B27" s="162" t="s">
        <v>186</v>
      </c>
      <c r="C27" s="329" t="s">
        <v>197</v>
      </c>
      <c r="D27" s="330"/>
      <c r="E27" s="100">
        <v>43.28</v>
      </c>
      <c r="F27" s="110">
        <v>1804</v>
      </c>
      <c r="G27" s="120">
        <f t="shared" si="11"/>
        <v>78077.119999999995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1622.4449246155491</v>
      </c>
      <c r="N27" s="105">
        <f t="shared" si="5"/>
        <v>77.259282124549955</v>
      </c>
      <c r="O27" s="107">
        <f t="shared" si="6"/>
        <v>0</v>
      </c>
      <c r="P27" s="108">
        <f t="shared" si="7"/>
        <v>-8.4550035897357532</v>
      </c>
      <c r="Q27" s="109">
        <f t="shared" si="8"/>
        <v>0.90135829145308288</v>
      </c>
      <c r="R27" s="322"/>
      <c r="S27" s="46">
        <v>0.39930555555555552</v>
      </c>
      <c r="T27" s="119">
        <v>0.44562499999999999</v>
      </c>
      <c r="U27" s="110">
        <v>5</v>
      </c>
      <c r="V27" s="111">
        <v>66.714129002343981</v>
      </c>
      <c r="W27" s="112">
        <v>0.44562499999999999</v>
      </c>
      <c r="X27" s="115">
        <v>0.48402777777777772</v>
      </c>
      <c r="Y27" s="12"/>
      <c r="Z27" s="197"/>
      <c r="AA27" s="331"/>
      <c r="AB27" s="332"/>
      <c r="AC27" s="12"/>
      <c r="AD27" s="197"/>
      <c r="AE27" s="116">
        <f t="shared" si="9"/>
        <v>-177.5550753844509</v>
      </c>
      <c r="AF27" s="109">
        <f t="shared" si="10"/>
        <v>0.90135829145308288</v>
      </c>
      <c r="AG27" s="368"/>
    </row>
    <row r="28" spans="1:33" ht="15.75" customHeight="1">
      <c r="A28" s="357"/>
      <c r="B28" s="162" t="s">
        <v>198</v>
      </c>
      <c r="C28" s="329" t="s">
        <v>199</v>
      </c>
      <c r="D28" s="330"/>
      <c r="E28" s="100">
        <v>29.97</v>
      </c>
      <c r="F28" s="110">
        <v>1590</v>
      </c>
      <c r="G28" s="120">
        <f t="shared" si="11"/>
        <v>47652.299999999996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0.48402777777777772</v>
      </c>
      <c r="T28" s="119">
        <v>0.50924768518518515</v>
      </c>
      <c r="U28" s="110">
        <v>55.299999999999933</v>
      </c>
      <c r="V28" s="111">
        <v>36.320240143500385</v>
      </c>
      <c r="W28" s="112"/>
      <c r="X28" s="115"/>
      <c r="Y28" s="12"/>
      <c r="Z28" s="197"/>
      <c r="AA28" s="331"/>
      <c r="AB28" s="332"/>
      <c r="AC28" s="12"/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1909.6090912369184</v>
      </c>
      <c r="N38" s="137">
        <f t="shared" ref="N38:N44" si="16">M38/L38</f>
        <v>106.08939395760657</v>
      </c>
      <c r="O38" s="138">
        <f t="shared" ref="O38:O44" si="17">L38-I38</f>
        <v>0.14285714285714235</v>
      </c>
      <c r="P38" s="139">
        <f t="shared" ref="P38:P44" si="18">N38-K38</f>
        <v>-11.430606042393421</v>
      </c>
      <c r="Q38" s="140">
        <f t="shared" ref="Q38:Q44" si="19">N38/K38</f>
        <v>0.90273480222606006</v>
      </c>
      <c r="R38" s="323"/>
      <c r="S38" s="141">
        <v>0.20833333333333334</v>
      </c>
      <c r="T38" s="142">
        <v>0.50924768518518515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4" si="20">M38-J38</f>
        <v>-188.96233733451004</v>
      </c>
      <c r="AF38" s="140">
        <f t="shared" ref="AF38:AF44" si="21">M38/J38</f>
        <v>0.90995668064386859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2204</v>
      </c>
      <c r="G39" s="147">
        <f t="shared" ref="G39:G44" si="22">E39*F39</f>
        <v>118487.03999999999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1801.9482139012246</v>
      </c>
      <c r="N39" s="151">
        <f t="shared" si="16"/>
        <v>90.097410695061228</v>
      </c>
      <c r="O39" s="153">
        <f t="shared" si="17"/>
        <v>0</v>
      </c>
      <c r="P39" s="154">
        <f t="shared" si="18"/>
        <v>-9.9025893049387719</v>
      </c>
      <c r="Q39" s="155">
        <f t="shared" si="19"/>
        <v>0.90097410695061231</v>
      </c>
      <c r="R39" s="321">
        <f>Q55</f>
        <v>0.90121246211962613</v>
      </c>
      <c r="S39" s="156">
        <v>0.20833333333333334</v>
      </c>
      <c r="T39" s="157">
        <v>0.25929398148148147</v>
      </c>
      <c r="U39" s="158"/>
      <c r="V39" s="159">
        <v>73.387236647439451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-198.05178609877544</v>
      </c>
      <c r="AF39" s="155">
        <f t="shared" si="21"/>
        <v>0.90097410695061231</v>
      </c>
      <c r="AG39" s="326">
        <f>AF55</f>
        <v>0.90121246211962613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2123</v>
      </c>
      <c r="G40" s="102">
        <f t="shared" si="22"/>
        <v>151900.65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1802.213806724345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22"/>
      <c r="S40" s="46">
        <v>0.26319444444444445</v>
      </c>
      <c r="T40" s="47">
        <v>0.31226851851851856</v>
      </c>
      <c r="U40" s="110">
        <v>5.616666666666692</v>
      </c>
      <c r="V40" s="111">
        <v>70.679738177970364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-197.78619327565502</v>
      </c>
      <c r="AF40" s="109">
        <f t="shared" si="21"/>
        <v>0.90110690336217247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1539</v>
      </c>
      <c r="G41" s="102">
        <f t="shared" si="22"/>
        <v>98372.88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1803.7665741879887</v>
      </c>
      <c r="N41" s="105">
        <f t="shared" si="16"/>
        <v>75.15694059116619</v>
      </c>
      <c r="O41" s="107">
        <f t="shared" si="17"/>
        <v>0</v>
      </c>
      <c r="P41" s="108">
        <f t="shared" si="18"/>
        <v>-8.1763927421671383</v>
      </c>
      <c r="Q41" s="109">
        <f t="shared" si="19"/>
        <v>0.90188328709399435</v>
      </c>
      <c r="R41" s="322"/>
      <c r="S41" s="46">
        <v>0.31527777777777777</v>
      </c>
      <c r="T41" s="47">
        <v>0.35082175925925924</v>
      </c>
      <c r="U41" s="110">
        <v>5</v>
      </c>
      <c r="V41" s="111">
        <v>51.192876795363162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-196.23342581201132</v>
      </c>
      <c r="AF41" s="109">
        <f t="shared" si="21"/>
        <v>0.90188328709399435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2662</v>
      </c>
      <c r="G42" s="102">
        <f t="shared" si="22"/>
        <v>156179.54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1802.0615804078905</v>
      </c>
      <c r="N42" s="105">
        <f t="shared" si="16"/>
        <v>78.350503495995241</v>
      </c>
      <c r="O42" s="107">
        <f t="shared" si="17"/>
        <v>0</v>
      </c>
      <c r="P42" s="108">
        <f t="shared" si="18"/>
        <v>-8.6060182431351961</v>
      </c>
      <c r="Q42" s="109">
        <f t="shared" si="19"/>
        <v>0.90103079020394528</v>
      </c>
      <c r="R42" s="322"/>
      <c r="S42" s="46">
        <v>0.35416666666666663</v>
      </c>
      <c r="T42" s="47">
        <v>0.41570601851851846</v>
      </c>
      <c r="U42" s="110">
        <v>4.8166666666666469</v>
      </c>
      <c r="V42" s="111">
        <v>88.63182131869651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-197.93841959210954</v>
      </c>
      <c r="AF42" s="109">
        <f t="shared" si="21"/>
        <v>0.90103079020394528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2088</v>
      </c>
      <c r="G43" s="102">
        <f t="shared" si="22"/>
        <v>124319.52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1802.3796769384905</v>
      </c>
      <c r="N43" s="105">
        <f t="shared" si="16"/>
        <v>78.36433377993437</v>
      </c>
      <c r="O43" s="107">
        <f t="shared" si="17"/>
        <v>0</v>
      </c>
      <c r="P43" s="108">
        <f t="shared" si="18"/>
        <v>-8.5921879591960675</v>
      </c>
      <c r="Q43" s="109">
        <f t="shared" si="19"/>
        <v>0.90118983846924527</v>
      </c>
      <c r="R43" s="322"/>
      <c r="S43" s="46">
        <v>0.41874999999999996</v>
      </c>
      <c r="T43" s="47">
        <v>0.46701388888888884</v>
      </c>
      <c r="U43" s="110">
        <v>5</v>
      </c>
      <c r="V43" s="111">
        <v>69.508107311107565</v>
      </c>
      <c r="W43" s="112">
        <v>0.46701388888888884</v>
      </c>
      <c r="X43" s="115">
        <v>0.50624999999999987</v>
      </c>
      <c r="Y43" s="12"/>
      <c r="Z43" s="197"/>
      <c r="AA43" s="331"/>
      <c r="AB43" s="332"/>
      <c r="AC43" s="12"/>
      <c r="AD43" s="197"/>
      <c r="AE43" s="116">
        <f t="shared" si="20"/>
        <v>-197.62032306150945</v>
      </c>
      <c r="AF43" s="109">
        <f t="shared" si="21"/>
        <v>0.90118983846924527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2303</v>
      </c>
      <c r="G44" s="120">
        <f t="shared" si="22"/>
        <v>140690.27000000002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1802.1796932755731</v>
      </c>
      <c r="N44" s="105">
        <f t="shared" si="16"/>
        <v>90.108984663778656</v>
      </c>
      <c r="O44" s="107">
        <f t="shared" si="17"/>
        <v>0</v>
      </c>
      <c r="P44" s="108">
        <f t="shared" si="18"/>
        <v>-9.8910153362213435</v>
      </c>
      <c r="Q44" s="109">
        <f t="shared" si="19"/>
        <v>0.90108984663778657</v>
      </c>
      <c r="R44" s="322"/>
      <c r="S44" s="46">
        <v>0.50624999999999987</v>
      </c>
      <c r="T44" s="119">
        <v>0.55949074074074057</v>
      </c>
      <c r="U44" s="110">
        <v>56.499999999999879</v>
      </c>
      <c r="V44" s="111">
        <v>76.673819217688163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-197.82030672442693</v>
      </c>
      <c r="AF44" s="109">
        <f t="shared" si="21"/>
        <v>0.90108984663778657</v>
      </c>
      <c r="AG44" s="327"/>
    </row>
    <row r="45" spans="1:33" ht="15.75" customHeight="1">
      <c r="A45" s="317"/>
      <c r="B45" s="162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118"/>
      <c r="T45" s="119"/>
      <c r="U45" s="110"/>
      <c r="V45" s="111"/>
      <c r="W45" s="119"/>
      <c r="X45" s="188"/>
      <c r="Y45" s="12"/>
      <c r="Z45" s="197"/>
      <c r="AA45" s="331"/>
      <c r="AB45" s="332"/>
      <c r="AC45" s="12"/>
      <c r="AD45" s="197"/>
      <c r="AE45" s="116"/>
      <c r="AF45" s="109"/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1802.4249242392523</v>
      </c>
      <c r="N55" s="137">
        <f t="shared" ref="N55:N64" si="27">M55/L55</f>
        <v>81.928405647238733</v>
      </c>
      <c r="O55" s="138">
        <f t="shared" ref="O55:O64" si="28">L55-I55</f>
        <v>0</v>
      </c>
      <c r="P55" s="139">
        <f t="shared" ref="P55:P64" si="29">N55-K55</f>
        <v>-8.9806852618521731</v>
      </c>
      <c r="Q55" s="140">
        <f t="shared" ref="Q55:Q64" si="30">N55/K55</f>
        <v>0.90121246211962613</v>
      </c>
      <c r="R55" s="323"/>
      <c r="S55" s="141">
        <v>0.20833333333333334</v>
      </c>
      <c r="T55" s="142">
        <v>0.55949074074074057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4" si="31">M55-J55</f>
        <v>-197.57507576074772</v>
      </c>
      <c r="AF55" s="140">
        <f t="shared" ref="AF55:AF64" si="32">M55/J55</f>
        <v>0.90121246211962613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2100</v>
      </c>
      <c r="G56" s="147">
        <f t="shared" ref="G56:G64" si="33">E56*F56</f>
        <v>60606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4" si="34">F56/V56*60</f>
        <v>3194.8687377304618</v>
      </c>
      <c r="N56" s="151">
        <f t="shared" si="27"/>
        <v>168.15098619634009</v>
      </c>
      <c r="O56" s="153">
        <f t="shared" si="28"/>
        <v>0</v>
      </c>
      <c r="P56" s="154">
        <f t="shared" si="29"/>
        <v>-21.322698014186244</v>
      </c>
      <c r="Q56" s="155">
        <f t="shared" si="30"/>
        <v>0.88746353825846147</v>
      </c>
      <c r="R56" s="321">
        <f>Q72</f>
        <v>0.90058953282726795</v>
      </c>
      <c r="S56" s="156">
        <v>0.20833333333333334</v>
      </c>
      <c r="T56" s="157">
        <v>0.23571759259259262</v>
      </c>
      <c r="U56" s="158"/>
      <c r="V56" s="159">
        <v>39.438239985254164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-405.13126226953818</v>
      </c>
      <c r="AF56" s="155">
        <f t="shared" si="32"/>
        <v>0.88746353825846158</v>
      </c>
      <c r="AG56" s="326">
        <f>AF72</f>
        <v>0.90058953282726795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2673</v>
      </c>
      <c r="G57" s="102">
        <f t="shared" si="33"/>
        <v>95933.97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3191.9109823780732</v>
      </c>
      <c r="N57" s="105">
        <f t="shared" si="27"/>
        <v>167.99531486200385</v>
      </c>
      <c r="O57" s="107">
        <f t="shared" si="28"/>
        <v>0</v>
      </c>
      <c r="P57" s="108">
        <f t="shared" si="29"/>
        <v>-21.478369348522477</v>
      </c>
      <c r="Q57" s="109">
        <f t="shared" si="30"/>
        <v>0.88664193954946469</v>
      </c>
      <c r="R57" s="322"/>
      <c r="S57" s="46">
        <v>0.23958333333333334</v>
      </c>
      <c r="T57" s="47">
        <v>0.27446759259259262</v>
      </c>
      <c r="U57" s="110">
        <v>5.5666666666666442</v>
      </c>
      <c r="V57" s="111">
        <v>50.245762142311342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-408.08901762192681</v>
      </c>
      <c r="AF57" s="109">
        <f t="shared" si="32"/>
        <v>0.8866419395494648</v>
      </c>
      <c r="AG57" s="327"/>
    </row>
    <row r="58" spans="1:33" ht="15.75" customHeight="1">
      <c r="A58" s="356"/>
      <c r="B58" s="99" t="s">
        <v>208</v>
      </c>
      <c r="C58" s="370" t="s">
        <v>211</v>
      </c>
      <c r="D58" s="370"/>
      <c r="E58" s="100">
        <v>36.729999999999997</v>
      </c>
      <c r="F58" s="101">
        <v>2934</v>
      </c>
      <c r="G58" s="102">
        <f t="shared" si="33"/>
        <v>107765.81999999999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3194.0904638008224</v>
      </c>
      <c r="N58" s="105">
        <f t="shared" si="27"/>
        <v>152.09954589527726</v>
      </c>
      <c r="O58" s="107">
        <f t="shared" si="28"/>
        <v>0</v>
      </c>
      <c r="P58" s="108">
        <f t="shared" si="29"/>
        <v>-19.329025533294157</v>
      </c>
      <c r="Q58" s="109">
        <f t="shared" si="30"/>
        <v>0.88724735105578412</v>
      </c>
      <c r="R58" s="322"/>
      <c r="S58" s="46">
        <v>0.27847222222222223</v>
      </c>
      <c r="T58" s="47">
        <v>0.31673611111111111</v>
      </c>
      <c r="U58" s="110">
        <v>5.7666666666666355</v>
      </c>
      <c r="V58" s="111">
        <v>55.11428119995086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-405.90953619917764</v>
      </c>
      <c r="AF58" s="109">
        <f t="shared" si="32"/>
        <v>0.88724735105578401</v>
      </c>
      <c r="AG58" s="327"/>
    </row>
    <row r="59" spans="1:33" ht="15.75" customHeight="1">
      <c r="A59" s="356"/>
      <c r="B59" s="99" t="s">
        <v>208</v>
      </c>
      <c r="C59" s="370" t="s">
        <v>212</v>
      </c>
      <c r="D59" s="370"/>
      <c r="E59" s="100">
        <v>43.96</v>
      </c>
      <c r="F59" s="101">
        <v>1349</v>
      </c>
      <c r="G59" s="102">
        <f t="shared" si="33"/>
        <v>59302.04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3269.0683112263391</v>
      </c>
      <c r="N59" s="105">
        <f t="shared" si="27"/>
        <v>136.21117963443081</v>
      </c>
      <c r="O59" s="107">
        <f t="shared" si="28"/>
        <v>0</v>
      </c>
      <c r="P59" s="108">
        <f t="shared" si="29"/>
        <v>-13.788820365569194</v>
      </c>
      <c r="Q59" s="109">
        <f t="shared" si="30"/>
        <v>0.90807453089620538</v>
      </c>
      <c r="R59" s="322"/>
      <c r="S59" s="46">
        <v>0.3208333333333333</v>
      </c>
      <c r="T59" s="47">
        <v>0.33802083333333333</v>
      </c>
      <c r="U59" s="110">
        <v>5.8999999999999631</v>
      </c>
      <c r="V59" s="111">
        <v>24.759348014247106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-330.93168877366088</v>
      </c>
      <c r="AF59" s="199">
        <f t="shared" si="32"/>
        <v>0.90807453089620527</v>
      </c>
      <c r="AG59" s="327"/>
    </row>
    <row r="60" spans="1:33" ht="15.75" customHeight="1">
      <c r="A60" s="357"/>
      <c r="B60" s="99" t="s">
        <v>208</v>
      </c>
      <c r="C60" s="370" t="s">
        <v>213</v>
      </c>
      <c r="D60" s="370"/>
      <c r="E60" s="100">
        <v>46.93</v>
      </c>
      <c r="F60" s="104">
        <v>957</v>
      </c>
      <c r="G60" s="102">
        <f t="shared" si="33"/>
        <v>44912.01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3267.7442866123492</v>
      </c>
      <c r="N60" s="105">
        <f t="shared" si="27"/>
        <v>136.15601194218121</v>
      </c>
      <c r="O60" s="107">
        <f t="shared" si="28"/>
        <v>0</v>
      </c>
      <c r="P60" s="108">
        <f t="shared" si="29"/>
        <v>-13.843988057818791</v>
      </c>
      <c r="Q60" s="109">
        <f t="shared" si="30"/>
        <v>0.90770674628120807</v>
      </c>
      <c r="R60" s="322"/>
      <c r="S60" s="46">
        <v>0.34166666666666662</v>
      </c>
      <c r="T60" s="47">
        <v>0.35386574074074068</v>
      </c>
      <c r="U60" s="110">
        <v>5.2499999999999414</v>
      </c>
      <c r="V60" s="111">
        <v>17.571754385814248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-332.25571338765076</v>
      </c>
      <c r="AF60" s="199">
        <f t="shared" si="32"/>
        <v>0.90770674628120818</v>
      </c>
      <c r="AG60" s="327"/>
    </row>
    <row r="61" spans="1:33" ht="15.75" customHeight="1">
      <c r="A61" s="357"/>
      <c r="B61" s="99" t="s">
        <v>208</v>
      </c>
      <c r="C61" s="370" t="s">
        <v>214</v>
      </c>
      <c r="D61" s="370"/>
      <c r="E61" s="100">
        <v>36.729999999999997</v>
      </c>
      <c r="F61" s="104">
        <v>3409</v>
      </c>
      <c r="G61" s="120">
        <f t="shared" si="33"/>
        <v>125212.56999999999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3261.1767104351834</v>
      </c>
      <c r="N61" s="105">
        <f t="shared" si="27"/>
        <v>163.05883552175916</v>
      </c>
      <c r="O61" s="107">
        <f t="shared" si="28"/>
        <v>0</v>
      </c>
      <c r="P61" s="108">
        <f t="shared" si="29"/>
        <v>-16.941164478240836</v>
      </c>
      <c r="Q61" s="109">
        <f t="shared" si="30"/>
        <v>0.90588241956532867</v>
      </c>
      <c r="R61" s="322"/>
      <c r="S61" s="46">
        <v>0.3569444444444444</v>
      </c>
      <c r="T61" s="119">
        <v>0.40049768518518514</v>
      </c>
      <c r="U61" s="110">
        <v>5</v>
      </c>
      <c r="V61" s="111">
        <v>62.719692356905568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-338.8232895648166</v>
      </c>
      <c r="AF61" s="199">
        <f t="shared" si="32"/>
        <v>0.90588241956532867</v>
      </c>
      <c r="AG61" s="327"/>
    </row>
    <row r="62" spans="1:33" ht="15.75" customHeight="1">
      <c r="A62" s="357"/>
      <c r="B62" s="99" t="s">
        <v>208</v>
      </c>
      <c r="C62" s="370" t="s">
        <v>233</v>
      </c>
      <c r="D62" s="370"/>
      <c r="E62" s="100">
        <v>48.4</v>
      </c>
      <c r="F62" s="104">
        <v>2319</v>
      </c>
      <c r="G62" s="120">
        <f t="shared" si="33"/>
        <v>112239.59999999999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3263.7052091536043</v>
      </c>
      <c r="N62" s="105">
        <f t="shared" si="27"/>
        <v>148.35023677970929</v>
      </c>
      <c r="O62" s="122">
        <f t="shared" si="28"/>
        <v>0</v>
      </c>
      <c r="P62" s="123">
        <f t="shared" si="29"/>
        <v>-15.286126856654334</v>
      </c>
      <c r="Q62" s="124">
        <f t="shared" si="30"/>
        <v>0.90658478032044576</v>
      </c>
      <c r="R62" s="322"/>
      <c r="S62" s="46">
        <v>0.40416666666666662</v>
      </c>
      <c r="T62" s="119">
        <v>0.43376157407407401</v>
      </c>
      <c r="U62" s="110">
        <v>5.2833333333333332</v>
      </c>
      <c r="V62" s="111">
        <v>42.632526862339994</v>
      </c>
      <c r="W62" s="112">
        <v>0.43376157407407401</v>
      </c>
      <c r="X62" s="115">
        <v>0.4729166666666666</v>
      </c>
      <c r="Y62" s="12"/>
      <c r="Z62" s="197"/>
      <c r="AA62" s="331"/>
      <c r="AB62" s="332"/>
      <c r="AC62" s="12"/>
      <c r="AD62" s="197"/>
      <c r="AE62" s="198">
        <f t="shared" si="31"/>
        <v>-336.2947908463957</v>
      </c>
      <c r="AF62" s="199">
        <f t="shared" si="32"/>
        <v>0.90658478032044565</v>
      </c>
      <c r="AG62" s="327"/>
    </row>
    <row r="63" spans="1:33" ht="15.75" customHeight="1">
      <c r="A63" s="357"/>
      <c r="B63" s="99" t="s">
        <v>208</v>
      </c>
      <c r="C63" s="370" t="s">
        <v>216</v>
      </c>
      <c r="D63" s="370"/>
      <c r="E63" s="100">
        <v>38.479999999999997</v>
      </c>
      <c r="F63" s="104">
        <v>5366</v>
      </c>
      <c r="G63" s="120">
        <f t="shared" si="33"/>
        <v>206483.68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3267.9641222106407</v>
      </c>
      <c r="N63" s="105">
        <f t="shared" si="27"/>
        <v>163.39820611053204</v>
      </c>
      <c r="O63" s="122">
        <f t="shared" si="28"/>
        <v>0</v>
      </c>
      <c r="P63" s="123">
        <f t="shared" si="29"/>
        <v>-16.601793889467956</v>
      </c>
      <c r="Q63" s="124">
        <f t="shared" si="30"/>
        <v>0.90776781172517806</v>
      </c>
      <c r="R63" s="322"/>
      <c r="S63" s="46">
        <v>0.4729166666666666</v>
      </c>
      <c r="T63" s="119">
        <v>0.5413310185185185</v>
      </c>
      <c r="U63" s="110">
        <v>56.383333333333326</v>
      </c>
      <c r="V63" s="111">
        <v>98.520053452180363</v>
      </c>
      <c r="W63" s="112"/>
      <c r="X63" s="115"/>
      <c r="Y63" s="12"/>
      <c r="Z63" s="197"/>
      <c r="AA63" s="331"/>
      <c r="AB63" s="332"/>
      <c r="AC63" s="12"/>
      <c r="AD63" s="197"/>
      <c r="AE63" s="198">
        <f t="shared" si="31"/>
        <v>-332.03587778935935</v>
      </c>
      <c r="AF63" s="199">
        <f t="shared" si="32"/>
        <v>0.90776781172517795</v>
      </c>
      <c r="AG63" s="327"/>
    </row>
    <row r="64" spans="1:33" ht="15.75" customHeight="1">
      <c r="A64" s="357"/>
      <c r="B64" s="99" t="s">
        <v>208</v>
      </c>
      <c r="C64" s="370" t="s">
        <v>215</v>
      </c>
      <c r="D64" s="370"/>
      <c r="E64" s="100">
        <v>37.799999999999997</v>
      </c>
      <c r="F64" s="104">
        <v>6677</v>
      </c>
      <c r="G64" s="120">
        <f t="shared" si="33"/>
        <v>252390.59999999998</v>
      </c>
      <c r="H64" s="61"/>
      <c r="I64" s="103">
        <v>21</v>
      </c>
      <c r="J64" s="104">
        <v>3600</v>
      </c>
      <c r="K64" s="105">
        <f t="shared" si="35"/>
        <v>171.42857142857142</v>
      </c>
      <c r="L64" s="106">
        <v>21</v>
      </c>
      <c r="M64" s="104">
        <f t="shared" si="34"/>
        <v>3268.572040056004</v>
      </c>
      <c r="N64" s="105">
        <f t="shared" si="27"/>
        <v>155.64628762171446</v>
      </c>
      <c r="O64" s="122">
        <f t="shared" si="28"/>
        <v>0</v>
      </c>
      <c r="P64" s="123">
        <f t="shared" si="29"/>
        <v>-15.782283806856952</v>
      </c>
      <c r="Q64" s="124">
        <f t="shared" si="30"/>
        <v>0.90793667779333442</v>
      </c>
      <c r="R64" s="322"/>
      <c r="S64" s="46">
        <v>0.5444444444444444</v>
      </c>
      <c r="T64" s="119">
        <v>0.62956018518518508</v>
      </c>
      <c r="U64" s="110">
        <v>5</v>
      </c>
      <c r="V64" s="111">
        <v>122.56728476241133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-331.42795994399603</v>
      </c>
      <c r="AF64" s="199">
        <f t="shared" si="32"/>
        <v>0.90793667779333442</v>
      </c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21.111111111111111</v>
      </c>
      <c r="J72" s="136">
        <f t="shared" si="36"/>
        <v>3600</v>
      </c>
      <c r="K72" s="137">
        <f t="shared" ref="K72:K75" si="37">J72/I72</f>
        <v>170.5263157894737</v>
      </c>
      <c r="L72" s="135">
        <f t="shared" ref="L72:M72" si="38">AVERAGE(L56:L71)</f>
        <v>21.111111111111111</v>
      </c>
      <c r="M72" s="136">
        <f t="shared" si="38"/>
        <v>3242.1223181781647</v>
      </c>
      <c r="N72" s="137">
        <f>M72/L72</f>
        <v>153.57421507159728</v>
      </c>
      <c r="O72" s="138">
        <f>L72-I72</f>
        <v>0</v>
      </c>
      <c r="P72" s="139">
        <f>N72-K72</f>
        <v>-16.952100717876419</v>
      </c>
      <c r="Q72" s="140">
        <f>N72/K72</f>
        <v>0.90058953282726795</v>
      </c>
      <c r="R72" s="323"/>
      <c r="S72" s="141">
        <v>0.20833333333333334</v>
      </c>
      <c r="T72" s="142">
        <v>0.62956018518518508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-357.87768182183527</v>
      </c>
      <c r="AF72" s="140">
        <f>M72/J72</f>
        <v>0.90058953282726795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1647</v>
      </c>
      <c r="G73" s="120">
        <f t="shared" ref="G73:G75" si="39">E73*F73</f>
        <v>38786.85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2256.3293326791177</v>
      </c>
      <c r="N73" s="105">
        <f>M73/L73</f>
        <v>376.05488877985294</v>
      </c>
      <c r="O73" s="107">
        <f>L73-I73</f>
        <v>0</v>
      </c>
      <c r="P73" s="108">
        <f>N73-K73</f>
        <v>-40.611777886813741</v>
      </c>
      <c r="Q73" s="109">
        <f>N73/K73</f>
        <v>0.90253173307164702</v>
      </c>
      <c r="R73" s="321">
        <f>Q89</f>
        <v>0.85090775612948133</v>
      </c>
      <c r="S73" s="46">
        <v>0.33749999999999991</v>
      </c>
      <c r="T73" s="119">
        <v>0.36790509259259252</v>
      </c>
      <c r="U73" s="110">
        <v>5</v>
      </c>
      <c r="V73" s="111">
        <v>43.796797997862853</v>
      </c>
      <c r="W73" s="112"/>
      <c r="X73" s="161"/>
      <c r="Y73" s="12"/>
      <c r="Z73" s="197"/>
      <c r="AA73" s="324"/>
      <c r="AB73" s="325"/>
      <c r="AC73" s="12"/>
      <c r="AD73" s="197"/>
      <c r="AE73" s="114">
        <f>M73-J73</f>
        <v>-243.67066732088233</v>
      </c>
      <c r="AF73" s="155">
        <f>M73/J73</f>
        <v>0.90253173307164702</v>
      </c>
      <c r="AG73" s="326">
        <f>AF89</f>
        <v>0.90408949088757407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490</v>
      </c>
      <c r="G74" s="120">
        <f t="shared" si="39"/>
        <v>13254.5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2962.6237775921863</v>
      </c>
      <c r="N74" s="105">
        <f>M74/L74</f>
        <v>493.77062959869772</v>
      </c>
      <c r="O74" s="122">
        <f>L74-I74</f>
        <v>1</v>
      </c>
      <c r="P74" s="123">
        <f>N74-K74</f>
        <v>-160.8293704013023</v>
      </c>
      <c r="Q74" s="124">
        <f>N74/K74</f>
        <v>0.75430893614222072</v>
      </c>
      <c r="R74" s="322"/>
      <c r="S74" s="46">
        <v>0.37083333333333324</v>
      </c>
      <c r="T74" s="119">
        <v>0.3777199074074073</v>
      </c>
      <c r="U74" s="110">
        <v>5</v>
      </c>
      <c r="V74" s="111">
        <v>9.9236360088537001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-310.37622240781366</v>
      </c>
      <c r="AF74" s="109">
        <f>M74/J74</f>
        <v>0.90517072337066495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666</v>
      </c>
      <c r="G75" s="120">
        <f t="shared" si="39"/>
        <v>18015.3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2959.4404242976912</v>
      </c>
      <c r="N75" s="105">
        <f>M75/L75</f>
        <v>591.88808485953825</v>
      </c>
      <c r="O75" s="122">
        <f>L75-I75</f>
        <v>0</v>
      </c>
      <c r="P75" s="123">
        <f>N75-K75</f>
        <v>-62.71191514046177</v>
      </c>
      <c r="Q75" s="124">
        <f>N75/K75</f>
        <v>0.90419811313708864</v>
      </c>
      <c r="R75" s="322"/>
      <c r="S75" s="46">
        <v>0.38124999999999987</v>
      </c>
      <c r="T75" s="119">
        <v>0.39062499999999989</v>
      </c>
      <c r="U75" s="110">
        <v>5.083333333333302</v>
      </c>
      <c r="V75" s="111">
        <v>13.50255260147126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-313.55957570230885</v>
      </c>
      <c r="AF75" s="109">
        <f>M75/J75</f>
        <v>0.90419811313708864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2726.1311781896652</v>
      </c>
      <c r="N89" s="137">
        <f>M89/L89</f>
        <v>481.08197262170557</v>
      </c>
      <c r="O89" s="138">
        <f>L89-I89</f>
        <v>0.33333333333333393</v>
      </c>
      <c r="P89" s="139">
        <f>N89-K89</f>
        <v>-84.293027378294539</v>
      </c>
      <c r="Q89" s="140">
        <f>N89/K89</f>
        <v>0.85090775612948133</v>
      </c>
      <c r="R89" s="323"/>
      <c r="S89" s="141">
        <v>0.20833333333333334</v>
      </c>
      <c r="T89" s="142">
        <v>0.39062499999999989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-289.20215514366828</v>
      </c>
      <c r="AF89" s="140">
        <f>M89/J89</f>
        <v>0.90408949088757407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1731</v>
      </c>
      <c r="G90" s="147">
        <f t="shared" ref="G90:G91" si="43">E90*F90</f>
        <v>26847.81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3250.3131074640328</v>
      </c>
      <c r="N90" s="151">
        <f>M90/L90</f>
        <v>541.71885124400546</v>
      </c>
      <c r="O90" s="153">
        <f>L90-I90</f>
        <v>0</v>
      </c>
      <c r="P90" s="154">
        <f>N90-K90</f>
        <v>-58.281148755994536</v>
      </c>
      <c r="Q90" s="155">
        <f>N90/K90</f>
        <v>0.90286475207334249</v>
      </c>
      <c r="R90" s="321">
        <f>Q106</f>
        <v>0.90275562251217456</v>
      </c>
      <c r="S90" s="156">
        <v>0.25</v>
      </c>
      <c r="T90" s="157">
        <v>0.27218750000000003</v>
      </c>
      <c r="U90" s="158"/>
      <c r="V90" s="159">
        <v>31.953844619306199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-349.68689253596722</v>
      </c>
      <c r="AF90" s="155">
        <f>M90/J90</f>
        <v>0.90286475207334249</v>
      </c>
      <c r="AG90" s="326">
        <f>AF106</f>
        <v>0.90275562251217456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1870</v>
      </c>
      <c r="G91" s="102">
        <f t="shared" si="43"/>
        <v>28068.7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3249.5273746236235</v>
      </c>
      <c r="N91" s="105">
        <f>M91/L91</f>
        <v>541.58789577060395</v>
      </c>
      <c r="O91" s="107">
        <f>L91-I91</f>
        <v>0</v>
      </c>
      <c r="P91" s="108">
        <f>N91-K91</f>
        <v>-58.41210422939605</v>
      </c>
      <c r="Q91" s="109">
        <f>N91/K91</f>
        <v>0.90264649295100663</v>
      </c>
      <c r="R91" s="322"/>
      <c r="S91" s="46">
        <v>0.27499999999999997</v>
      </c>
      <c r="T91" s="47">
        <v>0.29896990740740736</v>
      </c>
      <c r="U91" s="110">
        <v>5</v>
      </c>
      <c r="V91" s="111">
        <v>34.52809810934292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-350.47262537637653</v>
      </c>
      <c r="AF91" s="109">
        <f>M91/J91</f>
        <v>0.90264649295100652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3249.9202410438284</v>
      </c>
      <c r="N106" s="137">
        <f>M106/L106</f>
        <v>541.65337350730476</v>
      </c>
      <c r="O106" s="138">
        <f>L106-I106</f>
        <v>0</v>
      </c>
      <c r="P106" s="139">
        <f>N106-K106</f>
        <v>-58.346626492695236</v>
      </c>
      <c r="Q106" s="140">
        <f>N106/K106</f>
        <v>0.90275562251217456</v>
      </c>
      <c r="R106" s="323"/>
      <c r="S106" s="141">
        <v>0.25</v>
      </c>
      <c r="T106" s="142">
        <v>0.29896990740740736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-350.07975895617164</v>
      </c>
      <c r="AF106" s="140">
        <f>M106/J106</f>
        <v>0.90275562251217456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1436</v>
      </c>
      <c r="G107" s="147">
        <f t="shared" ref="G107:G109" si="47">E107*F107</f>
        <v>83532.12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1802.1999999999998</v>
      </c>
      <c r="N107" s="151">
        <f>M107/L107</f>
        <v>106.01176470588234</v>
      </c>
      <c r="O107" s="153">
        <f>L107-I107</f>
        <v>-1</v>
      </c>
      <c r="P107" s="154">
        <f>N107-K107</f>
        <v>-5.099346405228772</v>
      </c>
      <c r="Q107" s="155">
        <f>N107/K107</f>
        <v>0.95410588235294103</v>
      </c>
      <c r="R107" s="321">
        <f>Q123</f>
        <v>0.94940833333333319</v>
      </c>
      <c r="S107" s="156">
        <v>0.70833333333333337</v>
      </c>
      <c r="T107" s="157">
        <v>0.74152777777777779</v>
      </c>
      <c r="U107" s="158"/>
      <c r="V107" s="159">
        <v>47.808234380201981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-197.80000000000018</v>
      </c>
      <c r="AF107" s="155">
        <f>M107/J107</f>
        <v>0.9010999999999999</v>
      </c>
      <c r="AG107" s="326">
        <f>AF123</f>
        <v>0.90113333333333323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1339</v>
      </c>
      <c r="G108" s="102">
        <f t="shared" si="47"/>
        <v>67847.13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</v>
      </c>
      <c r="N108" s="105">
        <f>M108/L108</f>
        <v>94.84210526315789</v>
      </c>
      <c r="O108" s="107">
        <f>L108-I108</f>
        <v>-1</v>
      </c>
      <c r="P108" s="108">
        <f>N108-K108</f>
        <v>-5.1578947368421098</v>
      </c>
      <c r="Q108" s="109">
        <f>N108/K108</f>
        <v>0.94842105263157894</v>
      </c>
      <c r="R108" s="322"/>
      <c r="S108" s="46">
        <v>0.74513888888888891</v>
      </c>
      <c r="T108" s="47">
        <v>0.77609953703703705</v>
      </c>
      <c r="U108" s="110">
        <v>5.2000000000000135</v>
      </c>
      <c r="V108" s="111">
        <v>44.58379578246393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-198</v>
      </c>
      <c r="AF108" s="109">
        <f>M108/J108</f>
        <v>0.90100000000000002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1467</v>
      </c>
      <c r="G109" s="102">
        <f t="shared" si="47"/>
        <v>84059.099999999991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22"/>
      <c r="S109" s="46">
        <v>0.77916666666666667</v>
      </c>
      <c r="T109" s="47">
        <v>0.81306712962962968</v>
      </c>
      <c r="U109" s="110">
        <v>5</v>
      </c>
      <c r="V109" s="111">
        <v>48.829468545434374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-197.40000000000009</v>
      </c>
      <c r="AF109" s="109">
        <f>M109/J109</f>
        <v>0.90129999999999999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1802.2666666666664</v>
      </c>
      <c r="N123" s="137">
        <f>M123/L123</f>
        <v>96.549999999999983</v>
      </c>
      <c r="O123" s="138">
        <f>L123-I123</f>
        <v>-1</v>
      </c>
      <c r="P123" s="139">
        <f>N123-K123</f>
        <v>-5.1449152542373042</v>
      </c>
      <c r="Q123" s="140">
        <f>N123/K123</f>
        <v>0.94940833333333319</v>
      </c>
      <c r="R123" s="323"/>
      <c r="S123" s="141">
        <v>0.70833333333333337</v>
      </c>
      <c r="T123" s="142">
        <v>0.81306712962962968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-197.73333333333358</v>
      </c>
      <c r="AF123" s="140">
        <f>M123/J123</f>
        <v>0.90113333333333323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1880</v>
      </c>
      <c r="G124" s="147">
        <f t="shared" ref="G124:G126" si="54">E124*F124</f>
        <v>89488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1804.8014667902767</v>
      </c>
      <c r="N124" s="151">
        <f>M124/L124</f>
        <v>78.469628990881588</v>
      </c>
      <c r="O124" s="153">
        <f>L124-I124</f>
        <v>0</v>
      </c>
      <c r="P124" s="154">
        <f>N124-K124</f>
        <v>-8.4868927482488488</v>
      </c>
      <c r="Q124" s="155">
        <f>N124/K124</f>
        <v>0.90240073339513827</v>
      </c>
      <c r="R124" s="321">
        <f>Q140</f>
        <v>0.90175182241961371</v>
      </c>
      <c r="S124" s="156">
        <v>0.70833333333333337</v>
      </c>
      <c r="T124" s="157">
        <v>0.75172453703703712</v>
      </c>
      <c r="U124" s="158"/>
      <c r="V124" s="159">
        <v>62.499949205276046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-195.19853320972334</v>
      </c>
      <c r="AF124" s="155">
        <f>M124/J124</f>
        <v>0.90240073339513838</v>
      </c>
      <c r="AG124" s="375">
        <f>AF140</f>
        <v>0.90175182241961371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1481</v>
      </c>
      <c r="G125" s="102">
        <f t="shared" si="54"/>
        <v>84224.47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1803.2791094481865</v>
      </c>
      <c r="N125" s="105">
        <f>M125/L125</f>
        <v>78.403439541225495</v>
      </c>
      <c r="O125" s="107">
        <f>L125-I125</f>
        <v>0</v>
      </c>
      <c r="P125" s="108">
        <f>N125-K125</f>
        <v>-8.5530821979049421</v>
      </c>
      <c r="Q125" s="109">
        <f>N125/K125</f>
        <v>0.90163955472409318</v>
      </c>
      <c r="R125" s="322"/>
      <c r="S125" s="46">
        <v>0.75555555555555554</v>
      </c>
      <c r="T125" s="47">
        <v>0.78976851851851848</v>
      </c>
      <c r="U125" s="110">
        <v>5.5166666666665165</v>
      </c>
      <c r="V125" s="111">
        <v>49.276897588633219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-196.72089055181345</v>
      </c>
      <c r="AF125" s="109">
        <f>M125/J125</f>
        <v>0.9016395547240933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2060</v>
      </c>
      <c r="G126" s="102">
        <f t="shared" si="54"/>
        <v>116987.4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1802.4303582792186</v>
      </c>
      <c r="N126" s="105">
        <f>M126/L126</f>
        <v>78.366537316487765</v>
      </c>
      <c r="O126" s="107">
        <f>L126-I126</f>
        <v>0</v>
      </c>
      <c r="P126" s="108">
        <f>N126-K126</f>
        <v>-8.5899844226426723</v>
      </c>
      <c r="Q126" s="109">
        <f>N126/K126</f>
        <v>0.90121517913960925</v>
      </c>
      <c r="R126" s="322"/>
      <c r="S126" s="46">
        <v>0.79305555555555551</v>
      </c>
      <c r="T126" s="47">
        <v>0.84067129629629622</v>
      </c>
      <c r="U126" s="110">
        <v>4.7333333333333272</v>
      </c>
      <c r="V126" s="111">
        <v>68.574078012090851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-197.56964172078142</v>
      </c>
      <c r="AF126" s="109">
        <f>M126/J126</f>
        <v>0.90121517913960925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1803.5036448392275</v>
      </c>
      <c r="N140" s="137">
        <f>M140/L140</f>
        <v>78.413201949531626</v>
      </c>
      <c r="O140" s="138">
        <f>L140-I140</f>
        <v>0</v>
      </c>
      <c r="P140" s="139">
        <f>N140-K140</f>
        <v>-8.5433197895988116</v>
      </c>
      <c r="Q140" s="140">
        <f>N140/K140</f>
        <v>0.90175182241961371</v>
      </c>
      <c r="R140" s="323"/>
      <c r="S140" s="141">
        <v>0.70833333333333337</v>
      </c>
      <c r="T140" s="142">
        <v>0.84067129629629622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-196.49635516077251</v>
      </c>
      <c r="AF140" s="140">
        <f>M140/J140</f>
        <v>0.90175182241961371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71" priority="2" operator="greaterThan">
      <formula>0</formula>
    </cfRule>
  </conditionalFormatting>
  <conditionalFormatting sqref="P5:P140 AE5:AE140">
    <cfRule type="cellIs" dxfId="170" priority="5" operator="lessThan">
      <formula>0</formula>
    </cfRule>
  </conditionalFormatting>
  <conditionalFormatting sqref="Q5:Q140 AF5:AF140">
    <cfRule type="cellIs" dxfId="169" priority="3" operator="greaterThan">
      <formula>1</formula>
    </cfRule>
    <cfRule type="cellIs" dxfId="168" priority="4" operator="lessThan">
      <formula>0.8</formula>
    </cfRule>
  </conditionalFormatting>
  <conditionalFormatting sqref="AG5 R5:R140 AG107:AG124">
    <cfRule type="cellIs" dxfId="167" priority="6" operator="lessThan">
      <formula>0.8</formula>
    </cfRule>
  </conditionalFormatting>
  <conditionalFormatting sqref="AG22">
    <cfRule type="cellIs" dxfId="166" priority="11" operator="lessThan">
      <formula>0.8</formula>
    </cfRule>
  </conditionalFormatting>
  <conditionalFormatting sqref="AG37">
    <cfRule type="cellIs" dxfId="165" priority="10" operator="lessThan">
      <formula>0.8</formula>
    </cfRule>
  </conditionalFormatting>
  <conditionalFormatting sqref="AG39:AG74">
    <cfRule type="cellIs" dxfId="164" priority="8" operator="lessThan">
      <formula>0.8</formula>
    </cfRule>
  </conditionalFormatting>
  <conditionalFormatting sqref="AG80:AG88">
    <cfRule type="cellIs" dxfId="163" priority="9" operator="lessThan">
      <formula>0.8</formula>
    </cfRule>
  </conditionalFormatting>
  <conditionalFormatting sqref="AG90:AG95">
    <cfRule type="cellIs" dxfId="162" priority="7" operator="lessThan">
      <formula>0.8</formula>
    </cfRule>
  </conditionalFormatting>
  <conditionalFormatting sqref="AG139">
    <cfRule type="cellIs" dxfId="161" priority="1" operator="lessThan">
      <formula>0.8</formula>
    </cfRule>
  </conditionalFormatting>
  <dataValidations count="1">
    <dataValidation type="list" allowBlank="1" showInputMessage="1" showErrorMessage="1" sqref="AA5:AB140" xr:uid="{565E3168-3E56-4F59-BC89-E294E0F9FB0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6651-0B60-44C0-B4C5-13DD0E451DA2}">
  <sheetPr>
    <tabColor theme="8" tint="0.59999389629810485"/>
  </sheetPr>
  <dimension ref="B1:AR42"/>
  <sheetViews>
    <sheetView zoomScale="70" zoomScaleNormal="70" workbookViewId="0">
      <selection activeCell="R6" sqref="R6:R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236</v>
      </c>
      <c r="D3" s="208"/>
      <c r="E3" s="3" t="s">
        <v>3</v>
      </c>
      <c r="F3" s="209">
        <f>'0807(18度C)'!D1+'0807(4度C)'!D1</f>
        <v>157640</v>
      </c>
      <c r="G3" s="210"/>
      <c r="H3" s="3" t="s">
        <v>4</v>
      </c>
      <c r="I3" s="211">
        <f>'0807(18度C)'!F1+'0807(4度C)'!F1</f>
        <v>4858510.08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494.4411545781777</v>
      </c>
      <c r="F6" s="245" t="e">
        <f>AVERAGE(#REF!,D14:K14)</f>
        <v>#REF!</v>
      </c>
      <c r="G6" s="246">
        <f>AVERAGE(D14:K14)</f>
        <v>271.34188948852051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785.63829787234044</v>
      </c>
      <c r="N6" s="247"/>
      <c r="O6" s="235">
        <f>'0807(4度C)'!Y2</f>
        <v>0</v>
      </c>
      <c r="P6" s="235">
        <f>'0807(4度C)'!Z2</f>
        <v>0</v>
      </c>
      <c r="Q6" s="235">
        <f>'0807(4度C)'!AC2</f>
        <v>0</v>
      </c>
      <c r="R6" s="235">
        <f>'0807(4度C)'!AD2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444.01185470423195</v>
      </c>
      <c r="F7" s="241" t="e">
        <f>AVERAGE(#REF!,D15:K15)</f>
        <v>#REF!</v>
      </c>
      <c r="G7" s="242">
        <f>AVERAGE(D15:K15)</f>
        <v>239.95017670371067</v>
      </c>
      <c r="H7" s="243"/>
      <c r="I7" s="242">
        <f>AVERAGE(L15:O15)</f>
        <v>87.481833894020454</v>
      </c>
      <c r="J7" s="243"/>
      <c r="K7" s="242">
        <f>AVERAGE(D33:O33)</f>
        <v>664.33132348342838</v>
      </c>
      <c r="L7" s="243"/>
      <c r="M7" s="242">
        <f>AVERAGE(P33:X33)</f>
        <v>708.04991333092346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0.90004471835917621</v>
      </c>
      <c r="F8" s="260" t="e">
        <f>AVERAGE(D16:K16,#REF!)</f>
        <v>#REF!</v>
      </c>
      <c r="G8" s="248">
        <f>AVERAGE(D16:K16)</f>
        <v>0.89310207891762206</v>
      </c>
      <c r="H8" s="249"/>
      <c r="I8" s="248">
        <f>AVERAGE(L16:O16)</f>
        <v>0.925567875495521</v>
      </c>
      <c r="J8" s="249"/>
      <c r="K8" s="248">
        <f>AVERAGE(D34:O34)</f>
        <v>0.89699144876768111</v>
      </c>
      <c r="L8" s="249"/>
      <c r="M8" s="248">
        <f>AVERAGE(P34:X34)</f>
        <v>0.90075036854482993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83.720930232558146</v>
      </c>
      <c r="F14" s="28">
        <v>117.52</v>
      </c>
      <c r="G14" s="28">
        <v>90.909090909090907</v>
      </c>
      <c r="H14" s="28">
        <v>170.5263157894737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75.495047491939758</v>
      </c>
      <c r="F15" s="28">
        <v>106.08987014808277</v>
      </c>
      <c r="G15" s="28">
        <v>81.913254132087218</v>
      </c>
      <c r="H15" s="28">
        <v>153.33525029608774</v>
      </c>
      <c r="I15" s="28">
        <v>481.1736902687644</v>
      </c>
      <c r="J15" s="28">
        <v>541.69394788530201</v>
      </c>
      <c r="K15" s="36" t="s">
        <v>43</v>
      </c>
      <c r="L15" s="34" t="s">
        <v>43</v>
      </c>
      <c r="M15" s="30">
        <v>96.567857142857122</v>
      </c>
      <c r="N15" s="28">
        <v>78.395810645183786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0.90174640059816924</v>
      </c>
      <c r="F16" s="42">
        <f t="shared" si="0"/>
        <v>0.90273885422126254</v>
      </c>
      <c r="G16" s="42">
        <f t="shared" si="0"/>
        <v>0.90104579545295937</v>
      </c>
      <c r="H16" s="42">
        <f t="shared" si="0"/>
        <v>0.89918819618076129</v>
      </c>
      <c r="I16" s="42">
        <f t="shared" si="0"/>
        <v>0.85106998057707595</v>
      </c>
      <c r="J16" s="42">
        <f t="shared" si="0"/>
        <v>0.90282324647550338</v>
      </c>
      <c r="K16" s="43" t="s">
        <v>43</v>
      </c>
      <c r="L16" s="41" t="s">
        <v>43</v>
      </c>
      <c r="M16" s="44">
        <f>M15/M14</f>
        <v>0.94958392857142837</v>
      </c>
      <c r="N16" s="42">
        <f>N15/N14</f>
        <v>0.90155182241961351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0.55910879629629628</v>
      </c>
      <c r="F18" s="47">
        <v>0.50186342592592592</v>
      </c>
      <c r="G18" s="47">
        <v>0.5228935185185184</v>
      </c>
      <c r="H18" s="47">
        <v>0.62903935185185178</v>
      </c>
      <c r="I18" s="47">
        <v>0.39358796296296283</v>
      </c>
      <c r="J18" s="47">
        <v>0.29645833333333332</v>
      </c>
      <c r="K18" s="47" t="s">
        <v>43</v>
      </c>
      <c r="L18" s="46" t="s">
        <v>43</v>
      </c>
      <c r="M18" s="48">
        <v>0.79226851851851854</v>
      </c>
      <c r="N18" s="47">
        <v>0.81328703703703709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21.5</v>
      </c>
      <c r="F23" s="57">
        <v>18</v>
      </c>
      <c r="G23" s="57">
        <v>22</v>
      </c>
      <c r="H23" s="57">
        <v>21.111111111111111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842.55319148936178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287.47015057798814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753.4388504413688</v>
      </c>
      <c r="N33" s="28">
        <v>846.75454784019962</v>
      </c>
      <c r="O33" s="28">
        <v>769.66174507415712</v>
      </c>
      <c r="P33" s="27">
        <v>438.5809841024867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647.38859062432778</v>
      </c>
      <c r="W33" s="28">
        <v>993.36219979428142</v>
      </c>
      <c r="X33" s="31">
        <v>752.8678788025976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0.87838101565496385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0.91325921265620458</v>
      </c>
      <c r="N34" s="42">
        <f>N33/N32</f>
        <v>0.89993236968523627</v>
      </c>
      <c r="O34" s="42">
        <f>O33/O32</f>
        <v>0.89639319707431964</v>
      </c>
      <c r="P34" s="41">
        <f>P33/P32</f>
        <v>0.89340570835691735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0.91298390985482136</v>
      </c>
      <c r="W34" s="42">
        <f>W33/W32</f>
        <v>0.90305654526752854</v>
      </c>
      <c r="X34" s="45">
        <f>X33/X32</f>
        <v>0.89355531070005267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0.31319444444444439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0.73055555555555562</v>
      </c>
      <c r="X35" s="49">
        <v>0.73541666666666661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0.39358796296296283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0.38369212962962951</v>
      </c>
      <c r="N36" s="47">
        <v>0.46917824074074083</v>
      </c>
      <c r="O36" s="47">
        <v>0.47656250000000006</v>
      </c>
      <c r="P36" s="46">
        <v>0.74884259259259267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0.84336805555555561</v>
      </c>
      <c r="W36" s="47">
        <v>1.0254282407407407</v>
      </c>
      <c r="X36" s="49">
        <v>1.0433333333333328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4.2727272727272725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A744-4502-44EF-B280-43386EBE1C7E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P41" sqref="P41"/>
      <selection activeCell="P41" sqref="P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83140</v>
      </c>
      <c r="E1" s="87" t="s">
        <v>4</v>
      </c>
      <c r="F1" s="88">
        <f>SUM(G5:G140)</f>
        <v>1653087.4200000002</v>
      </c>
      <c r="G1" s="89" t="s">
        <v>85</v>
      </c>
      <c r="H1" s="90">
        <f>L21+L38+L55+L72+L89+L106+L123+L140</f>
        <v>41.815584415584418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46241</v>
      </c>
      <c r="B2" s="294"/>
      <c r="C2" s="91" t="s">
        <v>41</v>
      </c>
      <c r="D2" s="92">
        <f>AVERAGE(N21,N38,N55,N72,N89,N106,N123,N140)</f>
        <v>686.19061840717586</v>
      </c>
      <c r="E2" s="92" t="s">
        <v>92</v>
      </c>
      <c r="F2" s="93">
        <f>F1/D1</f>
        <v>19.88317801299014</v>
      </c>
      <c r="G2" s="94" t="s">
        <v>93</v>
      </c>
      <c r="H2" s="95">
        <f>COUNT(H5:H140)</f>
        <v>7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1492</v>
      </c>
      <c r="G5" s="147">
        <f t="shared" ref="G5:G9" si="0">E5*F5</f>
        <v>38254.879999999997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3217.9695511531841</v>
      </c>
      <c r="N5" s="151">
        <f>M5/L5</f>
        <v>321.79695511531838</v>
      </c>
      <c r="O5" s="153">
        <f>L5-I5</f>
        <v>0</v>
      </c>
      <c r="P5" s="154">
        <f>N5-K5</f>
        <v>-38.203044884681617</v>
      </c>
      <c r="Q5" s="155">
        <f>N5/K5</f>
        <v>0.89388043087588442</v>
      </c>
      <c r="R5" s="321">
        <f>Q21</f>
        <v>0.87838101565496385</v>
      </c>
      <c r="S5" s="156">
        <v>0.20833333333333334</v>
      </c>
      <c r="T5" s="157">
        <v>0.22765046296296299</v>
      </c>
      <c r="U5" s="158"/>
      <c r="V5" s="159">
        <v>27.818784042850815</v>
      </c>
      <c r="W5" s="160"/>
      <c r="X5" s="161"/>
      <c r="Y5" s="324"/>
      <c r="Z5" s="325"/>
      <c r="AA5" s="114">
        <f>M5-J5</f>
        <v>-382.03044884681594</v>
      </c>
      <c r="AB5" s="155">
        <f>M5/J5</f>
        <v>0.89388043087588442</v>
      </c>
      <c r="AC5" s="326">
        <f>AB21</f>
        <v>0.87838101565496374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2178</v>
      </c>
      <c r="G6" s="102">
        <f t="shared" si="0"/>
        <v>64294.559999999998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3157.9033410043858</v>
      </c>
      <c r="N6" s="105">
        <f>M6/L6</f>
        <v>287.08212190948962</v>
      </c>
      <c r="O6" s="107">
        <f>L6-I6</f>
        <v>0</v>
      </c>
      <c r="P6" s="108">
        <f>N6-K6</f>
        <v>-40.190605363237637</v>
      </c>
      <c r="Q6" s="109">
        <f>N6/K6</f>
        <v>0.87719537250121837</v>
      </c>
      <c r="R6" s="322"/>
      <c r="S6" s="46">
        <v>0.23055555555555554</v>
      </c>
      <c r="T6" s="47">
        <v>0.25928240740740738</v>
      </c>
      <c r="U6" s="110">
        <v>5</v>
      </c>
      <c r="V6" s="111">
        <v>41.381887248783435</v>
      </c>
      <c r="W6" s="112"/>
      <c r="X6" s="115"/>
      <c r="Y6" s="331"/>
      <c r="Z6" s="332"/>
      <c r="AA6" s="116">
        <f>M6-J6</f>
        <v>-442.09665899561423</v>
      </c>
      <c r="AB6" s="109">
        <f>M6/J6</f>
        <v>0.87719537250121826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2555</v>
      </c>
      <c r="G7" s="102">
        <f t="shared" si="0"/>
        <v>76266.75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3156.9319051520074</v>
      </c>
      <c r="N7" s="105">
        <f>M7/L7</f>
        <v>286.99380955927342</v>
      </c>
      <c r="O7" s="107">
        <f>L7-I7</f>
        <v>0</v>
      </c>
      <c r="P7" s="108">
        <f>N7-K7</f>
        <v>-40.278917713453836</v>
      </c>
      <c r="Q7" s="109">
        <f>N7/K7</f>
        <v>0.876925529208891</v>
      </c>
      <c r="R7" s="322"/>
      <c r="S7" s="46">
        <v>0.2631944444444444</v>
      </c>
      <c r="T7" s="47">
        <v>0.29690972222222217</v>
      </c>
      <c r="U7" s="110">
        <v>5.633333333333308</v>
      </c>
      <c r="V7" s="111">
        <v>48.559805724608609</v>
      </c>
      <c r="W7" s="112"/>
      <c r="X7" s="115"/>
      <c r="Y7" s="331"/>
      <c r="Z7" s="332"/>
      <c r="AA7" s="116">
        <f>M7-J7</f>
        <v>-443.0680948479926</v>
      </c>
      <c r="AB7" s="109">
        <f>M7/J7</f>
        <v>0.876925529208891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1544</v>
      </c>
      <c r="G8" s="102">
        <f t="shared" si="0"/>
        <v>46320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3156.9511721090976</v>
      </c>
      <c r="N8" s="105">
        <f>M8/L8</f>
        <v>286.99556110082705</v>
      </c>
      <c r="O8" s="107">
        <f>L8-I8</f>
        <v>0</v>
      </c>
      <c r="P8" s="108">
        <f>N8-K8</f>
        <v>-40.277166171900205</v>
      </c>
      <c r="Q8" s="109">
        <f>N8/K8</f>
        <v>0.87693088114141604</v>
      </c>
      <c r="R8" s="322"/>
      <c r="S8" s="46">
        <v>0.29999999999999993</v>
      </c>
      <c r="T8" s="47">
        <v>0.32037037037037031</v>
      </c>
      <c r="U8" s="110">
        <v>5</v>
      </c>
      <c r="V8" s="111">
        <v>29.344768084616597</v>
      </c>
      <c r="W8" s="112"/>
      <c r="X8" s="115"/>
      <c r="Y8" s="331"/>
      <c r="Z8" s="332"/>
      <c r="AA8" s="116">
        <f>M8-J8</f>
        <v>-443.04882789090243</v>
      </c>
      <c r="AB8" s="109">
        <f>M8/J8</f>
        <v>0.87693088114141604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1138</v>
      </c>
      <c r="G9" s="102">
        <f t="shared" si="0"/>
        <v>32512.66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3121.1023123706709</v>
      </c>
      <c r="N9" s="105">
        <f>M9/L9</f>
        <v>260.09185936422256</v>
      </c>
      <c r="O9" s="107">
        <f>L9-I9</f>
        <v>0</v>
      </c>
      <c r="P9" s="108">
        <f>N9-K9</f>
        <v>-39.908140635777443</v>
      </c>
      <c r="Q9" s="109">
        <f>N9/K9</f>
        <v>0.86697286454740852</v>
      </c>
      <c r="R9" s="322"/>
      <c r="S9" s="46">
        <v>0.32430555555555546</v>
      </c>
      <c r="T9" s="47">
        <v>0.33949074074074065</v>
      </c>
      <c r="U9" s="110">
        <v>5.6666666666666199</v>
      </c>
      <c r="V9" s="111">
        <v>21.876886165944718</v>
      </c>
      <c r="W9" s="112"/>
      <c r="X9" s="115"/>
      <c r="Y9" s="331"/>
      <c r="Z9" s="332"/>
      <c r="AA9" s="116">
        <f>M9-J9</f>
        <v>-478.89768762932908</v>
      </c>
      <c r="AB9" s="109">
        <f>M9/J9</f>
        <v>0.86697286454740863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3162.1716563578693</v>
      </c>
      <c r="N21" s="137">
        <f>M21/L21</f>
        <v>287.47015057798814</v>
      </c>
      <c r="O21" s="138">
        <f>L21-I21</f>
        <v>0</v>
      </c>
      <c r="P21" s="139">
        <f>N21-K21</f>
        <v>-39.802576694739116</v>
      </c>
      <c r="Q21" s="140">
        <f>N21/K21</f>
        <v>0.87838101565496385</v>
      </c>
      <c r="R21" s="323"/>
      <c r="S21" s="141">
        <v>0.20833333333333334</v>
      </c>
      <c r="T21" s="142">
        <v>0.39358796296296283</v>
      </c>
      <c r="U21" s="143"/>
      <c r="V21" s="165"/>
      <c r="W21" s="166"/>
      <c r="X21" s="137"/>
      <c r="Y21" s="353"/>
      <c r="Z21" s="354"/>
      <c r="AA21" s="167">
        <f>M21-J21</f>
        <v>-437.82834364213068</v>
      </c>
      <c r="AB21" s="140">
        <f>M21/J21</f>
        <v>0.87838101565496374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1890</v>
      </c>
      <c r="G22" s="147">
        <f t="shared" ref="G22:G24" si="5">E22*F22</f>
        <v>35021.700000000004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3012.4334405697477</v>
      </c>
      <c r="N22" s="151">
        <f>M22/L22</f>
        <v>1004.144480189916</v>
      </c>
      <c r="O22" s="153">
        <f>L22-I22</f>
        <v>0</v>
      </c>
      <c r="P22" s="154">
        <f>N22-K22</f>
        <v>-95.855519810084047</v>
      </c>
      <c r="Q22" s="155">
        <f>N22/K22</f>
        <v>0.91285861835446902</v>
      </c>
      <c r="R22" s="321">
        <f>Q38</f>
        <v>0.91325921265620458</v>
      </c>
      <c r="S22" s="156">
        <v>0.31319444444444439</v>
      </c>
      <c r="T22" s="157">
        <v>0.33932870370370366</v>
      </c>
      <c r="U22" s="158"/>
      <c r="V22" s="111">
        <v>37.643985248866585</v>
      </c>
      <c r="W22" s="160"/>
      <c r="X22" s="161"/>
      <c r="Y22" s="324"/>
      <c r="Z22" s="325"/>
      <c r="AA22" s="114">
        <f>M22-J22</f>
        <v>-287.56655943025225</v>
      </c>
      <c r="AB22" s="155">
        <f>M22/J22</f>
        <v>0.91285861835446902</v>
      </c>
      <c r="AC22" s="326">
        <f>AB38</f>
        <v>0.91325921265620458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592</v>
      </c>
      <c r="G23" s="102">
        <f t="shared" si="5"/>
        <v>13189.76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3016.0398070850174</v>
      </c>
      <c r="N23" s="105">
        <f>M23/L23</f>
        <v>603.2079614170035</v>
      </c>
      <c r="O23" s="107">
        <f>L23-I23</f>
        <v>0</v>
      </c>
      <c r="P23" s="108">
        <f>N23-K23</f>
        <v>-56.792038582996497</v>
      </c>
      <c r="Q23" s="109">
        <f>N23/K23</f>
        <v>0.9139514566924295</v>
      </c>
      <c r="R23" s="322"/>
      <c r="S23" s="46">
        <v>0.34236111111111106</v>
      </c>
      <c r="T23" s="47">
        <v>0.35053240740740738</v>
      </c>
      <c r="U23" s="110">
        <v>5</v>
      </c>
      <c r="V23" s="111">
        <v>11.77703288814674</v>
      </c>
      <c r="W23" s="112"/>
      <c r="X23" s="115"/>
      <c r="Y23" s="331"/>
      <c r="Z23" s="332"/>
      <c r="AA23" s="116">
        <f>M23-J23</f>
        <v>-283.9601929149826</v>
      </c>
      <c r="AB23" s="109">
        <f>M23/J23</f>
        <v>0.9139514566924295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2135</v>
      </c>
      <c r="G24" s="102">
        <f t="shared" si="5"/>
        <v>38195.15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3012.79295764166</v>
      </c>
      <c r="N24" s="105">
        <f>M24/L24</f>
        <v>753.198239410415</v>
      </c>
      <c r="O24" s="107">
        <f>L24-I24</f>
        <v>0</v>
      </c>
      <c r="P24" s="108">
        <f>N24-K24</f>
        <v>-71.801760589585001</v>
      </c>
      <c r="Q24" s="109">
        <f>N24/K24</f>
        <v>0.9129675629217151</v>
      </c>
      <c r="R24" s="322"/>
      <c r="S24" s="46">
        <v>0.35416666666666657</v>
      </c>
      <c r="T24" s="47">
        <v>0.38369212962962951</v>
      </c>
      <c r="U24" s="110">
        <v>5.2333333333332455</v>
      </c>
      <c r="V24" s="111">
        <v>42.518686747154881</v>
      </c>
      <c r="W24" s="112"/>
      <c r="X24" s="115"/>
      <c r="Y24" s="331"/>
      <c r="Z24" s="332"/>
      <c r="AA24" s="116">
        <f>M24-J24</f>
        <v>-287.20704235834</v>
      </c>
      <c r="AB24" s="109">
        <f>M24/J24</f>
        <v>0.9129675629217151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3013.7554017654752</v>
      </c>
      <c r="N38" s="137">
        <f t="shared" ref="N38:N44" si="10">M38/L38</f>
        <v>753.4388504413688</v>
      </c>
      <c r="O38" s="138">
        <f t="shared" ref="O38:O44" si="11">L38-I38</f>
        <v>0</v>
      </c>
      <c r="P38" s="139">
        <f t="shared" ref="P38:P44" si="12">N38-K38</f>
        <v>-71.5611495586312</v>
      </c>
      <c r="Q38" s="140">
        <f t="shared" ref="Q38:Q44" si="13">N38/K38</f>
        <v>0.91325921265620458</v>
      </c>
      <c r="R38" s="323"/>
      <c r="S38" s="141">
        <v>0.31319444444444439</v>
      </c>
      <c r="T38" s="142">
        <v>0.38369212962962951</v>
      </c>
      <c r="U38" s="143"/>
      <c r="V38" s="165"/>
      <c r="W38" s="98"/>
      <c r="X38" s="68"/>
      <c r="Y38" s="353"/>
      <c r="Z38" s="354"/>
      <c r="AA38" s="167">
        <f t="shared" ref="AA38:AA44" si="14">M38-J38</f>
        <v>-286.2445982345248</v>
      </c>
      <c r="AB38" s="140">
        <f t="shared" ref="AB38:AB44" si="15">M38/J38</f>
        <v>0.91325921265620458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648</v>
      </c>
      <c r="G39" s="147">
        <f t="shared" ref="G39:G44" si="16">E39*F39</f>
        <v>16219.44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3218.5095508629151</v>
      </c>
      <c r="N39" s="151">
        <f t="shared" si="10"/>
        <v>643.70191017258298</v>
      </c>
      <c r="O39" s="153">
        <f t="shared" si="11"/>
        <v>0</v>
      </c>
      <c r="P39" s="154">
        <f t="shared" si="12"/>
        <v>-76.298089827417016</v>
      </c>
      <c r="Q39" s="155">
        <f t="shared" si="13"/>
        <v>0.89403043079525413</v>
      </c>
      <c r="R39" s="321">
        <f>Q55</f>
        <v>0.89993236968523627</v>
      </c>
      <c r="S39" s="156">
        <v>0.25</v>
      </c>
      <c r="T39" s="157">
        <v>0.25837962962962963</v>
      </c>
      <c r="U39" s="158"/>
      <c r="V39" s="159">
        <v>12.080125718308301</v>
      </c>
      <c r="W39" s="160"/>
      <c r="X39" s="161"/>
      <c r="Y39" s="324"/>
      <c r="Z39" s="325"/>
      <c r="AA39" s="114">
        <f t="shared" si="14"/>
        <v>-381.49044913708485</v>
      </c>
      <c r="AB39" s="155">
        <f t="shared" si="15"/>
        <v>0.89403043079525424</v>
      </c>
      <c r="AC39" s="326">
        <f>AB55</f>
        <v>0.89993236968523627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932</v>
      </c>
      <c r="G40" s="102">
        <f t="shared" si="16"/>
        <v>16943.759999999998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3217.8018073801172</v>
      </c>
      <c r="N40" s="105">
        <f t="shared" si="10"/>
        <v>1072.600602460039</v>
      </c>
      <c r="O40" s="107">
        <f t="shared" si="11"/>
        <v>0</v>
      </c>
      <c r="P40" s="108">
        <f t="shared" si="12"/>
        <v>-127.399397539961</v>
      </c>
      <c r="Q40" s="109">
        <f t="shared" si="13"/>
        <v>0.8938338353833658</v>
      </c>
      <c r="R40" s="322"/>
      <c r="S40" s="46">
        <v>0.26875000000000004</v>
      </c>
      <c r="T40" s="47">
        <v>0.28081018518518525</v>
      </c>
      <c r="U40" s="110">
        <v>14.933333333333403</v>
      </c>
      <c r="V40" s="111">
        <v>17.378323261471834</v>
      </c>
      <c r="W40" s="112"/>
      <c r="X40" s="115"/>
      <c r="Y40" s="331"/>
      <c r="Z40" s="332"/>
      <c r="AA40" s="116">
        <f t="shared" si="14"/>
        <v>-382.19819261988278</v>
      </c>
      <c r="AB40" s="109">
        <f t="shared" si="15"/>
        <v>0.89383383538336592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944</v>
      </c>
      <c r="G41" s="102">
        <f t="shared" si="16"/>
        <v>23430.080000000002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3218.9201595422815</v>
      </c>
      <c r="N41" s="105">
        <f t="shared" si="10"/>
        <v>643.78403190845631</v>
      </c>
      <c r="O41" s="107">
        <f t="shared" si="11"/>
        <v>0</v>
      </c>
      <c r="P41" s="108">
        <f t="shared" si="12"/>
        <v>-76.215968091543687</v>
      </c>
      <c r="Q41" s="109">
        <f t="shared" si="13"/>
        <v>0.8941444887617449</v>
      </c>
      <c r="R41" s="322"/>
      <c r="S41" s="46">
        <v>0.2909722222222223</v>
      </c>
      <c r="T41" s="47">
        <v>0.30318287037037045</v>
      </c>
      <c r="U41" s="110">
        <v>14.633333333333356</v>
      </c>
      <c r="V41" s="111">
        <v>17.595962991531298</v>
      </c>
      <c r="W41" s="112"/>
      <c r="X41" s="115"/>
      <c r="Y41" s="331"/>
      <c r="Z41" s="332"/>
      <c r="AA41" s="116">
        <f t="shared" si="14"/>
        <v>-381.07984045771855</v>
      </c>
      <c r="AB41" s="109">
        <f t="shared" si="15"/>
        <v>0.89414448876174479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1541</v>
      </c>
      <c r="G42" s="102">
        <f t="shared" si="16"/>
        <v>26304.87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3015.6671831917834</v>
      </c>
      <c r="N42" s="105">
        <f t="shared" si="10"/>
        <v>1005.2223943972612</v>
      </c>
      <c r="O42" s="107">
        <f t="shared" si="11"/>
        <v>0</v>
      </c>
      <c r="P42" s="108">
        <f t="shared" si="12"/>
        <v>-94.777605602738845</v>
      </c>
      <c r="Q42" s="109">
        <f t="shared" si="13"/>
        <v>0.91383854036114653</v>
      </c>
      <c r="R42" s="322"/>
      <c r="S42" s="46">
        <v>0.31319444444444455</v>
      </c>
      <c r="T42" s="47">
        <v>0.33447916666666677</v>
      </c>
      <c r="U42" s="110">
        <v>15</v>
      </c>
      <c r="V42" s="111">
        <v>30.659882004001616</v>
      </c>
      <c r="W42" s="112"/>
      <c r="X42" s="115"/>
      <c r="Y42" s="331"/>
      <c r="Z42" s="332"/>
      <c r="AA42" s="116">
        <f t="shared" si="14"/>
        <v>-284.33281680821665</v>
      </c>
      <c r="AB42" s="109">
        <f t="shared" si="15"/>
        <v>0.91383854036114642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3457</v>
      </c>
      <c r="G43" s="102">
        <f t="shared" si="16"/>
        <v>48501.71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2741.9161146167417</v>
      </c>
      <c r="N43" s="105">
        <f t="shared" si="10"/>
        <v>913.97203820558059</v>
      </c>
      <c r="O43" s="107">
        <f t="shared" si="11"/>
        <v>0</v>
      </c>
      <c r="P43" s="108">
        <f t="shared" si="12"/>
        <v>-86.027961794419411</v>
      </c>
      <c r="Q43" s="109">
        <f t="shared" si="13"/>
        <v>0.91397203820558059</v>
      </c>
      <c r="R43" s="322"/>
      <c r="S43" s="46">
        <v>0.34444444444444455</v>
      </c>
      <c r="T43" s="47">
        <v>0.39696759259259268</v>
      </c>
      <c r="U43" s="110">
        <v>15</v>
      </c>
      <c r="V43" s="111">
        <v>75.647828500031508</v>
      </c>
      <c r="W43" s="112"/>
      <c r="X43" s="115"/>
      <c r="Y43" s="331"/>
      <c r="Z43" s="332"/>
      <c r="AA43" s="116">
        <f t="shared" si="14"/>
        <v>-258.08388538325835</v>
      </c>
      <c r="AB43" s="109">
        <f t="shared" si="15"/>
        <v>0.91397203820558059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4804</v>
      </c>
      <c r="G44" s="120">
        <f t="shared" si="16"/>
        <v>68601.119999999995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3215.7852368905501</v>
      </c>
      <c r="N44" s="105">
        <f t="shared" si="10"/>
        <v>1071.92841229685</v>
      </c>
      <c r="O44" s="107">
        <f t="shared" si="11"/>
        <v>0</v>
      </c>
      <c r="P44" s="108">
        <f t="shared" si="12"/>
        <v>-128.07158770315004</v>
      </c>
      <c r="Q44" s="109">
        <f t="shared" si="13"/>
        <v>0.89327367691404158</v>
      </c>
      <c r="R44" s="322"/>
      <c r="S44" s="46">
        <v>0.40694444444444455</v>
      </c>
      <c r="T44" s="119">
        <v>0.46917824074074083</v>
      </c>
      <c r="U44" s="110">
        <v>15</v>
      </c>
      <c r="V44" s="111">
        <v>89.632851315254143</v>
      </c>
      <c r="W44" s="112"/>
      <c r="X44" s="115"/>
      <c r="Y44" s="331"/>
      <c r="Z44" s="332"/>
      <c r="AA44" s="116">
        <f t="shared" si="14"/>
        <v>-384.2147631094499</v>
      </c>
      <c r="AB44" s="109">
        <f t="shared" si="15"/>
        <v>0.89327367691404169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3104.766675414065</v>
      </c>
      <c r="N55" s="137">
        <f t="shared" ref="N55:N62" si="22">M55/L55</f>
        <v>846.75454784019962</v>
      </c>
      <c r="O55" s="138">
        <f t="shared" ref="O55:O62" si="23">L55-I55</f>
        <v>0</v>
      </c>
      <c r="P55" s="139">
        <f t="shared" ref="P55:P62" si="24">N55-K55</f>
        <v>-94.154543068891371</v>
      </c>
      <c r="Q55" s="140">
        <f t="shared" ref="Q55:Q62" si="25">N55/K55</f>
        <v>0.89993236968523627</v>
      </c>
      <c r="R55" s="323"/>
      <c r="S55" s="141">
        <v>0.25</v>
      </c>
      <c r="T55" s="142">
        <v>0.46917824074074083</v>
      </c>
      <c r="U55" s="143"/>
      <c r="V55" s="165"/>
      <c r="W55" s="98"/>
      <c r="X55" s="68"/>
      <c r="Y55" s="353"/>
      <c r="Z55" s="354"/>
      <c r="AA55" s="167">
        <f t="shared" ref="AA55:AA62" si="26">M55-J55</f>
        <v>-345.23332458593495</v>
      </c>
      <c r="AB55" s="140">
        <f t="shared" ref="AB55:AB62" si="27">M55/J55</f>
        <v>0.89993236968523627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1076</v>
      </c>
      <c r="G56" s="147">
        <f t="shared" ref="G56:G62" si="28">E56*F56</f>
        <v>22294.719999999998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3217.6383578594537</v>
      </c>
      <c r="N56" s="151">
        <f t="shared" si="22"/>
        <v>1072.5461192864846</v>
      </c>
      <c r="O56" s="153">
        <f t="shared" si="23"/>
        <v>0</v>
      </c>
      <c r="P56" s="154">
        <f t="shared" si="24"/>
        <v>-127.45388071351545</v>
      </c>
      <c r="Q56" s="155">
        <f t="shared" si="25"/>
        <v>0.89378843273873709</v>
      </c>
      <c r="R56" s="321">
        <f>Q72</f>
        <v>0.89639319707431964</v>
      </c>
      <c r="S56" s="156">
        <v>0.25</v>
      </c>
      <c r="T56" s="157">
        <v>0.26392361111111112</v>
      </c>
      <c r="U56" s="158"/>
      <c r="V56" s="159">
        <v>20.064405262420102</v>
      </c>
      <c r="W56" s="157"/>
      <c r="X56" s="168"/>
      <c r="Y56" s="324"/>
      <c r="Z56" s="325"/>
      <c r="AA56" s="114">
        <f t="shared" si="26"/>
        <v>-382.36164214054634</v>
      </c>
      <c r="AB56" s="155">
        <f t="shared" si="27"/>
        <v>0.89378843273873709</v>
      </c>
      <c r="AC56" s="326">
        <f>AB72</f>
        <v>0.89639319707431964</v>
      </c>
    </row>
    <row r="57" spans="1:29" ht="15.75" customHeight="1">
      <c r="A57" s="356"/>
      <c r="B57" s="99" t="s">
        <v>121</v>
      </c>
      <c r="C57" s="329" t="s">
        <v>232</v>
      </c>
      <c r="D57" s="330"/>
      <c r="E57" s="100">
        <v>23.72</v>
      </c>
      <c r="F57" s="101">
        <v>453</v>
      </c>
      <c r="G57" s="102">
        <f t="shared" si="28"/>
        <v>10745.16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3217.5111494849384</v>
      </c>
      <c r="N57" s="105">
        <f t="shared" si="22"/>
        <v>643.50222989698773</v>
      </c>
      <c r="O57" s="107">
        <f t="shared" si="23"/>
        <v>0</v>
      </c>
      <c r="P57" s="108">
        <f t="shared" si="24"/>
        <v>-76.497770103012272</v>
      </c>
      <c r="Q57" s="109">
        <f t="shared" si="25"/>
        <v>0.89375309707914963</v>
      </c>
      <c r="R57" s="322"/>
      <c r="S57" s="46">
        <v>0.27430555555555558</v>
      </c>
      <c r="T57" s="47">
        <v>0.28016203703703707</v>
      </c>
      <c r="U57" s="110">
        <v>14.950000000000019</v>
      </c>
      <c r="V57" s="111">
        <v>8.4475231746597039</v>
      </c>
      <c r="W57" s="112"/>
      <c r="X57" s="13"/>
      <c r="Y57" s="331"/>
      <c r="Z57" s="332"/>
      <c r="AA57" s="116">
        <f t="shared" si="26"/>
        <v>-382.48885051506159</v>
      </c>
      <c r="AB57" s="109">
        <f t="shared" si="27"/>
        <v>0.89375309707914952</v>
      </c>
      <c r="AC57" s="327"/>
    </row>
    <row r="58" spans="1:29" ht="15.75" customHeight="1">
      <c r="A58" s="356"/>
      <c r="B58" s="99" t="s">
        <v>121</v>
      </c>
      <c r="C58" s="329" t="s">
        <v>135</v>
      </c>
      <c r="D58" s="330"/>
      <c r="E58" s="100">
        <v>30</v>
      </c>
      <c r="F58" s="101">
        <v>1413</v>
      </c>
      <c r="G58" s="102">
        <f t="shared" si="28"/>
        <v>42390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3218.9106743701641</v>
      </c>
      <c r="N58" s="105">
        <f t="shared" si="22"/>
        <v>804.72766859254102</v>
      </c>
      <c r="O58" s="107">
        <f t="shared" si="23"/>
        <v>0</v>
      </c>
      <c r="P58" s="108">
        <f t="shared" si="24"/>
        <v>-95.272331407458978</v>
      </c>
      <c r="Q58" s="109">
        <f t="shared" si="25"/>
        <v>0.8941418539917122</v>
      </c>
      <c r="R58" s="322"/>
      <c r="S58" s="46">
        <v>0.2902777777777778</v>
      </c>
      <c r="T58" s="47">
        <v>0.30856481481481485</v>
      </c>
      <c r="U58" s="110">
        <v>14.566666666666652</v>
      </c>
      <c r="V58" s="111">
        <v>26.338102723707511</v>
      </c>
      <c r="W58" s="112"/>
      <c r="X58" s="13"/>
      <c r="Y58" s="331"/>
      <c r="Z58" s="332"/>
      <c r="AA58" s="116">
        <f t="shared" si="26"/>
        <v>-381.08932562983591</v>
      </c>
      <c r="AB58" s="109">
        <f t="shared" si="27"/>
        <v>0.8941418539917122</v>
      </c>
      <c r="AC58" s="327"/>
    </row>
    <row r="59" spans="1:29" ht="15.75" customHeight="1">
      <c r="A59" s="356"/>
      <c r="B59" s="99" t="s">
        <v>121</v>
      </c>
      <c r="C59" s="329" t="s">
        <v>136</v>
      </c>
      <c r="D59" s="330"/>
      <c r="E59" s="100">
        <v>30</v>
      </c>
      <c r="F59" s="101">
        <v>1690</v>
      </c>
      <c r="G59" s="102">
        <f t="shared" si="28"/>
        <v>50700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3018.0909012974694</v>
      </c>
      <c r="N59" s="105">
        <f t="shared" si="22"/>
        <v>754.52272532436734</v>
      </c>
      <c r="O59" s="107">
        <f t="shared" si="23"/>
        <v>0</v>
      </c>
      <c r="P59" s="108">
        <f t="shared" si="24"/>
        <v>-70.477274675632657</v>
      </c>
      <c r="Q59" s="109">
        <f t="shared" si="25"/>
        <v>0.91457300039317257</v>
      </c>
      <c r="R59" s="322"/>
      <c r="S59" s="46">
        <v>0.31875000000000003</v>
      </c>
      <c r="T59" s="47">
        <v>0.34207175925925931</v>
      </c>
      <c r="U59" s="110">
        <v>14.666666666666668</v>
      </c>
      <c r="V59" s="111">
        <v>33.597397598729849</v>
      </c>
      <c r="W59" s="112"/>
      <c r="X59" s="115"/>
      <c r="Y59" s="331"/>
      <c r="Z59" s="332"/>
      <c r="AA59" s="116">
        <f t="shared" si="26"/>
        <v>-281.90909870253063</v>
      </c>
      <c r="AB59" s="109">
        <f t="shared" si="27"/>
        <v>0.91457300039317257</v>
      </c>
      <c r="AC59" s="327"/>
    </row>
    <row r="60" spans="1:29" ht="15.75" customHeight="1">
      <c r="A60" s="357"/>
      <c r="B60" s="99" t="s">
        <v>121</v>
      </c>
      <c r="C60" s="329" t="s">
        <v>137</v>
      </c>
      <c r="D60" s="330"/>
      <c r="E60" s="100">
        <v>27.48</v>
      </c>
      <c r="F60" s="101">
        <v>2481</v>
      </c>
      <c r="G60" s="102">
        <f t="shared" si="28"/>
        <v>68177.88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3218.7658765915908</v>
      </c>
      <c r="N60" s="105">
        <f t="shared" si="22"/>
        <v>643.7531753183182</v>
      </c>
      <c r="O60" s="107">
        <f t="shared" si="23"/>
        <v>0</v>
      </c>
      <c r="P60" s="108">
        <f t="shared" si="24"/>
        <v>-76.246824681681801</v>
      </c>
      <c r="Q60" s="109">
        <f t="shared" si="25"/>
        <v>0.89410163238655305</v>
      </c>
      <c r="R60" s="322"/>
      <c r="S60" s="46">
        <v>0.35208333333333336</v>
      </c>
      <c r="T60" s="47">
        <v>0.38418981481481485</v>
      </c>
      <c r="U60" s="110">
        <v>15</v>
      </c>
      <c r="V60" s="111">
        <v>46.247538872765283</v>
      </c>
      <c r="W60" s="112"/>
      <c r="X60" s="115"/>
      <c r="Y60" s="331"/>
      <c r="Z60" s="332"/>
      <c r="AA60" s="116">
        <f t="shared" si="26"/>
        <v>-381.23412340840923</v>
      </c>
      <c r="AB60" s="109">
        <f t="shared" si="27"/>
        <v>0.89410163238655294</v>
      </c>
      <c r="AC60" s="327"/>
    </row>
    <row r="61" spans="1:29" ht="15.75" customHeight="1">
      <c r="A61" s="357"/>
      <c r="B61" s="99" t="s">
        <v>121</v>
      </c>
      <c r="C61" s="329" t="s">
        <v>138</v>
      </c>
      <c r="D61" s="330"/>
      <c r="E61" s="100">
        <v>18.18</v>
      </c>
      <c r="F61" s="101">
        <v>1597</v>
      </c>
      <c r="G61" s="120">
        <f t="shared" si="28"/>
        <v>29033.46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3214.80628075287</v>
      </c>
      <c r="N61" s="105">
        <f t="shared" si="22"/>
        <v>1071.6020935842901</v>
      </c>
      <c r="O61" s="107">
        <f t="shared" si="23"/>
        <v>0</v>
      </c>
      <c r="P61" s="108">
        <f t="shared" si="24"/>
        <v>-128.39790641570994</v>
      </c>
      <c r="Q61" s="109">
        <f t="shared" si="25"/>
        <v>0.89300174465357507</v>
      </c>
      <c r="R61" s="322"/>
      <c r="S61" s="46">
        <v>0.39444444444444449</v>
      </c>
      <c r="T61" s="119">
        <v>0.41513888888888895</v>
      </c>
      <c r="U61" s="110">
        <v>14.766666666666683</v>
      </c>
      <c r="V61" s="111">
        <v>29.805839491379889</v>
      </c>
      <c r="W61" s="112"/>
      <c r="X61" s="49"/>
      <c r="Y61" s="331"/>
      <c r="Z61" s="332"/>
      <c r="AA61" s="116">
        <f t="shared" si="26"/>
        <v>-385.19371924713005</v>
      </c>
      <c r="AB61" s="109">
        <f t="shared" si="27"/>
        <v>0.89300174465357496</v>
      </c>
      <c r="AC61" s="327"/>
    </row>
    <row r="62" spans="1:29" ht="15.75" customHeight="1">
      <c r="A62" s="357"/>
      <c r="B62" s="99" t="s">
        <v>121</v>
      </c>
      <c r="C62" s="329" t="s">
        <v>139</v>
      </c>
      <c r="D62" s="330"/>
      <c r="E62" s="100">
        <v>16.66</v>
      </c>
      <c r="F62" s="101">
        <v>3978</v>
      </c>
      <c r="G62" s="120">
        <f t="shared" si="28"/>
        <v>66273.48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3214.4673667940715</v>
      </c>
      <c r="N62" s="105">
        <f t="shared" si="22"/>
        <v>642.89347335881428</v>
      </c>
      <c r="O62" s="122">
        <f t="shared" si="23"/>
        <v>0</v>
      </c>
      <c r="P62" s="123">
        <f t="shared" si="24"/>
        <v>-77.106526641185724</v>
      </c>
      <c r="Q62" s="124">
        <f t="shared" si="25"/>
        <v>0.89290760188724205</v>
      </c>
      <c r="R62" s="322"/>
      <c r="S62" s="46">
        <v>0.42500000000000004</v>
      </c>
      <c r="T62" s="119">
        <v>0.47656250000000006</v>
      </c>
      <c r="U62" s="110">
        <v>15</v>
      </c>
      <c r="V62" s="111">
        <v>74.251803725121022</v>
      </c>
      <c r="W62" s="112"/>
      <c r="X62" s="115"/>
      <c r="Y62" s="331"/>
      <c r="Z62" s="332"/>
      <c r="AA62" s="116">
        <f t="shared" si="26"/>
        <v>-385.53263320592851</v>
      </c>
      <c r="AB62" s="109">
        <f t="shared" si="27"/>
        <v>0.89290760188724205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3188.5986581643656</v>
      </c>
      <c r="N72" s="137">
        <f>M72/L72</f>
        <v>769.66174507415712</v>
      </c>
      <c r="O72" s="138">
        <f>L72-I72</f>
        <v>0</v>
      </c>
      <c r="P72" s="139">
        <f>N72-K72</f>
        <v>-88.958944581015203</v>
      </c>
      <c r="Q72" s="140">
        <f>N72/K72</f>
        <v>0.89639319707431964</v>
      </c>
      <c r="R72" s="323"/>
      <c r="S72" s="141">
        <v>0.25</v>
      </c>
      <c r="T72" s="142">
        <v>0.47656250000000006</v>
      </c>
      <c r="U72" s="143"/>
      <c r="V72" s="165"/>
      <c r="W72" s="166"/>
      <c r="X72" s="137"/>
      <c r="Y72" s="353"/>
      <c r="Z72" s="354"/>
      <c r="AA72" s="167">
        <f>M72-J72</f>
        <v>-368.54419897849175</v>
      </c>
      <c r="AB72" s="140">
        <f>M72/J72</f>
        <v>0.89639319707431964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1311</v>
      </c>
      <c r="G73" s="147">
        <f t="shared" ref="G73:G75" si="33">E73*F73</f>
        <v>37455.269999999997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3120.1540871335465</v>
      </c>
      <c r="N73" s="151">
        <f>M73/L73</f>
        <v>260.0128405944622</v>
      </c>
      <c r="O73" s="153">
        <f>L73-I73</f>
        <v>0</v>
      </c>
      <c r="P73" s="154">
        <f>N73-K73</f>
        <v>-39.987159405537795</v>
      </c>
      <c r="Q73" s="155">
        <f>N73/K73</f>
        <v>0.8667094686482073</v>
      </c>
      <c r="R73" s="321">
        <f>Q89</f>
        <v>0.89340570835691735</v>
      </c>
      <c r="S73" s="156">
        <v>0.70833333333333337</v>
      </c>
      <c r="T73" s="157">
        <v>0.72583333333333333</v>
      </c>
      <c r="U73" s="158"/>
      <c r="V73" s="159">
        <v>25.210293403254369</v>
      </c>
      <c r="W73" s="157"/>
      <c r="X73" s="168"/>
      <c r="Y73" s="324"/>
      <c r="Z73" s="325"/>
      <c r="AA73" s="114">
        <f>M73-J73</f>
        <v>-479.84591286645355</v>
      </c>
      <c r="AB73" s="155">
        <f>M73/J73</f>
        <v>0.8667094686482073</v>
      </c>
      <c r="AC73" s="326">
        <f>AB89</f>
        <v>0.89340570835691724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429</v>
      </c>
      <c r="G74" s="102">
        <f t="shared" si="33"/>
        <v>7597.59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3263.7177978418799</v>
      </c>
      <c r="N74" s="105">
        <f>M74/L74</f>
        <v>652.74355956837599</v>
      </c>
      <c r="O74" s="107">
        <f>L74-I74</f>
        <v>0</v>
      </c>
      <c r="P74" s="108">
        <f>N74-K74</f>
        <v>-67.256440431624014</v>
      </c>
      <c r="Q74" s="109">
        <f>N74/K74</f>
        <v>0.90658827717829993</v>
      </c>
      <c r="R74" s="322"/>
      <c r="S74" s="46">
        <v>0.72916666666666674</v>
      </c>
      <c r="T74" s="47">
        <v>0.73464120370370378</v>
      </c>
      <c r="U74" s="110">
        <v>4.8000000000001108</v>
      </c>
      <c r="V74" s="111">
        <v>7.8867112888928297</v>
      </c>
      <c r="W74" s="112"/>
      <c r="X74" s="13"/>
      <c r="Y74" s="331"/>
      <c r="Z74" s="332"/>
      <c r="AA74" s="116">
        <f>M74-J74</f>
        <v>-336.28220215812007</v>
      </c>
      <c r="AB74" s="109">
        <f>M74/J74</f>
        <v>0.90658827717829993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889</v>
      </c>
      <c r="G75" s="102">
        <f t="shared" si="33"/>
        <v>16819.88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3264.9097652792798</v>
      </c>
      <c r="N75" s="105">
        <f>M75/L75</f>
        <v>652.98195305585591</v>
      </c>
      <c r="O75" s="107">
        <f>L75-I75</f>
        <v>0</v>
      </c>
      <c r="P75" s="108">
        <f>N75-K75</f>
        <v>-67.018046944144089</v>
      </c>
      <c r="Q75" s="109">
        <f>N75/K75</f>
        <v>0.90691937924424437</v>
      </c>
      <c r="R75" s="322"/>
      <c r="S75" s="46">
        <v>0.73750000000000004</v>
      </c>
      <c r="T75" s="47">
        <v>0.74884259259259267</v>
      </c>
      <c r="U75" s="110">
        <v>5</v>
      </c>
      <c r="V75" s="111">
        <v>16.337358100136438</v>
      </c>
      <c r="W75" s="112"/>
      <c r="X75" s="13"/>
      <c r="Y75" s="331"/>
      <c r="Z75" s="332"/>
      <c r="AA75" s="116">
        <f>M75-J75</f>
        <v>-335.09023472072022</v>
      </c>
      <c r="AB75" s="109">
        <f>M75/J75</f>
        <v>0.90691937924424437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3216.2605500849022</v>
      </c>
      <c r="N89" s="137">
        <f t="shared" ref="N89:N94" si="37">M89/L89</f>
        <v>438.5809841024867</v>
      </c>
      <c r="O89" s="138">
        <f t="shared" ref="O89:O94" si="38">L89-I89</f>
        <v>0</v>
      </c>
      <c r="P89" s="139">
        <f t="shared" ref="P89:P94" si="39">N89-K89</f>
        <v>-52.328106806604239</v>
      </c>
      <c r="Q89" s="140">
        <f t="shared" ref="Q89:Q94" si="40">N89/K89</f>
        <v>0.89340570835691735</v>
      </c>
      <c r="R89" s="323"/>
      <c r="S89" s="141">
        <v>0.70833333333333337</v>
      </c>
      <c r="T89" s="142">
        <v>0.74884259259259267</v>
      </c>
      <c r="U89" s="143"/>
      <c r="V89" s="165"/>
      <c r="W89" s="166"/>
      <c r="X89" s="137"/>
      <c r="Y89" s="353"/>
      <c r="Z89" s="354"/>
      <c r="AA89" s="167">
        <f t="shared" ref="AA89:AA94" si="41">M89-J89</f>
        <v>-383.73944991509779</v>
      </c>
      <c r="AB89" s="140">
        <f t="shared" ref="AB89:AB94" si="42">M89/J89</f>
        <v>0.89340570835691724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403</v>
      </c>
      <c r="G90" s="147">
        <f t="shared" ref="G90:G94" si="43">E90*F90</f>
        <v>9377.81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2740.8771411010994</v>
      </c>
      <c r="N90" s="151">
        <f t="shared" si="37"/>
        <v>548.17542822021983</v>
      </c>
      <c r="O90" s="153">
        <f t="shared" si="38"/>
        <v>0</v>
      </c>
      <c r="P90" s="154">
        <f t="shared" si="39"/>
        <v>-51.824571779780172</v>
      </c>
      <c r="Q90" s="155">
        <f t="shared" si="40"/>
        <v>0.91362571370036638</v>
      </c>
      <c r="R90" s="321">
        <f>Q106</f>
        <v>0.91298390985482136</v>
      </c>
      <c r="S90" s="156">
        <v>0.70833333333333337</v>
      </c>
      <c r="T90" s="157">
        <v>0.71445601851851859</v>
      </c>
      <c r="U90" s="158"/>
      <c r="V90" s="159">
        <v>8.8219933821207714</v>
      </c>
      <c r="W90" s="160"/>
      <c r="X90" s="161"/>
      <c r="Y90" s="324"/>
      <c r="Z90" s="325"/>
      <c r="AA90" s="114">
        <f t="shared" si="41"/>
        <v>-259.12285889890063</v>
      </c>
      <c r="AB90" s="155">
        <f t="shared" si="42"/>
        <v>0.91362571370036649</v>
      </c>
      <c r="AC90" s="326">
        <f>AB106</f>
        <v>0.91298390985482136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1132</v>
      </c>
      <c r="G91" s="102">
        <f t="shared" si="43"/>
        <v>27779.279999999999</v>
      </c>
      <c r="H91" s="26"/>
      <c r="I91" s="103">
        <v>4</v>
      </c>
      <c r="J91" s="104">
        <v>3000</v>
      </c>
      <c r="K91" s="105">
        <f t="shared" ref="K91:K134" si="44">J91/I91</f>
        <v>750</v>
      </c>
      <c r="L91" s="106">
        <v>4</v>
      </c>
      <c r="M91" s="104">
        <f>F91/V91*60</f>
        <v>2739.9099097226472</v>
      </c>
      <c r="N91" s="105">
        <f t="shared" si="37"/>
        <v>684.97747743066179</v>
      </c>
      <c r="O91" s="107">
        <f t="shared" si="38"/>
        <v>0</v>
      </c>
      <c r="P91" s="108">
        <f t="shared" si="39"/>
        <v>-65.022522569338207</v>
      </c>
      <c r="Q91" s="109">
        <f t="shared" si="40"/>
        <v>0.91330330324088238</v>
      </c>
      <c r="R91" s="322"/>
      <c r="S91" s="46">
        <v>0.71805555555555556</v>
      </c>
      <c r="T91" s="47">
        <v>0.73526620370370366</v>
      </c>
      <c r="U91" s="110">
        <v>5.1833333333332376</v>
      </c>
      <c r="V91" s="111">
        <v>24.789136226335025</v>
      </c>
      <c r="W91" s="112"/>
      <c r="X91" s="115"/>
      <c r="Y91" s="331"/>
      <c r="Z91" s="332"/>
      <c r="AA91" s="116">
        <f t="shared" si="41"/>
        <v>-260.09009027735283</v>
      </c>
      <c r="AB91" s="109">
        <f t="shared" si="42"/>
        <v>0.91330330324088238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1218</v>
      </c>
      <c r="G92" s="102">
        <f t="shared" si="43"/>
        <v>29633.94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2737.5850913032709</v>
      </c>
      <c r="N92" s="105">
        <f t="shared" si="37"/>
        <v>684.39627282581773</v>
      </c>
      <c r="O92" s="107">
        <f t="shared" si="38"/>
        <v>0</v>
      </c>
      <c r="P92" s="108">
        <f t="shared" si="39"/>
        <v>-65.603727174182268</v>
      </c>
      <c r="Q92" s="109">
        <f t="shared" si="40"/>
        <v>0.91252836376775692</v>
      </c>
      <c r="R92" s="322"/>
      <c r="S92" s="46">
        <v>0.73888888888888893</v>
      </c>
      <c r="T92" s="47">
        <v>0.75741898148148157</v>
      </c>
      <c r="U92" s="110">
        <v>5.2166666666667894</v>
      </c>
      <c r="V92" s="111">
        <v>26.695060632876658</v>
      </c>
      <c r="W92" s="112"/>
      <c r="X92" s="115"/>
      <c r="Y92" s="331"/>
      <c r="Z92" s="332"/>
      <c r="AA92" s="116">
        <f t="shared" si="41"/>
        <v>-262.41490869672907</v>
      </c>
      <c r="AB92" s="109">
        <f t="shared" si="42"/>
        <v>0.91252836376775692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1336</v>
      </c>
      <c r="G93" s="102">
        <f t="shared" si="43"/>
        <v>29766.080000000002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3011.2887743904625</v>
      </c>
      <c r="N93" s="105">
        <f t="shared" si="37"/>
        <v>602.25775487809256</v>
      </c>
      <c r="O93" s="107">
        <f t="shared" si="38"/>
        <v>0</v>
      </c>
      <c r="P93" s="108">
        <f t="shared" si="39"/>
        <v>-57.742245121907445</v>
      </c>
      <c r="Q93" s="109">
        <f t="shared" si="40"/>
        <v>0.91251174981529171</v>
      </c>
      <c r="R93" s="322"/>
      <c r="S93" s="46">
        <v>0.76041666666666674</v>
      </c>
      <c r="T93" s="47">
        <v>0.778900462962963</v>
      </c>
      <c r="U93" s="110">
        <v>5</v>
      </c>
      <c r="V93" s="111">
        <v>26.619831575676692</v>
      </c>
      <c r="W93" s="112"/>
      <c r="X93" s="115"/>
      <c r="Y93" s="331"/>
      <c r="Z93" s="332"/>
      <c r="AA93" s="116">
        <f t="shared" si="41"/>
        <v>-288.71122560953745</v>
      </c>
      <c r="AB93" s="109">
        <f t="shared" si="42"/>
        <v>0.91251174981529171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4392</v>
      </c>
      <c r="G94" s="102">
        <f t="shared" si="43"/>
        <v>78572.88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3012.8880772177349</v>
      </c>
      <c r="N94" s="105">
        <f t="shared" si="37"/>
        <v>753.22201930443373</v>
      </c>
      <c r="O94" s="107">
        <f t="shared" si="38"/>
        <v>0</v>
      </c>
      <c r="P94" s="108">
        <f t="shared" si="39"/>
        <v>-71.777980695566271</v>
      </c>
      <c r="Q94" s="109">
        <f t="shared" si="40"/>
        <v>0.9129963870356772</v>
      </c>
      <c r="R94" s="322"/>
      <c r="S94" s="46">
        <v>0.78263888888888899</v>
      </c>
      <c r="T94" s="47">
        <v>0.84336805555555561</v>
      </c>
      <c r="U94" s="110">
        <v>5.3833333333334288</v>
      </c>
      <c r="V94" s="111">
        <v>87.464251325043818</v>
      </c>
      <c r="W94" s="112"/>
      <c r="X94" s="115"/>
      <c r="Y94" s="331"/>
      <c r="Z94" s="332"/>
      <c r="AA94" s="116">
        <f t="shared" si="41"/>
        <v>-287.11192278226508</v>
      </c>
      <c r="AB94" s="109">
        <f t="shared" si="42"/>
        <v>0.9129963870356772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2848.5097987470426</v>
      </c>
      <c r="N106" s="137">
        <f t="shared" ref="N106:N112" si="48">M106/L106</f>
        <v>647.38859062432778</v>
      </c>
      <c r="O106" s="138">
        <f t="shared" ref="O106:O112" si="49">L106-I106</f>
        <v>0</v>
      </c>
      <c r="P106" s="139">
        <f t="shared" ref="P106:P112" si="50">N106-K106</f>
        <v>-61.702318466581232</v>
      </c>
      <c r="Q106" s="140">
        <f t="shared" ref="Q106:Q112" si="51">N106/K106</f>
        <v>0.91298390985482136</v>
      </c>
      <c r="R106" s="323"/>
      <c r="S106" s="141">
        <v>0.70833333333333337</v>
      </c>
      <c r="T106" s="142">
        <v>0.84336805555555561</v>
      </c>
      <c r="U106" s="143"/>
      <c r="V106" s="165"/>
      <c r="W106" s="98"/>
      <c r="X106" s="68"/>
      <c r="Y106" s="353"/>
      <c r="Z106" s="354"/>
      <c r="AA106" s="167">
        <f t="shared" ref="AA106:AA112" si="52">M106-J106</f>
        <v>-271.49020125295738</v>
      </c>
      <c r="AB106" s="140">
        <f t="shared" ref="AB106:AB112" si="53">M106/J106</f>
        <v>0.91298390985482136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1751</v>
      </c>
      <c r="G107" s="147">
        <f t="shared" ref="G107:G112" si="54">E107*F107</f>
        <v>31833.18</v>
      </c>
      <c r="H107" s="148"/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2" si="55">F107/V107*60</f>
        <v>2741.5541168696368</v>
      </c>
      <c r="N107" s="151">
        <f t="shared" si="48"/>
        <v>913.8513722898789</v>
      </c>
      <c r="O107" s="153">
        <f t="shared" si="49"/>
        <v>0</v>
      </c>
      <c r="P107" s="154">
        <f t="shared" si="50"/>
        <v>-86.148627710121104</v>
      </c>
      <c r="Q107" s="155">
        <f t="shared" si="51"/>
        <v>0.91385137228987889</v>
      </c>
      <c r="R107" s="321">
        <f>Q123</f>
        <v>0.90305654526752854</v>
      </c>
      <c r="S107" s="156">
        <v>0.73055555555555562</v>
      </c>
      <c r="T107" s="157">
        <v>0.75716435185185194</v>
      </c>
      <c r="U107" s="158"/>
      <c r="V107" s="159">
        <v>38.321329990727918</v>
      </c>
      <c r="W107" s="160"/>
      <c r="X107" s="161"/>
      <c r="Y107" s="324"/>
      <c r="Z107" s="325"/>
      <c r="AA107" s="114">
        <f t="shared" si="52"/>
        <v>-258.4458831303632</v>
      </c>
      <c r="AB107" s="155">
        <f t="shared" si="53"/>
        <v>0.91385137228987889</v>
      </c>
      <c r="AC107" s="326">
        <f>AB123</f>
        <v>0.90305654526752854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1068</v>
      </c>
      <c r="G108" s="102">
        <f t="shared" si="54"/>
        <v>19416.239999999998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3219.0446169944898</v>
      </c>
      <c r="N108" s="105">
        <f t="shared" si="48"/>
        <v>1073.0148723314967</v>
      </c>
      <c r="O108" s="107">
        <f t="shared" si="49"/>
        <v>0</v>
      </c>
      <c r="P108" s="108">
        <f t="shared" si="50"/>
        <v>-126.98512766850331</v>
      </c>
      <c r="Q108" s="109">
        <f t="shared" si="51"/>
        <v>0.89417906027624727</v>
      </c>
      <c r="R108" s="322"/>
      <c r="S108" s="46">
        <v>0.76736111111111116</v>
      </c>
      <c r="T108" s="47">
        <v>0.78118055555555566</v>
      </c>
      <c r="U108" s="110">
        <v>14.683333333333284</v>
      </c>
      <c r="V108" s="111">
        <v>19.90652744037741</v>
      </c>
      <c r="W108" s="112"/>
      <c r="X108" s="115"/>
      <c r="Y108" s="331"/>
      <c r="Z108" s="332"/>
      <c r="AA108" s="116">
        <f t="shared" si="52"/>
        <v>-380.95538300551016</v>
      </c>
      <c r="AB108" s="109">
        <f t="shared" si="53"/>
        <v>0.89417906027624716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1791</v>
      </c>
      <c r="G109" s="102">
        <f t="shared" si="54"/>
        <v>25127.73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2741.8401003867821</v>
      </c>
      <c r="N109" s="105">
        <f t="shared" si="48"/>
        <v>913.94670012892732</v>
      </c>
      <c r="O109" s="107">
        <f t="shared" si="49"/>
        <v>0</v>
      </c>
      <c r="P109" s="108">
        <f t="shared" si="50"/>
        <v>-86.053299871072682</v>
      </c>
      <c r="Q109" s="109">
        <f t="shared" si="51"/>
        <v>0.91394670012892731</v>
      </c>
      <c r="R109" s="322"/>
      <c r="S109" s="46">
        <v>0.79097222222222219</v>
      </c>
      <c r="T109" s="47">
        <v>0.8181828703703703</v>
      </c>
      <c r="U109" s="110">
        <v>15</v>
      </c>
      <c r="V109" s="111">
        <v>39.192657509400711</v>
      </c>
      <c r="W109" s="112"/>
      <c r="X109" s="115"/>
      <c r="Y109" s="331"/>
      <c r="Z109" s="332"/>
      <c r="AA109" s="116">
        <f t="shared" si="52"/>
        <v>-258.15989961321793</v>
      </c>
      <c r="AB109" s="109">
        <f t="shared" si="53"/>
        <v>0.91394670012892731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2197</v>
      </c>
      <c r="G110" s="102">
        <f t="shared" si="54"/>
        <v>31373.16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3218.1203308296872</v>
      </c>
      <c r="N110" s="105">
        <f t="shared" si="48"/>
        <v>1072.706776943229</v>
      </c>
      <c r="O110" s="107">
        <f t="shared" si="49"/>
        <v>0</v>
      </c>
      <c r="P110" s="108">
        <f t="shared" si="50"/>
        <v>-127.29322305677101</v>
      </c>
      <c r="Q110" s="109">
        <f t="shared" si="51"/>
        <v>0.89392231411935752</v>
      </c>
      <c r="R110" s="322"/>
      <c r="S110" s="46">
        <v>0.82847222222222217</v>
      </c>
      <c r="T110" s="47">
        <v>0.85690972222222217</v>
      </c>
      <c r="U110" s="110">
        <v>14.816666666666691</v>
      </c>
      <c r="V110" s="111">
        <v>40.961799575099953</v>
      </c>
      <c r="W110" s="112"/>
      <c r="X110" s="115"/>
      <c r="Y110" s="331"/>
      <c r="Z110" s="332"/>
      <c r="AA110" s="116">
        <f t="shared" si="52"/>
        <v>-381.87966917031281</v>
      </c>
      <c r="AB110" s="109">
        <f t="shared" si="53"/>
        <v>0.89392231411935752</v>
      </c>
      <c r="AC110" s="327"/>
    </row>
    <row r="111" spans="1:29" ht="15.75" customHeight="1">
      <c r="A111" s="317"/>
      <c r="B111" s="99" t="s">
        <v>121</v>
      </c>
      <c r="C111" s="329" t="s">
        <v>153</v>
      </c>
      <c r="D111" s="330"/>
      <c r="E111" s="100">
        <v>14.03</v>
      </c>
      <c r="F111" s="101">
        <v>4642</v>
      </c>
      <c r="G111" s="102">
        <f t="shared" si="54"/>
        <v>65127.259999999995</v>
      </c>
      <c r="H111" s="26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2741.8401003867816</v>
      </c>
      <c r="N111" s="105">
        <f t="shared" si="48"/>
        <v>913.9467001289272</v>
      </c>
      <c r="O111" s="107">
        <f t="shared" si="49"/>
        <v>0</v>
      </c>
      <c r="P111" s="108">
        <f t="shared" si="50"/>
        <v>-86.053299871072795</v>
      </c>
      <c r="Q111" s="109">
        <f t="shared" si="51"/>
        <v>0.9139467001289272</v>
      </c>
      <c r="R111" s="322"/>
      <c r="S111" s="46">
        <v>0.86666666666666659</v>
      </c>
      <c r="T111" s="47">
        <v>0.93719907407407399</v>
      </c>
      <c r="U111" s="110">
        <v>15</v>
      </c>
      <c r="V111" s="111">
        <v>101.58141605730771</v>
      </c>
      <c r="W111" s="112"/>
      <c r="X111" s="115"/>
      <c r="Y111" s="331"/>
      <c r="Z111" s="332"/>
      <c r="AA111" s="116">
        <f t="shared" si="52"/>
        <v>-258.15989961321839</v>
      </c>
      <c r="AB111" s="109">
        <f t="shared" si="53"/>
        <v>0.9139467001289272</v>
      </c>
      <c r="AC111" s="327"/>
    </row>
    <row r="112" spans="1:29" ht="15.75" customHeight="1">
      <c r="A112" s="317"/>
      <c r="B112" s="99" t="s">
        <v>121</v>
      </c>
      <c r="C112" s="329" t="s">
        <v>154</v>
      </c>
      <c r="D112" s="330"/>
      <c r="E112" s="100">
        <v>14.28</v>
      </c>
      <c r="F112" s="101">
        <v>6041</v>
      </c>
      <c r="G112" s="120">
        <f t="shared" si="54"/>
        <v>86265.48</v>
      </c>
      <c r="H112" s="26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3218.1203308296867</v>
      </c>
      <c r="N112" s="105">
        <f t="shared" si="48"/>
        <v>1072.706776943229</v>
      </c>
      <c r="O112" s="107">
        <f t="shared" si="49"/>
        <v>0</v>
      </c>
      <c r="P112" s="108">
        <f t="shared" si="50"/>
        <v>-127.29322305677101</v>
      </c>
      <c r="Q112" s="109">
        <f t="shared" si="51"/>
        <v>0.89392231411935752</v>
      </c>
      <c r="R112" s="322"/>
      <c r="S112" s="46">
        <v>0.94722222222222208</v>
      </c>
      <c r="T112" s="119">
        <v>1.0254282407407407</v>
      </c>
      <c r="U112" s="110">
        <v>15</v>
      </c>
      <c r="V112" s="111">
        <v>112.63096551350881</v>
      </c>
      <c r="W112" s="112"/>
      <c r="X112" s="115"/>
      <c r="Y112" s="331"/>
      <c r="Z112" s="332"/>
      <c r="AA112" s="116">
        <f t="shared" si="52"/>
        <v>-381.87966917031326</v>
      </c>
      <c r="AB112" s="109">
        <f t="shared" si="53"/>
        <v>0.89392231411935741</v>
      </c>
      <c r="AC112" s="327"/>
    </row>
    <row r="113" spans="1:29" ht="15.75" customHeight="1">
      <c r="A113" s="317"/>
      <c r="B113" s="99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46"/>
      <c r="T113" s="119"/>
      <c r="U113" s="110"/>
      <c r="V113" s="111"/>
      <c r="W113" s="112"/>
      <c r="X113" s="115"/>
      <c r="Y113" s="331"/>
      <c r="Z113" s="332"/>
      <c r="AA113" s="116"/>
      <c r="AB113" s="109"/>
      <c r="AC113" s="327"/>
    </row>
    <row r="114" spans="1:29" ht="15.75" customHeight="1">
      <c r="A114" s="317"/>
      <c r="B114" s="99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46"/>
      <c r="T114" s="119"/>
      <c r="U114" s="110"/>
      <c r="V114" s="111"/>
      <c r="W114" s="112"/>
      <c r="X114" s="115"/>
      <c r="Y114" s="331"/>
      <c r="Z114" s="332"/>
      <c r="AA114" s="116"/>
      <c r="AB114" s="109"/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2980.0865993828443</v>
      </c>
      <c r="N123" s="137">
        <f t="shared" ref="N123:N134" si="59">M123/L123</f>
        <v>993.36219979428142</v>
      </c>
      <c r="O123" s="138">
        <f t="shared" ref="O123:O134" si="60">L123-I123</f>
        <v>0</v>
      </c>
      <c r="P123" s="139">
        <f t="shared" ref="P123:P134" si="61">N123-K123</f>
        <v>-106.63780020571858</v>
      </c>
      <c r="Q123" s="140">
        <f t="shared" ref="Q123:Q134" si="62">N123/K123</f>
        <v>0.90305654526752854</v>
      </c>
      <c r="R123" s="323"/>
      <c r="S123" s="141">
        <v>0.73055555555555562</v>
      </c>
      <c r="T123" s="142">
        <v>1.0254282407407407</v>
      </c>
      <c r="U123" s="143"/>
      <c r="V123" s="165"/>
      <c r="W123" s="98"/>
      <c r="X123" s="68"/>
      <c r="Y123" s="353"/>
      <c r="Z123" s="354"/>
      <c r="AA123" s="167">
        <f t="shared" ref="AA123:AA134" si="63">M123-J123</f>
        <v>-319.91340061715573</v>
      </c>
      <c r="AB123" s="140">
        <f t="shared" ref="AB123:AB134" si="64">M123/J123</f>
        <v>0.90305654526752854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385</v>
      </c>
      <c r="G124" s="147">
        <f t="shared" ref="G124:G134" si="65">E124*F124</f>
        <v>9636.5500000000011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4" si="66">F124/V124*60</f>
        <v>3217.0687436999588</v>
      </c>
      <c r="N124" s="151">
        <f t="shared" si="59"/>
        <v>643.41374873999177</v>
      </c>
      <c r="O124" s="153">
        <f t="shared" si="60"/>
        <v>0</v>
      </c>
      <c r="P124" s="154">
        <f t="shared" si="61"/>
        <v>-76.586251260008225</v>
      </c>
      <c r="Q124" s="155">
        <f t="shared" si="62"/>
        <v>0.89363020658332193</v>
      </c>
      <c r="R124" s="321">
        <f>Q140</f>
        <v>0.89355531070005267</v>
      </c>
      <c r="S124" s="156">
        <v>0.73541666666666661</v>
      </c>
      <c r="T124" s="157">
        <v>0.74039351851851842</v>
      </c>
      <c r="U124" s="158"/>
      <c r="V124" s="159">
        <v>7.1804496081214086</v>
      </c>
      <c r="W124" s="157"/>
      <c r="X124" s="168"/>
      <c r="Y124" s="324"/>
      <c r="Z124" s="325"/>
      <c r="AA124" s="170">
        <f t="shared" si="63"/>
        <v>-382.93125630004124</v>
      </c>
      <c r="AB124" s="155">
        <f t="shared" si="64"/>
        <v>0.89363020658332193</v>
      </c>
      <c r="AC124" s="326">
        <f>AB140</f>
        <v>0.89355531070005267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1178</v>
      </c>
      <c r="G125" s="102">
        <f t="shared" si="65"/>
        <v>19672.599999999999</v>
      </c>
      <c r="H125" s="26"/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3219.8038854278302</v>
      </c>
      <c r="N125" s="105">
        <f t="shared" si="59"/>
        <v>1073.2679618092768</v>
      </c>
      <c r="O125" s="107">
        <f t="shared" si="60"/>
        <v>0</v>
      </c>
      <c r="P125" s="108">
        <f t="shared" si="61"/>
        <v>-126.73203819072319</v>
      </c>
      <c r="Q125" s="109">
        <f t="shared" si="62"/>
        <v>0.89438996817439731</v>
      </c>
      <c r="R125" s="322"/>
      <c r="S125" s="46">
        <v>0.75069444444444433</v>
      </c>
      <c r="T125" s="47">
        <v>0.76593749999999994</v>
      </c>
      <c r="U125" s="110">
        <v>14.833333333333307</v>
      </c>
      <c r="V125" s="111">
        <v>21.951647527317778</v>
      </c>
      <c r="W125" s="112"/>
      <c r="X125" s="13"/>
      <c r="Y125" s="331"/>
      <c r="Z125" s="332"/>
      <c r="AA125" s="171">
        <f t="shared" si="63"/>
        <v>-380.19611457216979</v>
      </c>
      <c r="AB125" s="109">
        <f t="shared" si="64"/>
        <v>0.89438996817439731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575</v>
      </c>
      <c r="G126" s="102">
        <f t="shared" si="65"/>
        <v>17250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3214.5600309830334</v>
      </c>
      <c r="N126" s="105">
        <f t="shared" si="59"/>
        <v>803.64000774575834</v>
      </c>
      <c r="O126" s="107">
        <f t="shared" si="60"/>
        <v>0</v>
      </c>
      <c r="P126" s="108">
        <f t="shared" si="61"/>
        <v>-96.359992254241661</v>
      </c>
      <c r="Q126" s="109">
        <f t="shared" si="62"/>
        <v>0.89293334193973151</v>
      </c>
      <c r="R126" s="322"/>
      <c r="S126" s="46">
        <v>0.77569444444444424</v>
      </c>
      <c r="T126" s="47">
        <v>0.78313657407407389</v>
      </c>
      <c r="U126" s="110">
        <v>15</v>
      </c>
      <c r="V126" s="111">
        <v>10.732417396930577</v>
      </c>
      <c r="W126" s="112"/>
      <c r="X126" s="13"/>
      <c r="Y126" s="331"/>
      <c r="Z126" s="332"/>
      <c r="AA126" s="171">
        <f t="shared" si="63"/>
        <v>-385.43996901696664</v>
      </c>
      <c r="AB126" s="109">
        <f t="shared" si="64"/>
        <v>0.89293334193973151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590</v>
      </c>
      <c r="G127" s="102">
        <f t="shared" si="65"/>
        <v>14643.8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3217.3531506730574</v>
      </c>
      <c r="N127" s="105">
        <f t="shared" si="59"/>
        <v>643.4706301346115</v>
      </c>
      <c r="O127" s="107">
        <f t="shared" si="60"/>
        <v>0</v>
      </c>
      <c r="P127" s="108">
        <f t="shared" si="61"/>
        <v>-76.529369865388503</v>
      </c>
      <c r="Q127" s="109">
        <f t="shared" si="62"/>
        <v>0.89370920852029379</v>
      </c>
      <c r="R127" s="322"/>
      <c r="S127" s="46">
        <v>0.79305555555555529</v>
      </c>
      <c r="T127" s="47">
        <v>0.80069444444444415</v>
      </c>
      <c r="U127" s="110">
        <v>15</v>
      </c>
      <c r="V127" s="111">
        <v>11.00283318062068</v>
      </c>
      <c r="W127" s="112"/>
      <c r="X127" s="13"/>
      <c r="Y127" s="331"/>
      <c r="Z127" s="332"/>
      <c r="AA127" s="171">
        <f t="shared" si="63"/>
        <v>-382.64684932694263</v>
      </c>
      <c r="AB127" s="109">
        <f t="shared" si="64"/>
        <v>0.89370920852029367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839</v>
      </c>
      <c r="G128" s="102">
        <f t="shared" si="65"/>
        <v>15253.02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3216.0834114390855</v>
      </c>
      <c r="N128" s="105">
        <f t="shared" si="59"/>
        <v>1072.0278038130284</v>
      </c>
      <c r="O128" s="107">
        <f t="shared" si="60"/>
        <v>0</v>
      </c>
      <c r="P128" s="108">
        <f t="shared" si="61"/>
        <v>-127.97219618697159</v>
      </c>
      <c r="Q128" s="109">
        <f t="shared" si="62"/>
        <v>0.89335650317752369</v>
      </c>
      <c r="R128" s="322"/>
      <c r="S128" s="46">
        <v>0.81111111111111078</v>
      </c>
      <c r="T128" s="47">
        <v>0.82197916666666637</v>
      </c>
      <c r="U128" s="110">
        <v>14.999999999999947</v>
      </c>
      <c r="V128" s="111">
        <v>15.652579103187689</v>
      </c>
      <c r="W128" s="112"/>
      <c r="X128" s="115"/>
      <c r="Y128" s="331"/>
      <c r="Z128" s="332"/>
      <c r="AA128" s="171">
        <f t="shared" si="63"/>
        <v>-383.91658856091453</v>
      </c>
      <c r="AB128" s="109">
        <f t="shared" si="64"/>
        <v>0.89335650317752369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1816</v>
      </c>
      <c r="G129" s="120">
        <f t="shared" si="65"/>
        <v>30254.560000000001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3217.4278723519897</v>
      </c>
      <c r="N129" s="105">
        <f t="shared" si="59"/>
        <v>643.48557447039798</v>
      </c>
      <c r="O129" s="107">
        <f t="shared" si="60"/>
        <v>0</v>
      </c>
      <c r="P129" s="108">
        <f t="shared" si="61"/>
        <v>-76.514425529602022</v>
      </c>
      <c r="Q129" s="109">
        <f t="shared" si="62"/>
        <v>0.89372996454221942</v>
      </c>
      <c r="R129" s="322"/>
      <c r="S129" s="46">
        <v>0.83194444444444404</v>
      </c>
      <c r="T129" s="119">
        <v>0.8554513888888885</v>
      </c>
      <c r="U129" s="110">
        <v>15</v>
      </c>
      <c r="V129" s="111">
        <v>33.865561039088206</v>
      </c>
      <c r="W129" s="112"/>
      <c r="X129" s="49"/>
      <c r="Y129" s="331"/>
      <c r="Z129" s="332"/>
      <c r="AA129" s="171">
        <f t="shared" si="63"/>
        <v>-382.57212764801034</v>
      </c>
      <c r="AB129" s="109">
        <f t="shared" si="64"/>
        <v>0.89372996454221931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831</v>
      </c>
      <c r="G130" s="120">
        <f t="shared" si="65"/>
        <v>20799.93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3217.0687436999583</v>
      </c>
      <c r="N130" s="105">
        <f t="shared" si="59"/>
        <v>643.41374873999166</v>
      </c>
      <c r="O130" s="122">
        <f t="shared" si="60"/>
        <v>0</v>
      </c>
      <c r="P130" s="123">
        <f t="shared" si="61"/>
        <v>-76.586251260008339</v>
      </c>
      <c r="Q130" s="124">
        <f t="shared" si="62"/>
        <v>0.89363020658332171</v>
      </c>
      <c r="R130" s="322"/>
      <c r="S130" s="46">
        <v>0.86527777777777737</v>
      </c>
      <c r="T130" s="119">
        <v>0.87603009259259224</v>
      </c>
      <c r="U130" s="110">
        <v>15</v>
      </c>
      <c r="V130" s="111">
        <v>15.498580842464651</v>
      </c>
      <c r="W130" s="112"/>
      <c r="X130" s="115"/>
      <c r="Y130" s="331"/>
      <c r="Z130" s="332"/>
      <c r="AA130" s="171">
        <f t="shared" si="63"/>
        <v>-382.9312563000417</v>
      </c>
      <c r="AB130" s="109">
        <f t="shared" si="64"/>
        <v>0.89363020658332171</v>
      </c>
      <c r="AC130" s="327"/>
    </row>
    <row r="131" spans="1:29" ht="15.75" customHeight="1">
      <c r="A131" s="357"/>
      <c r="B131" s="99" t="s">
        <v>121</v>
      </c>
      <c r="C131" s="329" t="s">
        <v>158</v>
      </c>
      <c r="D131" s="330"/>
      <c r="E131" s="100">
        <v>30</v>
      </c>
      <c r="F131" s="101">
        <v>1378</v>
      </c>
      <c r="G131" s="120">
        <f t="shared" si="65"/>
        <v>41340</v>
      </c>
      <c r="H131" s="26"/>
      <c r="I131" s="103">
        <v>4</v>
      </c>
      <c r="J131" s="104">
        <v>3600</v>
      </c>
      <c r="K131" s="105">
        <f t="shared" si="44"/>
        <v>900</v>
      </c>
      <c r="L131" s="117">
        <v>4</v>
      </c>
      <c r="M131" s="104">
        <f t="shared" si="66"/>
        <v>3214.5600309830334</v>
      </c>
      <c r="N131" s="105">
        <f t="shared" si="59"/>
        <v>803.64000774575834</v>
      </c>
      <c r="O131" s="122">
        <f t="shared" si="60"/>
        <v>0</v>
      </c>
      <c r="P131" s="123">
        <f t="shared" si="61"/>
        <v>-96.359992254241661</v>
      </c>
      <c r="Q131" s="124">
        <f t="shared" si="62"/>
        <v>0.89293334193973151</v>
      </c>
      <c r="R131" s="322"/>
      <c r="S131" s="46">
        <v>0.88611111111111063</v>
      </c>
      <c r="T131" s="119">
        <v>0.9039699074074069</v>
      </c>
      <c r="U131" s="110">
        <v>14.516666666666485</v>
      </c>
      <c r="V131" s="111">
        <v>25.720471605165802</v>
      </c>
      <c r="W131" s="112"/>
      <c r="X131" s="115"/>
      <c r="Y131" s="331"/>
      <c r="Z131" s="332"/>
      <c r="AA131" s="171">
        <f t="shared" si="63"/>
        <v>-385.43996901696664</v>
      </c>
      <c r="AB131" s="109">
        <f t="shared" si="64"/>
        <v>0.89293334193973151</v>
      </c>
      <c r="AC131" s="327"/>
    </row>
    <row r="132" spans="1:29" ht="15.75" customHeight="1">
      <c r="A132" s="357"/>
      <c r="B132" s="99" t="s">
        <v>121</v>
      </c>
      <c r="C132" s="329" t="s">
        <v>159</v>
      </c>
      <c r="D132" s="330"/>
      <c r="E132" s="100">
        <v>24.82</v>
      </c>
      <c r="F132" s="101">
        <v>1352</v>
      </c>
      <c r="G132" s="120">
        <f t="shared" si="65"/>
        <v>33556.639999999999</v>
      </c>
      <c r="H132" s="26"/>
      <c r="I132" s="103">
        <v>5</v>
      </c>
      <c r="J132" s="104">
        <v>3600</v>
      </c>
      <c r="K132" s="105">
        <f t="shared" si="44"/>
        <v>720</v>
      </c>
      <c r="L132" s="117">
        <v>5</v>
      </c>
      <c r="M132" s="104">
        <f t="shared" si="66"/>
        <v>3217.3531506730569</v>
      </c>
      <c r="N132" s="105">
        <f t="shared" si="59"/>
        <v>643.47063013461138</v>
      </c>
      <c r="O132" s="122">
        <f t="shared" si="60"/>
        <v>0</v>
      </c>
      <c r="P132" s="123">
        <f t="shared" si="61"/>
        <v>-76.529369865388617</v>
      </c>
      <c r="Q132" s="124">
        <f t="shared" si="62"/>
        <v>0.89370920852029356</v>
      </c>
      <c r="R132" s="322"/>
      <c r="S132" s="46">
        <v>0.91388888888888842</v>
      </c>
      <c r="T132" s="119">
        <v>0.93138888888888838</v>
      </c>
      <c r="U132" s="110">
        <v>15</v>
      </c>
      <c r="V132" s="111">
        <v>25.213271966439258</v>
      </c>
      <c r="W132" s="125"/>
      <c r="X132" s="126"/>
      <c r="Y132" s="331"/>
      <c r="Z132" s="332"/>
      <c r="AA132" s="171">
        <f t="shared" si="63"/>
        <v>-382.64684932694308</v>
      </c>
      <c r="AB132" s="109">
        <f t="shared" si="64"/>
        <v>0.89370920852029356</v>
      </c>
      <c r="AC132" s="327"/>
    </row>
    <row r="133" spans="1:29" ht="15.75" customHeight="1">
      <c r="A133" s="357"/>
      <c r="B133" s="99" t="s">
        <v>121</v>
      </c>
      <c r="C133" s="329" t="s">
        <v>160</v>
      </c>
      <c r="D133" s="330"/>
      <c r="E133" s="100">
        <v>18.18</v>
      </c>
      <c r="F133" s="101">
        <v>2156</v>
      </c>
      <c r="G133" s="120">
        <f t="shared" si="65"/>
        <v>39196.080000000002</v>
      </c>
      <c r="H133" s="26"/>
      <c r="I133" s="103">
        <v>3</v>
      </c>
      <c r="J133" s="104">
        <v>3600</v>
      </c>
      <c r="K133" s="105">
        <f t="shared" si="44"/>
        <v>1200</v>
      </c>
      <c r="L133" s="117">
        <v>3</v>
      </c>
      <c r="M133" s="104">
        <f t="shared" si="66"/>
        <v>3216.0834114390855</v>
      </c>
      <c r="N133" s="105">
        <f t="shared" si="59"/>
        <v>1072.0278038130284</v>
      </c>
      <c r="O133" s="122">
        <f t="shared" si="60"/>
        <v>0</v>
      </c>
      <c r="P133" s="123">
        <f t="shared" si="61"/>
        <v>-127.97219618697159</v>
      </c>
      <c r="Q133" s="124">
        <f t="shared" si="62"/>
        <v>0.89335650317752369</v>
      </c>
      <c r="R133" s="322"/>
      <c r="S133" s="46">
        <v>0.94166666666666621</v>
      </c>
      <c r="T133" s="119">
        <v>0.96959490740740695</v>
      </c>
      <c r="U133" s="110">
        <v>14.800000000000075</v>
      </c>
      <c r="V133" s="111">
        <v>40.222837361707576</v>
      </c>
      <c r="W133" s="125"/>
      <c r="X133" s="126"/>
      <c r="Y133" s="331"/>
      <c r="Z133" s="332"/>
      <c r="AA133" s="171">
        <f t="shared" si="63"/>
        <v>-383.91658856091453</v>
      </c>
      <c r="AB133" s="109">
        <f t="shared" si="64"/>
        <v>0.89335650317752369</v>
      </c>
      <c r="AC133" s="327"/>
    </row>
    <row r="134" spans="1:29" ht="15.75" customHeight="1">
      <c r="A134" s="357"/>
      <c r="B134" s="99" t="s">
        <v>121</v>
      </c>
      <c r="C134" s="329" t="s">
        <v>161</v>
      </c>
      <c r="D134" s="330"/>
      <c r="E134" s="100">
        <v>16.66</v>
      </c>
      <c r="F134" s="101">
        <v>4902</v>
      </c>
      <c r="G134" s="120">
        <f t="shared" si="65"/>
        <v>81667.320000000007</v>
      </c>
      <c r="H134" s="26"/>
      <c r="I134" s="103">
        <v>5</v>
      </c>
      <c r="J134" s="104">
        <v>3600</v>
      </c>
      <c r="K134" s="105">
        <f t="shared" si="44"/>
        <v>720</v>
      </c>
      <c r="L134" s="117">
        <v>5</v>
      </c>
      <c r="M134" s="104">
        <f t="shared" si="66"/>
        <v>3217.4278723519901</v>
      </c>
      <c r="N134" s="105">
        <f t="shared" si="59"/>
        <v>643.48557447039798</v>
      </c>
      <c r="O134" s="122">
        <f t="shared" si="60"/>
        <v>0</v>
      </c>
      <c r="P134" s="123">
        <f t="shared" si="61"/>
        <v>-76.514425529602022</v>
      </c>
      <c r="Q134" s="124">
        <f t="shared" si="62"/>
        <v>0.89372996454221942</v>
      </c>
      <c r="R134" s="322"/>
      <c r="S134" s="46">
        <v>0.97986111111111063</v>
      </c>
      <c r="T134" s="119">
        <v>1.0433333333333328</v>
      </c>
      <c r="U134" s="110">
        <v>14.783333333333299</v>
      </c>
      <c r="V134" s="111">
        <v>91.414636681503509</v>
      </c>
      <c r="W134" s="125"/>
      <c r="X134" s="126"/>
      <c r="Y134" s="331"/>
      <c r="Z134" s="332"/>
      <c r="AA134" s="171">
        <f t="shared" si="63"/>
        <v>-382.57212764800988</v>
      </c>
      <c r="AB134" s="109">
        <f t="shared" si="64"/>
        <v>0.89372996454221942</v>
      </c>
      <c r="AC134" s="327"/>
    </row>
    <row r="135" spans="1:29" ht="15.75" customHeight="1">
      <c r="A135" s="357"/>
      <c r="B135" s="99"/>
      <c r="C135" s="329"/>
      <c r="D135" s="330"/>
      <c r="E135" s="100"/>
      <c r="F135" s="101"/>
      <c r="G135" s="120"/>
      <c r="H135" s="26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25"/>
      <c r="X135" s="126"/>
      <c r="Y135" s="331"/>
      <c r="Z135" s="332"/>
      <c r="AA135" s="171"/>
      <c r="AB135" s="109"/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4.2727272727272725</v>
      </c>
      <c r="J140" s="136">
        <f t="shared" si="67"/>
        <v>3600</v>
      </c>
      <c r="K140" s="137">
        <f t="shared" ref="K140" si="68">J140/I140</f>
        <v>842.55319148936178</v>
      </c>
      <c r="L140" s="135">
        <f t="shared" ref="L140:M140" si="69">AVERAGE(L124:L139)</f>
        <v>4.2727272727272725</v>
      </c>
      <c r="M140" s="136">
        <f t="shared" si="69"/>
        <v>3216.7991185201895</v>
      </c>
      <c r="N140" s="137">
        <f>M140/L140</f>
        <v>752.8678788025976</v>
      </c>
      <c r="O140" s="138">
        <f>L140-I140</f>
        <v>0</v>
      </c>
      <c r="P140" s="139">
        <f>N140-K140</f>
        <v>-89.685312686764178</v>
      </c>
      <c r="Q140" s="140">
        <f>N140/K140</f>
        <v>0.89355531070005267</v>
      </c>
      <c r="R140" s="323"/>
      <c r="S140" s="141">
        <v>0.73541666666666661</v>
      </c>
      <c r="T140" s="142">
        <v>1.0433333333333328</v>
      </c>
      <c r="U140" s="143"/>
      <c r="V140" s="165"/>
      <c r="W140" s="166"/>
      <c r="X140" s="137"/>
      <c r="Y140" s="353"/>
      <c r="Z140" s="354"/>
      <c r="AA140" s="173">
        <f>M140-J140</f>
        <v>-383.2008814798105</v>
      </c>
      <c r="AB140" s="140">
        <f>M140/J140</f>
        <v>0.89355531070005267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60" priority="1" operator="greaterThan">
      <formula>0</formula>
    </cfRule>
  </conditionalFormatting>
  <conditionalFormatting sqref="P5:P140 AA5:AA140">
    <cfRule type="cellIs" dxfId="159" priority="4" operator="lessThan">
      <formula>0</formula>
    </cfRule>
  </conditionalFormatting>
  <conditionalFormatting sqref="Q5:Q140 AB5:AB140">
    <cfRule type="cellIs" dxfId="158" priority="2" operator="greaterThan">
      <formula>1</formula>
    </cfRule>
    <cfRule type="cellIs" dxfId="157" priority="3" operator="lessThan">
      <formula>0.8</formula>
    </cfRule>
  </conditionalFormatting>
  <conditionalFormatting sqref="AC5:AC6 R5:R140 AC73:AC78">
    <cfRule type="cellIs" dxfId="156" priority="5" operator="lessThan">
      <formula>0.8</formula>
    </cfRule>
  </conditionalFormatting>
  <conditionalFormatting sqref="AC12:AC20">
    <cfRule type="cellIs" dxfId="155" priority="12" operator="lessThan">
      <formula>0.8</formula>
    </cfRule>
  </conditionalFormatting>
  <conditionalFormatting sqref="AC22">
    <cfRule type="cellIs" dxfId="154" priority="11" operator="lessThan">
      <formula>0.8</formula>
    </cfRule>
  </conditionalFormatting>
  <conditionalFormatting sqref="AC39">
    <cfRule type="cellIs" dxfId="153" priority="7" operator="lessThan">
      <formula>0.8</formula>
    </cfRule>
  </conditionalFormatting>
  <conditionalFormatting sqref="AC56:AC61">
    <cfRule type="cellIs" dxfId="152" priority="6" operator="lessThan">
      <formula>0.8</formula>
    </cfRule>
  </conditionalFormatting>
  <conditionalFormatting sqref="AC90">
    <cfRule type="cellIs" dxfId="151" priority="10" operator="lessThan">
      <formula>0.8</formula>
    </cfRule>
  </conditionalFormatting>
  <conditionalFormatting sqref="AC107">
    <cfRule type="cellIs" dxfId="150" priority="9" operator="lessThan">
      <formula>0.8</formula>
    </cfRule>
  </conditionalFormatting>
  <conditionalFormatting sqref="AC124:AC129">
    <cfRule type="cellIs" dxfId="149" priority="8" operator="lessThan">
      <formula>0.8</formula>
    </cfRule>
  </conditionalFormatting>
  <dataValidations count="1">
    <dataValidation type="list" allowBlank="1" showInputMessage="1" showErrorMessage="1" sqref="Y5:Z140" xr:uid="{35230DF2-AF07-4EC4-B121-06AAF2D4EEE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FFC5-C34B-4797-8CD1-B9D5B28832EF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P41" sqref="P41"/>
      <selection activeCell="P41" sqref="P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74500</v>
      </c>
      <c r="E1" s="87" t="s">
        <v>4</v>
      </c>
      <c r="F1" s="88">
        <f>SUM(G5:G140)</f>
        <v>3205422.6599999997</v>
      </c>
      <c r="G1" s="89" t="s">
        <v>85</v>
      </c>
      <c r="H1" s="90">
        <f>L21+L38+L55+L72+L89+L106+L123+L140</f>
        <v>135.94444444444446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46241</v>
      </c>
      <c r="B2" s="294"/>
      <c r="C2" s="91" t="s">
        <v>41</v>
      </c>
      <c r="D2" s="92">
        <f>AVERAGE(N21,N38,N55,N72,N89,N106,N123,N140)</f>
        <v>201.8330910012881</v>
      </c>
      <c r="E2" s="92" t="s">
        <v>92</v>
      </c>
      <c r="F2" s="93">
        <f>F1/D1</f>
        <v>43.025807516778521</v>
      </c>
      <c r="G2" s="94" t="s">
        <v>93</v>
      </c>
      <c r="H2" s="95">
        <f>COUNT(H5:H140)</f>
        <v>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3603</v>
      </c>
      <c r="G5" s="147">
        <f t="shared" ref="G5:G8" si="0">E5*F5</f>
        <v>70979.099999999991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1083.0872881768491</v>
      </c>
      <c r="N5" s="151">
        <f>M5/L5</f>
        <v>83.314406782834553</v>
      </c>
      <c r="O5" s="153">
        <f>L5-I5</f>
        <v>0</v>
      </c>
      <c r="P5" s="154">
        <f>N5-K5</f>
        <v>-8.9932855248577539</v>
      </c>
      <c r="Q5" s="155">
        <f>N5/K5</f>
        <v>0.90257274014737432</v>
      </c>
      <c r="R5" s="321">
        <f>Q21</f>
        <v>0.90174640059816924</v>
      </c>
      <c r="S5" s="156">
        <v>0.20833333333333334</v>
      </c>
      <c r="T5" s="157">
        <v>0.34693287037037035</v>
      </c>
      <c r="U5" s="158"/>
      <c r="V5" s="159">
        <v>199.59610121903822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-116.91271182315086</v>
      </c>
      <c r="AF5" s="131">
        <f>M5/J5</f>
        <v>0.90257274014737432</v>
      </c>
      <c r="AG5" s="367">
        <f>AF21</f>
        <v>0.90174640059816924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3426</v>
      </c>
      <c r="G6" s="102">
        <f t="shared" si="0"/>
        <v>193329.18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1803.9548219448357</v>
      </c>
      <c r="N6" s="105">
        <f>M6/L6</f>
        <v>75.16478424770149</v>
      </c>
      <c r="O6" s="107">
        <f>L6-I6</f>
        <v>0</v>
      </c>
      <c r="P6" s="108">
        <f>N6-K6</f>
        <v>-8.1685490856318381</v>
      </c>
      <c r="Q6" s="109">
        <f>N6/K6</f>
        <v>0.9019774109724179</v>
      </c>
      <c r="R6" s="322"/>
      <c r="S6" s="46">
        <v>0.35069444444444442</v>
      </c>
      <c r="T6" s="47">
        <v>0.42981481481481476</v>
      </c>
      <c r="U6" s="110">
        <v>5.4166666666666607</v>
      </c>
      <c r="V6" s="111">
        <v>113.94963859371306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-196.04517805516434</v>
      </c>
      <c r="AF6" s="109">
        <f>M6/J6</f>
        <v>0.90197741097241779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537</v>
      </c>
      <c r="G7" s="102">
        <f t="shared" si="0"/>
        <v>41536.949999999997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1802.6216040393497</v>
      </c>
      <c r="N7" s="105">
        <f>M7/L7</f>
        <v>72.104864161573985</v>
      </c>
      <c r="O7" s="107">
        <f>L7-I7</f>
        <v>0</v>
      </c>
      <c r="P7" s="108">
        <f>N7-K7</f>
        <v>-7.8951358384260146</v>
      </c>
      <c r="Q7" s="109">
        <f>N7/K7</f>
        <v>0.90131080201967484</v>
      </c>
      <c r="R7" s="322"/>
      <c r="S7" s="46">
        <v>0.43333333333333329</v>
      </c>
      <c r="T7" s="47">
        <v>0.44574074074074072</v>
      </c>
      <c r="U7" s="110">
        <v>5.066666666666686</v>
      </c>
      <c r="V7" s="111">
        <v>17.873967519195819</v>
      </c>
      <c r="W7" s="112">
        <v>0.44574074074074072</v>
      </c>
      <c r="X7" s="115">
        <v>0.48333333333333328</v>
      </c>
      <c r="Y7" s="12"/>
      <c r="Z7" s="197"/>
      <c r="AA7" s="331"/>
      <c r="AB7" s="332"/>
      <c r="AC7" s="12"/>
      <c r="AD7" s="197"/>
      <c r="AE7" s="116">
        <f>M7-J7</f>
        <v>-197.37839596065032</v>
      </c>
      <c r="AF7" s="109">
        <f>M7/J7</f>
        <v>0.90131080201967484</v>
      </c>
      <c r="AG7" s="368"/>
    </row>
    <row r="8" spans="1:33" ht="15.75" customHeight="1">
      <c r="A8" s="317"/>
      <c r="B8" s="99" t="s">
        <v>188</v>
      </c>
      <c r="C8" s="370" t="s">
        <v>190</v>
      </c>
      <c r="D8" s="370"/>
      <c r="E8" s="100">
        <v>59.52</v>
      </c>
      <c r="F8" s="101">
        <v>3279</v>
      </c>
      <c r="G8" s="102">
        <f t="shared" si="0"/>
        <v>195166.08000000002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1802.9103701457843</v>
      </c>
      <c r="N8" s="105">
        <f>M8/L8</f>
        <v>75.121265422741018</v>
      </c>
      <c r="O8" s="107">
        <f>L8-I8</f>
        <v>0</v>
      </c>
      <c r="P8" s="108">
        <f>N8-K8</f>
        <v>-8.2120679105923102</v>
      </c>
      <c r="Q8" s="109">
        <f>N8/K8</f>
        <v>0.90145518507289224</v>
      </c>
      <c r="R8" s="322"/>
      <c r="S8" s="46">
        <v>0.48333333333333328</v>
      </c>
      <c r="T8" s="47">
        <v>0.55910879629629628</v>
      </c>
      <c r="U8" s="110">
        <v>55</v>
      </c>
      <c r="V8" s="111">
        <v>109.12356113637057</v>
      </c>
      <c r="W8" s="112"/>
      <c r="X8" s="115"/>
      <c r="Y8" s="12"/>
      <c r="Z8" s="197"/>
      <c r="AA8" s="331"/>
      <c r="AB8" s="332"/>
      <c r="AC8" s="12"/>
      <c r="AD8" s="197"/>
      <c r="AE8" s="116">
        <f>M8-J8</f>
        <v>-197.08962985421567</v>
      </c>
      <c r="AF8" s="109">
        <f>M8/J8</f>
        <v>0.90145518507289213</v>
      </c>
      <c r="AG8" s="368"/>
    </row>
    <row r="9" spans="1:33" ht="15.75" customHeight="1">
      <c r="A9" s="317"/>
      <c r="B9" s="99"/>
      <c r="C9" s="370"/>
      <c r="D9" s="370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22"/>
      <c r="S9" s="46"/>
      <c r="T9" s="47"/>
      <c r="U9" s="110"/>
      <c r="V9" s="111"/>
      <c r="W9" s="112"/>
      <c r="X9" s="115"/>
      <c r="Y9" s="12"/>
      <c r="Z9" s="197"/>
      <c r="AA9" s="331"/>
      <c r="AB9" s="332"/>
      <c r="AC9" s="12"/>
      <c r="AD9" s="197"/>
      <c r="AE9" s="116"/>
      <c r="AF9" s="109"/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1623.1435210767047</v>
      </c>
      <c r="N21" s="137">
        <f t="shared" ref="N21:N28" si="5">M21/L21</f>
        <v>75.495047491939758</v>
      </c>
      <c r="O21" s="138">
        <f t="shared" ref="O21:O28" si="6">L21-I21</f>
        <v>0</v>
      </c>
      <c r="P21" s="139">
        <f t="shared" ref="P21:P28" si="7">N21-K21</f>
        <v>-8.2258827406183883</v>
      </c>
      <c r="Q21" s="140">
        <f t="shared" ref="Q21:Q28" si="8">N21/K21</f>
        <v>0.90174640059816924</v>
      </c>
      <c r="R21" s="323"/>
      <c r="S21" s="141">
        <v>0.20833333333333334</v>
      </c>
      <c r="T21" s="142">
        <v>0.55910879629629628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8" si="9">M21-J21</f>
        <v>-176.8564789232953</v>
      </c>
      <c r="AF21" s="140">
        <f t="shared" ref="AF21:AF28" si="10">M21/J21</f>
        <v>0.90174640059816924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1765</v>
      </c>
      <c r="G22" s="147">
        <f t="shared" ref="G22:G28" si="11">E22*F22</f>
        <v>64334.250000000007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1892.0183422374969</v>
      </c>
      <c r="N22" s="151">
        <f t="shared" si="5"/>
        <v>94.60091711187485</v>
      </c>
      <c r="O22" s="153">
        <f t="shared" si="6"/>
        <v>0</v>
      </c>
      <c r="P22" s="154">
        <f t="shared" si="7"/>
        <v>-10.39908288812515</v>
      </c>
      <c r="Q22" s="155">
        <f t="shared" si="8"/>
        <v>0.90096111535118906</v>
      </c>
      <c r="R22" s="321">
        <f>Q38</f>
        <v>0.90273885422126254</v>
      </c>
      <c r="S22" s="156">
        <v>0.20833333333333334</v>
      </c>
      <c r="T22" s="157">
        <v>0.2471990740740741</v>
      </c>
      <c r="U22" s="158"/>
      <c r="V22" s="159">
        <v>55.971973228738833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-207.98165776250312</v>
      </c>
      <c r="AF22" s="155">
        <f t="shared" si="10"/>
        <v>0.90096111535118895</v>
      </c>
      <c r="AG22" s="375">
        <f>AF38</f>
        <v>0.90996076505503265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1209</v>
      </c>
      <c r="G23" s="102">
        <f t="shared" si="11"/>
        <v>38349.479999999996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1804.627514282724</v>
      </c>
      <c r="N23" s="105">
        <f t="shared" si="5"/>
        <v>82.028523376487456</v>
      </c>
      <c r="O23" s="107">
        <f t="shared" si="6"/>
        <v>0</v>
      </c>
      <c r="P23" s="108">
        <f t="shared" si="7"/>
        <v>-8.8805675326034503</v>
      </c>
      <c r="Q23" s="109">
        <f t="shared" si="8"/>
        <v>0.90231375714136208</v>
      </c>
      <c r="R23" s="322"/>
      <c r="S23" s="46">
        <v>0.25</v>
      </c>
      <c r="T23" s="47">
        <v>0.27790509259259261</v>
      </c>
      <c r="U23" s="110">
        <v>5</v>
      </c>
      <c r="V23" s="111">
        <v>40.19666076566061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-195.37248571727605</v>
      </c>
      <c r="AF23" s="109">
        <f t="shared" si="10"/>
        <v>0.90231375714136197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1225</v>
      </c>
      <c r="G24" s="102">
        <f t="shared" si="11"/>
        <v>42617.75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1808.7279954925198</v>
      </c>
      <c r="N24" s="105">
        <f t="shared" si="5"/>
        <v>164.42981777204724</v>
      </c>
      <c r="O24" s="107">
        <f t="shared" si="6"/>
        <v>0</v>
      </c>
      <c r="P24" s="108">
        <f t="shared" si="7"/>
        <v>-17.388364046134569</v>
      </c>
      <c r="Q24" s="109">
        <f t="shared" si="8"/>
        <v>0.90436399774625986</v>
      </c>
      <c r="R24" s="322"/>
      <c r="S24" s="46">
        <v>0.28125</v>
      </c>
      <c r="T24" s="47">
        <v>0.3094675925925926</v>
      </c>
      <c r="U24" s="110">
        <v>4.8166666666666469</v>
      </c>
      <c r="V24" s="111">
        <v>40.636292567576376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-191.27200450748023</v>
      </c>
      <c r="AF24" s="109">
        <f t="shared" si="10"/>
        <v>0.90436399774625986</v>
      </c>
      <c r="AG24" s="368"/>
    </row>
    <row r="25" spans="1:33" ht="15.75" customHeight="1">
      <c r="A25" s="356"/>
      <c r="B25" s="162" t="s">
        <v>184</v>
      </c>
      <c r="C25" s="329" t="s">
        <v>235</v>
      </c>
      <c r="D25" s="330"/>
      <c r="E25" s="100">
        <v>33.200000000000003</v>
      </c>
      <c r="F25" s="110">
        <v>2192</v>
      </c>
      <c r="G25" s="102">
        <f t="shared" si="11"/>
        <v>72774.400000000009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1807.5993312037149</v>
      </c>
      <c r="N25" s="105">
        <f t="shared" si="5"/>
        <v>164.32721192761045</v>
      </c>
      <c r="O25" s="107">
        <f t="shared" si="6"/>
        <v>0</v>
      </c>
      <c r="P25" s="108">
        <f t="shared" si="7"/>
        <v>-17.490969890571364</v>
      </c>
      <c r="Q25" s="109">
        <f t="shared" si="8"/>
        <v>0.90379966560185754</v>
      </c>
      <c r="R25" s="322"/>
      <c r="S25" s="46">
        <v>0.3125</v>
      </c>
      <c r="T25" s="47">
        <v>0.36302083333333335</v>
      </c>
      <c r="U25" s="110">
        <v>5</v>
      </c>
      <c r="V25" s="111">
        <v>72.759486977912474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-192.40066879628512</v>
      </c>
      <c r="AF25" s="109">
        <f t="shared" si="10"/>
        <v>0.90379966560185743</v>
      </c>
      <c r="AG25" s="368"/>
    </row>
    <row r="26" spans="1:33" ht="15.75" customHeight="1">
      <c r="A26" s="357"/>
      <c r="B26" s="162" t="s">
        <v>184</v>
      </c>
      <c r="C26" s="329" t="s">
        <v>196</v>
      </c>
      <c r="D26" s="330"/>
      <c r="E26" s="100">
        <v>51.44</v>
      </c>
      <c r="F26" s="110">
        <v>1127</v>
      </c>
      <c r="G26" s="102">
        <f t="shared" si="11"/>
        <v>57972.88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1804.3709154418084</v>
      </c>
      <c r="N26" s="105">
        <f t="shared" si="5"/>
        <v>94.966890286410973</v>
      </c>
      <c r="O26" s="107">
        <f t="shared" si="6"/>
        <v>0</v>
      </c>
      <c r="P26" s="108">
        <f t="shared" si="7"/>
        <v>-10.296267608325863</v>
      </c>
      <c r="Q26" s="109">
        <f t="shared" si="8"/>
        <v>0.9021854577209043</v>
      </c>
      <c r="R26" s="322"/>
      <c r="S26" s="46">
        <v>0.3659722222222222</v>
      </c>
      <c r="T26" s="47">
        <v>0.3919907407407407</v>
      </c>
      <c r="U26" s="110">
        <v>5</v>
      </c>
      <c r="V26" s="111">
        <v>37.475665020594136</v>
      </c>
      <c r="W26" s="112"/>
      <c r="X26" s="115"/>
      <c r="Y26" s="12"/>
      <c r="Z26" s="197"/>
      <c r="AA26" s="331"/>
      <c r="AB26" s="332"/>
      <c r="AC26" s="12"/>
      <c r="AD26" s="197"/>
      <c r="AE26" s="116">
        <f t="shared" si="9"/>
        <v>-195.62908455819161</v>
      </c>
      <c r="AF26" s="109">
        <f t="shared" si="10"/>
        <v>0.90218545772090419</v>
      </c>
      <c r="AG26" s="368"/>
    </row>
    <row r="27" spans="1:33" ht="15.75" customHeight="1">
      <c r="A27" s="357"/>
      <c r="B27" s="162" t="s">
        <v>186</v>
      </c>
      <c r="C27" s="329" t="s">
        <v>197</v>
      </c>
      <c r="D27" s="330"/>
      <c r="E27" s="100">
        <v>46.34</v>
      </c>
      <c r="F27" s="110">
        <v>1712</v>
      </c>
      <c r="G27" s="120">
        <f t="shared" si="11"/>
        <v>79334.080000000002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1623.3449246155492</v>
      </c>
      <c r="N27" s="105">
        <f t="shared" si="5"/>
        <v>77.3021392674071</v>
      </c>
      <c r="O27" s="107">
        <f t="shared" si="6"/>
        <v>0</v>
      </c>
      <c r="P27" s="108">
        <f t="shared" si="7"/>
        <v>-8.4121464468786087</v>
      </c>
      <c r="Q27" s="109">
        <f t="shared" si="8"/>
        <v>0.90185829145308294</v>
      </c>
      <c r="R27" s="322"/>
      <c r="S27" s="46">
        <v>0.39583333333333331</v>
      </c>
      <c r="T27" s="119">
        <v>0.4397685185185185</v>
      </c>
      <c r="U27" s="110">
        <v>5.5333333333333723</v>
      </c>
      <c r="V27" s="111">
        <v>63.276755569569907</v>
      </c>
      <c r="W27" s="112">
        <v>0.4397685185185185</v>
      </c>
      <c r="X27" s="115">
        <v>0.47847222222222219</v>
      </c>
      <c r="Y27" s="12"/>
      <c r="Z27" s="197"/>
      <c r="AA27" s="331"/>
      <c r="AB27" s="332"/>
      <c r="AC27" s="12"/>
      <c r="AD27" s="197"/>
      <c r="AE27" s="116">
        <f t="shared" si="9"/>
        <v>-176.65507538445081</v>
      </c>
      <c r="AF27" s="109">
        <f t="shared" si="10"/>
        <v>0.90185829145308283</v>
      </c>
      <c r="AG27" s="368"/>
    </row>
    <row r="28" spans="1:33" ht="15.75" customHeight="1">
      <c r="A28" s="357"/>
      <c r="B28" s="162" t="s">
        <v>198</v>
      </c>
      <c r="C28" s="329" t="s">
        <v>199</v>
      </c>
      <c r="D28" s="330"/>
      <c r="E28" s="100">
        <v>29.97</v>
      </c>
      <c r="F28" s="110">
        <v>1475</v>
      </c>
      <c r="G28" s="120">
        <f t="shared" si="11"/>
        <v>44205.75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0.47847222222222219</v>
      </c>
      <c r="T28" s="119">
        <v>0.50186342592592592</v>
      </c>
      <c r="U28" s="110">
        <v>55.733333333333306</v>
      </c>
      <c r="V28" s="111">
        <v>33.693304535637154</v>
      </c>
      <c r="W28" s="112"/>
      <c r="X28" s="115"/>
      <c r="Y28" s="12"/>
      <c r="Z28" s="197"/>
      <c r="AA28" s="331"/>
      <c r="AB28" s="332"/>
      <c r="AC28" s="12"/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1909.6176626654899</v>
      </c>
      <c r="N38" s="137">
        <f t="shared" ref="N38:N44" si="16">M38/L38</f>
        <v>106.08987014808277</v>
      </c>
      <c r="O38" s="138">
        <f t="shared" ref="O38:O44" si="17">L38-I38</f>
        <v>0.14285714285714235</v>
      </c>
      <c r="P38" s="139">
        <f t="shared" ref="P38:P44" si="18">N38-K38</f>
        <v>-11.430129851917229</v>
      </c>
      <c r="Q38" s="140">
        <f t="shared" ref="Q38:Q44" si="19">N38/K38</f>
        <v>0.90273885422126254</v>
      </c>
      <c r="R38" s="323"/>
      <c r="S38" s="141">
        <v>0.20833333333333334</v>
      </c>
      <c r="T38" s="142">
        <v>0.50186342592592592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4" si="20">M38-J38</f>
        <v>-188.95376590593855</v>
      </c>
      <c r="AF38" s="140">
        <f t="shared" ref="AF38:AF44" si="21">M38/J38</f>
        <v>0.90996076505503265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1765</v>
      </c>
      <c r="G39" s="147">
        <f t="shared" ref="G39:G44" si="22">E39*F39</f>
        <v>94886.399999999994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1801.5482139012242</v>
      </c>
      <c r="N39" s="151">
        <f t="shared" si="16"/>
        <v>90.077410695061218</v>
      </c>
      <c r="O39" s="153">
        <f t="shared" si="17"/>
        <v>0</v>
      </c>
      <c r="P39" s="154">
        <f t="shared" si="18"/>
        <v>-9.9225893049387821</v>
      </c>
      <c r="Q39" s="155">
        <f t="shared" si="19"/>
        <v>0.90077410695061222</v>
      </c>
      <c r="R39" s="321">
        <f>Q55</f>
        <v>0.90104579545295937</v>
      </c>
      <c r="S39" s="156">
        <v>0.20833333333333334</v>
      </c>
      <c r="T39" s="157">
        <v>0.24914351851851851</v>
      </c>
      <c r="U39" s="158"/>
      <c r="V39" s="159">
        <v>58.782773163020281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-198.45178609877576</v>
      </c>
      <c r="AF39" s="155">
        <f t="shared" si="21"/>
        <v>0.90077410695061211</v>
      </c>
      <c r="AG39" s="326">
        <f>AF55</f>
        <v>0.90104579545295937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2035</v>
      </c>
      <c r="G40" s="102">
        <f t="shared" si="22"/>
        <v>145604.25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1802.213806724345</v>
      </c>
      <c r="N40" s="105">
        <f t="shared" si="16"/>
        <v>81.91880939656113</v>
      </c>
      <c r="O40" s="107">
        <f t="shared" si="17"/>
        <v>0</v>
      </c>
      <c r="P40" s="108">
        <f t="shared" si="18"/>
        <v>-8.9902815125297764</v>
      </c>
      <c r="Q40" s="109">
        <f t="shared" si="19"/>
        <v>0.90110690336217247</v>
      </c>
      <c r="R40" s="322"/>
      <c r="S40" s="46">
        <v>0.25208333333333333</v>
      </c>
      <c r="T40" s="47">
        <v>0.29913194444444446</v>
      </c>
      <c r="U40" s="110">
        <v>5</v>
      </c>
      <c r="V40" s="111">
        <v>67.750008098054494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-197.78619327565502</v>
      </c>
      <c r="AF40" s="109">
        <f t="shared" si="21"/>
        <v>0.90110690336217247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1617</v>
      </c>
      <c r="G41" s="102">
        <f t="shared" si="22"/>
        <v>103358.64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1803.7665741879887</v>
      </c>
      <c r="N41" s="105">
        <f t="shared" si="16"/>
        <v>75.15694059116619</v>
      </c>
      <c r="O41" s="107">
        <f t="shared" si="17"/>
        <v>0</v>
      </c>
      <c r="P41" s="108">
        <f t="shared" si="18"/>
        <v>-8.1763927421671383</v>
      </c>
      <c r="Q41" s="109">
        <f t="shared" si="19"/>
        <v>0.90188328709399435</v>
      </c>
      <c r="R41" s="322"/>
      <c r="S41" s="46">
        <v>0.30208333333333331</v>
      </c>
      <c r="T41" s="47">
        <v>0.33943287037037034</v>
      </c>
      <c r="U41" s="110">
        <v>5</v>
      </c>
      <c r="V41" s="111">
        <v>53.787447549124259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-196.23342581201132</v>
      </c>
      <c r="AF41" s="109">
        <f t="shared" si="21"/>
        <v>0.90188328709399435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2236</v>
      </c>
      <c r="G42" s="102">
        <f t="shared" si="22"/>
        <v>131186.12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1801.6615804078911</v>
      </c>
      <c r="N42" s="105">
        <f t="shared" si="16"/>
        <v>78.33311219164743</v>
      </c>
      <c r="O42" s="107">
        <f t="shared" si="17"/>
        <v>0</v>
      </c>
      <c r="P42" s="108">
        <f t="shared" si="18"/>
        <v>-8.623409547483007</v>
      </c>
      <c r="Q42" s="109">
        <f t="shared" si="19"/>
        <v>0.90083079020394541</v>
      </c>
      <c r="R42" s="322"/>
      <c r="S42" s="46">
        <v>0.34236111111111106</v>
      </c>
      <c r="T42" s="47">
        <v>0.39406249999999993</v>
      </c>
      <c r="U42" s="110">
        <v>5</v>
      </c>
      <c r="V42" s="111">
        <v>74.464595048769681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-198.33841959210895</v>
      </c>
      <c r="AF42" s="109">
        <f t="shared" si="21"/>
        <v>0.90083079020394552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1913</v>
      </c>
      <c r="G43" s="102">
        <f t="shared" si="22"/>
        <v>113900.02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1801.7796769384909</v>
      </c>
      <c r="N43" s="105">
        <f t="shared" si="16"/>
        <v>78.338246823412646</v>
      </c>
      <c r="O43" s="107">
        <f t="shared" si="17"/>
        <v>0</v>
      </c>
      <c r="P43" s="108">
        <f t="shared" si="18"/>
        <v>-8.6182749157177909</v>
      </c>
      <c r="Q43" s="109">
        <f t="shared" si="19"/>
        <v>0.90088983846924542</v>
      </c>
      <c r="R43" s="322"/>
      <c r="S43" s="46">
        <v>0.39791666666666659</v>
      </c>
      <c r="T43" s="47">
        <v>0.44215277777777767</v>
      </c>
      <c r="U43" s="110">
        <v>5.5499999999999883</v>
      </c>
      <c r="V43" s="111">
        <v>63.703682236570344</v>
      </c>
      <c r="W43" s="112">
        <v>0.44215277777777767</v>
      </c>
      <c r="X43" s="115">
        <v>0.48055555555555546</v>
      </c>
      <c r="Y43" s="12"/>
      <c r="Z43" s="197"/>
      <c r="AA43" s="331"/>
      <c r="AB43" s="332"/>
      <c r="AC43" s="12"/>
      <c r="AD43" s="197"/>
      <c r="AE43" s="116">
        <f t="shared" si="20"/>
        <v>-198.22032306150913</v>
      </c>
      <c r="AF43" s="109">
        <f t="shared" si="21"/>
        <v>0.90088983846924542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1831</v>
      </c>
      <c r="G44" s="120">
        <f t="shared" si="22"/>
        <v>111855.79000000001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1801.5796932755732</v>
      </c>
      <c r="N44" s="105">
        <f t="shared" si="16"/>
        <v>90.078984663778655</v>
      </c>
      <c r="O44" s="107">
        <f t="shared" si="17"/>
        <v>0</v>
      </c>
      <c r="P44" s="108">
        <f t="shared" si="18"/>
        <v>-9.9210153362213447</v>
      </c>
      <c r="Q44" s="109">
        <f t="shared" si="19"/>
        <v>0.90078984663778661</v>
      </c>
      <c r="R44" s="322"/>
      <c r="S44" s="46">
        <v>0.48055555555555546</v>
      </c>
      <c r="T44" s="119">
        <v>0.5228935185185184</v>
      </c>
      <c r="U44" s="110">
        <v>55.300000000000011</v>
      </c>
      <c r="V44" s="111">
        <v>60.979816996191907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-198.42030672442684</v>
      </c>
      <c r="AF44" s="109">
        <f t="shared" si="21"/>
        <v>0.90078984663778661</v>
      </c>
      <c r="AG44" s="327"/>
    </row>
    <row r="45" spans="1:33" ht="15.75" customHeight="1">
      <c r="A45" s="317"/>
      <c r="B45" s="162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118"/>
      <c r="T45" s="119"/>
      <c r="U45" s="110"/>
      <c r="V45" s="111"/>
      <c r="W45" s="119"/>
      <c r="X45" s="188"/>
      <c r="Y45" s="12"/>
      <c r="Z45" s="197"/>
      <c r="AA45" s="331"/>
      <c r="AB45" s="332"/>
      <c r="AC45" s="12"/>
      <c r="AD45" s="197"/>
      <c r="AE45" s="116"/>
      <c r="AF45" s="109"/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1802.0915909059188</v>
      </c>
      <c r="N55" s="137">
        <f t="shared" ref="N55:N64" si="27">M55/L55</f>
        <v>81.913254132087218</v>
      </c>
      <c r="O55" s="138">
        <f t="shared" ref="O55:O64" si="28">L55-I55</f>
        <v>0</v>
      </c>
      <c r="P55" s="139">
        <f t="shared" ref="P55:P64" si="29">N55-K55</f>
        <v>-8.9958367770036887</v>
      </c>
      <c r="Q55" s="140">
        <f t="shared" ref="Q55:Q64" si="30">N55/K55</f>
        <v>0.90104579545295937</v>
      </c>
      <c r="R55" s="323"/>
      <c r="S55" s="141">
        <v>0.20833333333333334</v>
      </c>
      <c r="T55" s="142">
        <v>0.5228935185185184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4" si="31">M55-J55</f>
        <v>-197.90840909408121</v>
      </c>
      <c r="AF55" s="140">
        <f t="shared" ref="AF55:AF64" si="32">M55/J55</f>
        <v>0.90104579545295937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2103</v>
      </c>
      <c r="G56" s="147">
        <f t="shared" ref="G56:G64" si="33">E56*F56</f>
        <v>60692.58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4" si="34">F56/V56*60</f>
        <v>3194.1487377304625</v>
      </c>
      <c r="N56" s="151">
        <f t="shared" si="27"/>
        <v>168.11309145949804</v>
      </c>
      <c r="O56" s="153">
        <f t="shared" si="28"/>
        <v>0</v>
      </c>
      <c r="P56" s="154">
        <f t="shared" si="29"/>
        <v>-21.360592751028292</v>
      </c>
      <c r="Q56" s="155">
        <f t="shared" si="30"/>
        <v>0.88726353825846183</v>
      </c>
      <c r="R56" s="321">
        <f>Q72</f>
        <v>0.89918819618076129</v>
      </c>
      <c r="S56" s="156">
        <v>0.20833333333333334</v>
      </c>
      <c r="T56" s="157">
        <v>0.23576388888888888</v>
      </c>
      <c r="U56" s="158"/>
      <c r="V56" s="159">
        <v>39.503482887166562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-405.85126226953753</v>
      </c>
      <c r="AF56" s="155">
        <f t="shared" si="32"/>
        <v>0.88726353825846183</v>
      </c>
      <c r="AG56" s="326">
        <f>AF72</f>
        <v>0.8991881961807614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2629</v>
      </c>
      <c r="G57" s="102">
        <f t="shared" si="33"/>
        <v>94354.81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3192.9909823780736</v>
      </c>
      <c r="N57" s="105">
        <f t="shared" si="27"/>
        <v>168.05215696726702</v>
      </c>
      <c r="O57" s="107">
        <f t="shared" si="28"/>
        <v>0</v>
      </c>
      <c r="P57" s="108">
        <f t="shared" si="29"/>
        <v>-21.421527243259305</v>
      </c>
      <c r="Q57" s="109">
        <f t="shared" si="30"/>
        <v>0.88694193954946476</v>
      </c>
      <c r="R57" s="322"/>
      <c r="S57" s="46">
        <v>0.23888888888888887</v>
      </c>
      <c r="T57" s="47">
        <v>0.27319444444444441</v>
      </c>
      <c r="U57" s="110">
        <v>5</v>
      </c>
      <c r="V57" s="111">
        <v>49.401955993786899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-407.00901762192643</v>
      </c>
      <c r="AF57" s="109">
        <f t="shared" si="32"/>
        <v>0.88694193954946488</v>
      </c>
      <c r="AG57" s="327"/>
    </row>
    <row r="58" spans="1:33" ht="15.75" customHeight="1">
      <c r="A58" s="356"/>
      <c r="B58" s="99" t="s">
        <v>208</v>
      </c>
      <c r="C58" s="370" t="s">
        <v>211</v>
      </c>
      <c r="D58" s="370"/>
      <c r="E58" s="100">
        <v>36.729999999999997</v>
      </c>
      <c r="F58" s="101">
        <v>3060</v>
      </c>
      <c r="G58" s="102">
        <f t="shared" si="33"/>
        <v>112393.79999999999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3146.5271564540126</v>
      </c>
      <c r="N58" s="105">
        <f t="shared" si="27"/>
        <v>149.83462649781012</v>
      </c>
      <c r="O58" s="107">
        <f t="shared" si="28"/>
        <v>0</v>
      </c>
      <c r="P58" s="108">
        <f t="shared" si="29"/>
        <v>-21.593944930761296</v>
      </c>
      <c r="Q58" s="109">
        <f t="shared" si="30"/>
        <v>0.87403532123722572</v>
      </c>
      <c r="R58" s="322"/>
      <c r="S58" s="46">
        <v>0.27638888888888885</v>
      </c>
      <c r="T58" s="47">
        <v>0.31690972222222219</v>
      </c>
      <c r="U58" s="110">
        <v>4.5999999999999996</v>
      </c>
      <c r="V58" s="111">
        <v>58.350044627267266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-453.47284354598742</v>
      </c>
      <c r="AF58" s="109">
        <f t="shared" si="32"/>
        <v>0.87403532123722572</v>
      </c>
      <c r="AG58" s="327"/>
    </row>
    <row r="59" spans="1:33" ht="15.75" customHeight="1">
      <c r="A59" s="356"/>
      <c r="B59" s="99" t="s">
        <v>208</v>
      </c>
      <c r="C59" s="370" t="s">
        <v>212</v>
      </c>
      <c r="D59" s="370"/>
      <c r="E59" s="100">
        <v>43.96</v>
      </c>
      <c r="F59" s="101">
        <v>1467</v>
      </c>
      <c r="G59" s="102">
        <f t="shared" si="33"/>
        <v>64489.32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3269.4283112263388</v>
      </c>
      <c r="N59" s="105">
        <f t="shared" si="27"/>
        <v>136.22617963443079</v>
      </c>
      <c r="O59" s="107">
        <f t="shared" si="28"/>
        <v>0</v>
      </c>
      <c r="P59" s="108">
        <f t="shared" si="29"/>
        <v>-13.773820365569208</v>
      </c>
      <c r="Q59" s="109">
        <f t="shared" si="30"/>
        <v>0.90817453089620526</v>
      </c>
      <c r="R59" s="322"/>
      <c r="S59" s="46">
        <v>0.3208333333333333</v>
      </c>
      <c r="T59" s="47">
        <v>0.33952546296296293</v>
      </c>
      <c r="U59" s="110">
        <v>5.6500000000000039</v>
      </c>
      <c r="V59" s="111">
        <v>26.922137946185565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-330.57168877366121</v>
      </c>
      <c r="AF59" s="199">
        <f t="shared" si="32"/>
        <v>0.90817453089620526</v>
      </c>
      <c r="AG59" s="327"/>
    </row>
    <row r="60" spans="1:33" ht="15.75" customHeight="1">
      <c r="A60" s="357"/>
      <c r="B60" s="99" t="s">
        <v>208</v>
      </c>
      <c r="C60" s="370" t="s">
        <v>213</v>
      </c>
      <c r="D60" s="370"/>
      <c r="E60" s="100">
        <v>46.93</v>
      </c>
      <c r="F60" s="104">
        <v>1041</v>
      </c>
      <c r="G60" s="102">
        <f t="shared" si="33"/>
        <v>48854.13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3268.8242866123496</v>
      </c>
      <c r="N60" s="105">
        <f t="shared" si="27"/>
        <v>136.20101194218122</v>
      </c>
      <c r="O60" s="107">
        <f t="shared" si="28"/>
        <v>0</v>
      </c>
      <c r="P60" s="108">
        <f t="shared" si="29"/>
        <v>-13.798988057818775</v>
      </c>
      <c r="Q60" s="109">
        <f t="shared" si="30"/>
        <v>0.90800674628120814</v>
      </c>
      <c r="R60" s="322"/>
      <c r="S60" s="46">
        <v>0.34236111111111106</v>
      </c>
      <c r="T60" s="47">
        <v>0.35562499999999997</v>
      </c>
      <c r="U60" s="110">
        <v>5</v>
      </c>
      <c r="V60" s="111">
        <v>19.107787547898607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-331.17571338765038</v>
      </c>
      <c r="AF60" s="199">
        <f t="shared" si="32"/>
        <v>0.90800674628120825</v>
      </c>
      <c r="AG60" s="327"/>
    </row>
    <row r="61" spans="1:33" ht="15.75" customHeight="1">
      <c r="A61" s="357"/>
      <c r="B61" s="99" t="s">
        <v>208</v>
      </c>
      <c r="C61" s="370" t="s">
        <v>214</v>
      </c>
      <c r="D61" s="370"/>
      <c r="E61" s="100">
        <v>36.729999999999997</v>
      </c>
      <c r="F61" s="104">
        <v>3286</v>
      </c>
      <c r="G61" s="120">
        <f t="shared" si="33"/>
        <v>120694.77999999998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3260.8167104351833</v>
      </c>
      <c r="N61" s="105">
        <f t="shared" si="27"/>
        <v>163.04083552175916</v>
      </c>
      <c r="O61" s="107">
        <f t="shared" si="28"/>
        <v>0</v>
      </c>
      <c r="P61" s="108">
        <f t="shared" si="29"/>
        <v>-16.959164478240837</v>
      </c>
      <c r="Q61" s="109">
        <f t="shared" si="30"/>
        <v>0.90578241956532868</v>
      </c>
      <c r="R61" s="322"/>
      <c r="S61" s="46">
        <v>0.35972222222222217</v>
      </c>
      <c r="T61" s="119">
        <v>0.40170138888888884</v>
      </c>
      <c r="U61" s="110">
        <v>5.8999999999999631</v>
      </c>
      <c r="V61" s="111">
        <v>60.463380038826948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-339.18328956481673</v>
      </c>
      <c r="AF61" s="199">
        <f t="shared" si="32"/>
        <v>0.90578241956532868</v>
      </c>
      <c r="AG61" s="327"/>
    </row>
    <row r="62" spans="1:33" ht="15.75" customHeight="1">
      <c r="A62" s="357"/>
      <c r="B62" s="99" t="s">
        <v>208</v>
      </c>
      <c r="C62" s="370" t="s">
        <v>233</v>
      </c>
      <c r="D62" s="370"/>
      <c r="E62" s="100">
        <v>48.4</v>
      </c>
      <c r="F62" s="104">
        <v>2427</v>
      </c>
      <c r="G62" s="120">
        <f t="shared" si="33"/>
        <v>117466.8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3264.4252091536036</v>
      </c>
      <c r="N62" s="105">
        <f t="shared" si="27"/>
        <v>148.38296405243653</v>
      </c>
      <c r="O62" s="122">
        <f t="shared" si="28"/>
        <v>0</v>
      </c>
      <c r="P62" s="123">
        <f t="shared" si="29"/>
        <v>-15.253399583927091</v>
      </c>
      <c r="Q62" s="124">
        <f t="shared" si="30"/>
        <v>0.90678478032044552</v>
      </c>
      <c r="R62" s="322"/>
      <c r="S62" s="46">
        <v>0.4055555555555555</v>
      </c>
      <c r="T62" s="119">
        <v>0.43652777777777774</v>
      </c>
      <c r="U62" s="110">
        <v>5.5499999999999883</v>
      </c>
      <c r="V62" s="111">
        <v>44.608159375707118</v>
      </c>
      <c r="W62" s="112">
        <v>0.43652777777777774</v>
      </c>
      <c r="X62" s="115">
        <v>0.47430555555555548</v>
      </c>
      <c r="Y62" s="12"/>
      <c r="Z62" s="197"/>
      <c r="AA62" s="331"/>
      <c r="AB62" s="332"/>
      <c r="AC62" s="12"/>
      <c r="AD62" s="197"/>
      <c r="AE62" s="198">
        <f t="shared" si="31"/>
        <v>-335.57479084639635</v>
      </c>
      <c r="AF62" s="199">
        <f t="shared" si="32"/>
        <v>0.9067847803204454</v>
      </c>
      <c r="AG62" s="327"/>
    </row>
    <row r="63" spans="1:33" ht="15.75" customHeight="1">
      <c r="A63" s="357"/>
      <c r="B63" s="99" t="s">
        <v>208</v>
      </c>
      <c r="C63" s="370" t="s">
        <v>216</v>
      </c>
      <c r="D63" s="370"/>
      <c r="E63" s="100">
        <v>38.479999999999997</v>
      </c>
      <c r="F63" s="104">
        <v>5233</v>
      </c>
      <c r="G63" s="120">
        <f t="shared" si="33"/>
        <v>201365.84</v>
      </c>
      <c r="H63" s="61"/>
      <c r="I63" s="103">
        <v>20</v>
      </c>
      <c r="J63" s="104">
        <v>3600</v>
      </c>
      <c r="K63" s="105">
        <f t="shared" si="35"/>
        <v>180</v>
      </c>
      <c r="L63" s="106">
        <v>20</v>
      </c>
      <c r="M63" s="104">
        <f t="shared" si="34"/>
        <v>3266.8841222106407</v>
      </c>
      <c r="N63" s="105">
        <f t="shared" si="27"/>
        <v>163.34420611053204</v>
      </c>
      <c r="O63" s="122">
        <f t="shared" si="28"/>
        <v>0</v>
      </c>
      <c r="P63" s="123">
        <f t="shared" si="29"/>
        <v>-16.655793889467958</v>
      </c>
      <c r="Q63" s="124">
        <f t="shared" si="30"/>
        <v>0.90746781172517799</v>
      </c>
      <c r="R63" s="322"/>
      <c r="S63" s="46">
        <v>0.47430555555555548</v>
      </c>
      <c r="T63" s="119">
        <v>0.54104166666666664</v>
      </c>
      <c r="U63" s="110">
        <v>55</v>
      </c>
      <c r="V63" s="111">
        <v>96.109928682605215</v>
      </c>
      <c r="W63" s="112"/>
      <c r="X63" s="115"/>
      <c r="Y63" s="12"/>
      <c r="Z63" s="197"/>
      <c r="AA63" s="331"/>
      <c r="AB63" s="332"/>
      <c r="AC63" s="12"/>
      <c r="AD63" s="197"/>
      <c r="AE63" s="198">
        <f t="shared" si="31"/>
        <v>-333.11587778935927</v>
      </c>
      <c r="AF63" s="199">
        <f t="shared" si="32"/>
        <v>0.90746781172517799</v>
      </c>
      <c r="AG63" s="327"/>
    </row>
    <row r="64" spans="1:33" ht="15.75" customHeight="1">
      <c r="A64" s="357"/>
      <c r="B64" s="99" t="s">
        <v>208</v>
      </c>
      <c r="C64" s="370" t="s">
        <v>215</v>
      </c>
      <c r="D64" s="370"/>
      <c r="E64" s="100">
        <v>37.799999999999997</v>
      </c>
      <c r="F64" s="104">
        <v>6639</v>
      </c>
      <c r="G64" s="120">
        <f t="shared" si="33"/>
        <v>250954.19999999998</v>
      </c>
      <c r="H64" s="61"/>
      <c r="I64" s="103">
        <v>21</v>
      </c>
      <c r="J64" s="104">
        <v>3600</v>
      </c>
      <c r="K64" s="105">
        <f t="shared" si="35"/>
        <v>171.42857142857142</v>
      </c>
      <c r="L64" s="106">
        <v>21</v>
      </c>
      <c r="M64" s="104">
        <f t="shared" si="34"/>
        <v>3269.6520400560039</v>
      </c>
      <c r="N64" s="105">
        <f t="shared" si="27"/>
        <v>155.69771619314304</v>
      </c>
      <c r="O64" s="122">
        <f t="shared" si="28"/>
        <v>0</v>
      </c>
      <c r="P64" s="123">
        <f t="shared" si="29"/>
        <v>-15.730855235428379</v>
      </c>
      <c r="Q64" s="124">
        <f t="shared" si="30"/>
        <v>0.9082366777933345</v>
      </c>
      <c r="R64" s="322"/>
      <c r="S64" s="46">
        <v>0.5444444444444444</v>
      </c>
      <c r="T64" s="119">
        <v>0.62903935185185178</v>
      </c>
      <c r="U64" s="110">
        <v>4.8999999999999666</v>
      </c>
      <c r="V64" s="111">
        <v>121.82947760801393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-330.3479599439961</v>
      </c>
      <c r="AF64" s="199">
        <f t="shared" si="32"/>
        <v>0.90823667779333439</v>
      </c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21.111111111111111</v>
      </c>
      <c r="J72" s="136">
        <f t="shared" si="36"/>
        <v>3600</v>
      </c>
      <c r="K72" s="137">
        <f t="shared" ref="K72:K75" si="37">J72/I72</f>
        <v>170.5263157894737</v>
      </c>
      <c r="L72" s="135">
        <f t="shared" ref="L72:M72" si="38">AVERAGE(L56:L71)</f>
        <v>21.111111111111111</v>
      </c>
      <c r="M72" s="136">
        <f t="shared" si="38"/>
        <v>3237.077506250741</v>
      </c>
      <c r="N72" s="137">
        <f>M72/L72</f>
        <v>153.33525029608774</v>
      </c>
      <c r="O72" s="138">
        <f>L72-I72</f>
        <v>0</v>
      </c>
      <c r="P72" s="139">
        <f>N72-K72</f>
        <v>-17.191065493385963</v>
      </c>
      <c r="Q72" s="140">
        <f>N72/K72</f>
        <v>0.89918819618076129</v>
      </c>
      <c r="R72" s="323"/>
      <c r="S72" s="141">
        <v>0.20833333333333334</v>
      </c>
      <c r="T72" s="142">
        <v>0.62903935185185178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-362.92249374925905</v>
      </c>
      <c r="AF72" s="140">
        <f>M72/J72</f>
        <v>0.8991881961807614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1462</v>
      </c>
      <c r="G73" s="120">
        <f t="shared" ref="G73:G75" si="39">E73*F73</f>
        <v>34430.1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2256.5793326791172</v>
      </c>
      <c r="N73" s="105">
        <f>M73/L73</f>
        <v>376.09655544651952</v>
      </c>
      <c r="O73" s="107">
        <f>L73-I73</f>
        <v>0</v>
      </c>
      <c r="P73" s="108">
        <f>N73-K73</f>
        <v>-40.570111220147169</v>
      </c>
      <c r="Q73" s="109">
        <f>N73/K73</f>
        <v>0.90263173307164679</v>
      </c>
      <c r="R73" s="321">
        <f>Q89</f>
        <v>0.85106998057707595</v>
      </c>
      <c r="S73" s="46">
        <v>0.34305555555555545</v>
      </c>
      <c r="T73" s="119">
        <v>0.37004629629629621</v>
      </c>
      <c r="U73" s="110">
        <v>5.1333333333333098</v>
      </c>
      <c r="V73" s="111">
        <v>38.872996277890522</v>
      </c>
      <c r="W73" s="112"/>
      <c r="X73" s="161"/>
      <c r="Y73" s="12"/>
      <c r="Z73" s="197"/>
      <c r="AA73" s="324"/>
      <c r="AB73" s="325"/>
      <c r="AC73" s="12"/>
      <c r="AD73" s="197"/>
      <c r="AE73" s="114">
        <f>M73-J73</f>
        <v>-243.42066732088279</v>
      </c>
      <c r="AF73" s="155">
        <f>M73/J73</f>
        <v>0.9026317330716469</v>
      </c>
      <c r="AG73" s="326">
        <f>AF89</f>
        <v>0.90426185436314332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530</v>
      </c>
      <c r="G74" s="120">
        <f t="shared" si="39"/>
        <v>14336.5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2962.9510775921863</v>
      </c>
      <c r="N74" s="105">
        <f>M74/L74</f>
        <v>493.82517959869773</v>
      </c>
      <c r="O74" s="122">
        <f>L74-I74</f>
        <v>1</v>
      </c>
      <c r="P74" s="123">
        <f>N74-K74</f>
        <v>-160.77482040130229</v>
      </c>
      <c r="Q74" s="124">
        <f>N74/K74</f>
        <v>0.75439226947555404</v>
      </c>
      <c r="R74" s="322"/>
      <c r="S74" s="46">
        <v>0.37291666666666656</v>
      </c>
      <c r="T74" s="119">
        <v>0.38035879629629621</v>
      </c>
      <c r="U74" s="110">
        <v>5</v>
      </c>
      <c r="V74" s="111">
        <v>10.732543051585571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-310.04892240781373</v>
      </c>
      <c r="AF74" s="109">
        <f>M74/J74</f>
        <v>0.90527072337066494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680</v>
      </c>
      <c r="G75" s="120">
        <f t="shared" si="39"/>
        <v>18394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2960.4223242976909</v>
      </c>
      <c r="N75" s="105">
        <f>M75/L75</f>
        <v>592.08446485953823</v>
      </c>
      <c r="O75" s="122">
        <f>L75-I75</f>
        <v>0</v>
      </c>
      <c r="P75" s="123">
        <f>N75-K75</f>
        <v>-62.515535140461793</v>
      </c>
      <c r="Q75" s="124">
        <f>N75/K75</f>
        <v>0.90449811313708861</v>
      </c>
      <c r="R75" s="322"/>
      <c r="S75" s="46">
        <v>0.38402777777777763</v>
      </c>
      <c r="T75" s="119">
        <v>0.39358796296296283</v>
      </c>
      <c r="U75" s="110">
        <v>5.2833333333332533</v>
      </c>
      <c r="V75" s="111">
        <v>13.781817433659265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-312.57767570230908</v>
      </c>
      <c r="AF75" s="109">
        <f>M75/J75</f>
        <v>0.90449811313708861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2726.6509115229983</v>
      </c>
      <c r="N89" s="137">
        <f>M89/L89</f>
        <v>481.1736902687644</v>
      </c>
      <c r="O89" s="138">
        <f>L89-I89</f>
        <v>0.33333333333333393</v>
      </c>
      <c r="P89" s="139">
        <f>N89-K89</f>
        <v>-84.20130973123571</v>
      </c>
      <c r="Q89" s="140">
        <f>N89/K89</f>
        <v>0.85106998057707595</v>
      </c>
      <c r="R89" s="323"/>
      <c r="S89" s="141">
        <v>0.20833333333333334</v>
      </c>
      <c r="T89" s="142">
        <v>0.39358796296296283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-288.6824218103352</v>
      </c>
      <c r="AF89" s="140">
        <f>M89/J89</f>
        <v>0.90426185436314332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1615</v>
      </c>
      <c r="G90" s="147">
        <f t="shared" ref="G90:G91" si="43">E90*F90</f>
        <v>25048.65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3249.0000000000014</v>
      </c>
      <c r="N90" s="151">
        <f>M90/L90</f>
        <v>541.50000000000023</v>
      </c>
      <c r="O90" s="153">
        <f>L90-I90</f>
        <v>0</v>
      </c>
      <c r="P90" s="154">
        <f>N90-K90</f>
        <v>-58.499999999999773</v>
      </c>
      <c r="Q90" s="155">
        <f>N90/K90</f>
        <v>0.90250000000000041</v>
      </c>
      <c r="R90" s="321">
        <f>Q106</f>
        <v>0.90282324647550338</v>
      </c>
      <c r="S90" s="156">
        <v>0.25</v>
      </c>
      <c r="T90" s="157">
        <v>0.2707060185185185</v>
      </c>
      <c r="U90" s="158"/>
      <c r="V90" s="159">
        <v>29.82456140350876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-350.99999999999864</v>
      </c>
      <c r="AF90" s="155">
        <f>M90/J90</f>
        <v>0.90250000000000041</v>
      </c>
      <c r="AG90" s="326">
        <f>AF106</f>
        <v>0.90282324647550338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1783</v>
      </c>
      <c r="G91" s="102">
        <f t="shared" si="43"/>
        <v>26762.829999999998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3251.3273746236227</v>
      </c>
      <c r="N91" s="105">
        <f>M91/L91</f>
        <v>541.88789577060379</v>
      </c>
      <c r="O91" s="107">
        <f>L91-I91</f>
        <v>0</v>
      </c>
      <c r="P91" s="108">
        <f>N91-K91</f>
        <v>-58.112104229396209</v>
      </c>
      <c r="Q91" s="109">
        <f>N91/K91</f>
        <v>0.90314649295100635</v>
      </c>
      <c r="R91" s="322"/>
      <c r="S91" s="46">
        <v>0.27361111111111108</v>
      </c>
      <c r="T91" s="47">
        <v>0.29645833333333332</v>
      </c>
      <c r="U91" s="110">
        <v>5</v>
      </c>
      <c r="V91" s="111">
        <v>32.90348453833694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-348.67262537637725</v>
      </c>
      <c r="AF91" s="109">
        <f>M91/J91</f>
        <v>0.90314649295100635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3250.1636873118123</v>
      </c>
      <c r="N106" s="137">
        <f>M106/L106</f>
        <v>541.69394788530201</v>
      </c>
      <c r="O106" s="138">
        <f>L106-I106</f>
        <v>0</v>
      </c>
      <c r="P106" s="139">
        <f>N106-K106</f>
        <v>-58.306052114697991</v>
      </c>
      <c r="Q106" s="140">
        <f>N106/K106</f>
        <v>0.90282324647550338</v>
      </c>
      <c r="R106" s="323"/>
      <c r="S106" s="141">
        <v>0.25</v>
      </c>
      <c r="T106" s="142">
        <v>0.29645833333333332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-349.83631268818772</v>
      </c>
      <c r="AF106" s="140">
        <f>M106/J106</f>
        <v>0.90282324647550338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1131</v>
      </c>
      <c r="G107" s="147">
        <f t="shared" ref="G107:G109" si="47">E107*F107</f>
        <v>65790.27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1802.8</v>
      </c>
      <c r="N107" s="151">
        <f>M107/L107</f>
        <v>106.04705882352941</v>
      </c>
      <c r="O107" s="153">
        <f>L107-I107</f>
        <v>-1</v>
      </c>
      <c r="P107" s="154">
        <f>N107-K107</f>
        <v>-5.0640522875817027</v>
      </c>
      <c r="Q107" s="155">
        <f>N107/K107</f>
        <v>0.95442352941176467</v>
      </c>
      <c r="R107" s="321">
        <f>Q123</f>
        <v>0.94958392857142837</v>
      </c>
      <c r="S107" s="156">
        <v>0.70833333333333337</v>
      </c>
      <c r="T107" s="157">
        <v>0.73446759259259264</v>
      </c>
      <c r="U107" s="158"/>
      <c r="V107" s="159">
        <v>37.641446638562236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-197.20000000000005</v>
      </c>
      <c r="AF107" s="155">
        <f>M107/J107</f>
        <v>0.90139999999999998</v>
      </c>
      <c r="AG107" s="326">
        <f>AF123</f>
        <v>0.90129999999999988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1056</v>
      </c>
      <c r="G108" s="102">
        <f t="shared" si="47"/>
        <v>53507.520000000004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1802.4</v>
      </c>
      <c r="N108" s="105">
        <f>M108/L108</f>
        <v>94.863157894736844</v>
      </c>
      <c r="O108" s="107">
        <f>L108-I108</f>
        <v>-1</v>
      </c>
      <c r="P108" s="108">
        <f>N108-K108</f>
        <v>-5.1368421052631561</v>
      </c>
      <c r="Q108" s="109">
        <f>N108/K108</f>
        <v>0.94863157894736849</v>
      </c>
      <c r="R108" s="322"/>
      <c r="S108" s="46">
        <v>0.73750000000000004</v>
      </c>
      <c r="T108" s="47">
        <v>0.76190972222222231</v>
      </c>
      <c r="U108" s="110">
        <v>5</v>
      </c>
      <c r="V108" s="111">
        <v>35.153129161118507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-197.59999999999991</v>
      </c>
      <c r="AF108" s="109">
        <f>M108/J108</f>
        <v>0.9012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1138</v>
      </c>
      <c r="G109" s="102">
        <f t="shared" si="47"/>
        <v>65207.399999999994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1802.6</v>
      </c>
      <c r="N109" s="105">
        <f>M109/L109</f>
        <v>90.13</v>
      </c>
      <c r="O109" s="107">
        <f>L109-I109</f>
        <v>-1</v>
      </c>
      <c r="P109" s="108">
        <f>N109-K109</f>
        <v>-5.1080952380952453</v>
      </c>
      <c r="Q109" s="109">
        <f>N109/K109</f>
        <v>0.9463649999999999</v>
      </c>
      <c r="R109" s="322"/>
      <c r="S109" s="46">
        <v>0.76597222222222228</v>
      </c>
      <c r="T109" s="47">
        <v>0.79226851851851854</v>
      </c>
      <c r="U109" s="110">
        <v>5.8499999999999552</v>
      </c>
      <c r="V109" s="111">
        <v>37.878619771441251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-197.40000000000009</v>
      </c>
      <c r="AF109" s="109">
        <f>M109/J109</f>
        <v>0.90129999999999999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1802.5999999999997</v>
      </c>
      <c r="N123" s="137">
        <f>M123/L123</f>
        <v>96.567857142857122</v>
      </c>
      <c r="O123" s="138">
        <f>L123-I123</f>
        <v>-1</v>
      </c>
      <c r="P123" s="139">
        <f>N123-K123</f>
        <v>-5.1270581113801654</v>
      </c>
      <c r="Q123" s="140">
        <f>N123/K123</f>
        <v>0.94958392857142837</v>
      </c>
      <c r="R123" s="323"/>
      <c r="S123" s="141">
        <v>0.70833333333333337</v>
      </c>
      <c r="T123" s="142">
        <v>0.79226851851851854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-197.40000000000032</v>
      </c>
      <c r="AF123" s="140">
        <f>M123/J123</f>
        <v>0.90129999999999988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1466</v>
      </c>
      <c r="G124" s="147">
        <f t="shared" ref="G124:G126" si="54">E124*F124</f>
        <v>69781.600000000006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1804.8014667902769</v>
      </c>
      <c r="N124" s="151">
        <f>M124/L124</f>
        <v>78.469628990881603</v>
      </c>
      <c r="O124" s="153">
        <f>L124-I124</f>
        <v>0</v>
      </c>
      <c r="P124" s="154">
        <f>N124-K124</f>
        <v>-8.4868927482488346</v>
      </c>
      <c r="Q124" s="155">
        <f>N124/K124</f>
        <v>0.90240073339513838</v>
      </c>
      <c r="R124" s="321">
        <f>Q140</f>
        <v>0.90155182241961351</v>
      </c>
      <c r="S124" s="156">
        <v>0.70833333333333337</v>
      </c>
      <c r="T124" s="157">
        <v>0.74217592592592596</v>
      </c>
      <c r="U124" s="158"/>
      <c r="V124" s="159">
        <v>48.736662518582271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-195.19853320972311</v>
      </c>
      <c r="AF124" s="155">
        <f>M124/J124</f>
        <v>0.90240073339513849</v>
      </c>
      <c r="AG124" s="375">
        <f>AF140</f>
        <v>0.90155182241961362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1211</v>
      </c>
      <c r="G125" s="102">
        <f t="shared" si="54"/>
        <v>68869.569999999992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1802.6791094481864</v>
      </c>
      <c r="N125" s="105">
        <f>M125/L125</f>
        <v>78.377352584703758</v>
      </c>
      <c r="O125" s="107">
        <f>L125-I125</f>
        <v>0</v>
      </c>
      <c r="P125" s="108">
        <f>N125-K125</f>
        <v>-8.5791691544266797</v>
      </c>
      <c r="Q125" s="109">
        <f>N125/K125</f>
        <v>0.90133955472409322</v>
      </c>
      <c r="R125" s="322"/>
      <c r="S125" s="46">
        <v>0.74513888888888891</v>
      </c>
      <c r="T125" s="47">
        <v>0.77312500000000006</v>
      </c>
      <c r="U125" s="110">
        <v>5</v>
      </c>
      <c r="V125" s="111">
        <v>40.306674448699731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-197.32089055181359</v>
      </c>
      <c r="AF125" s="109">
        <f>M125/J125</f>
        <v>0.90133955472409322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1596</v>
      </c>
      <c r="G126" s="102">
        <f t="shared" si="54"/>
        <v>90636.84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1801.8303582792184</v>
      </c>
      <c r="N126" s="105">
        <f>M126/L126</f>
        <v>78.340450359966013</v>
      </c>
      <c r="O126" s="107">
        <f>L126-I126</f>
        <v>0</v>
      </c>
      <c r="P126" s="108">
        <f>N126-K126</f>
        <v>-8.6160713791644241</v>
      </c>
      <c r="Q126" s="109">
        <f>N126/K126</f>
        <v>0.90091517913960917</v>
      </c>
      <c r="R126" s="322"/>
      <c r="S126" s="46">
        <v>0.77638888888888891</v>
      </c>
      <c r="T126" s="47">
        <v>0.81328703703703709</v>
      </c>
      <c r="U126" s="110">
        <v>4.6999999999999353</v>
      </c>
      <c r="V126" s="111">
        <v>53.145957697955865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-198.16964172078156</v>
      </c>
      <c r="AF126" s="109">
        <f>M126/J126</f>
        <v>0.90091517913960917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1803.1036448392272</v>
      </c>
      <c r="N140" s="137">
        <f>M140/L140</f>
        <v>78.395810645183786</v>
      </c>
      <c r="O140" s="138">
        <f>L140-I140</f>
        <v>0</v>
      </c>
      <c r="P140" s="139">
        <f>N140-K140</f>
        <v>-8.5607110939466509</v>
      </c>
      <c r="Q140" s="140">
        <f>N140/K140</f>
        <v>0.90155182241961351</v>
      </c>
      <c r="R140" s="323"/>
      <c r="S140" s="141">
        <v>0.70833333333333337</v>
      </c>
      <c r="T140" s="142">
        <v>0.81328703703703709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-196.89635516077283</v>
      </c>
      <c r="AF140" s="140">
        <f>M140/J140</f>
        <v>0.90155182241961362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48" priority="2" operator="greaterThan">
      <formula>0</formula>
    </cfRule>
  </conditionalFormatting>
  <conditionalFormatting sqref="P5:P140 AE5:AE140">
    <cfRule type="cellIs" dxfId="147" priority="5" operator="lessThan">
      <formula>0</formula>
    </cfRule>
  </conditionalFormatting>
  <conditionalFormatting sqref="Q5:Q140 AF5:AF140">
    <cfRule type="cellIs" dxfId="146" priority="3" operator="greaterThan">
      <formula>1</formula>
    </cfRule>
    <cfRule type="cellIs" dxfId="145" priority="4" operator="lessThan">
      <formula>0.8</formula>
    </cfRule>
  </conditionalFormatting>
  <conditionalFormatting sqref="AG5 R5:R140 AG107:AG124">
    <cfRule type="cellIs" dxfId="144" priority="6" operator="lessThan">
      <formula>0.8</formula>
    </cfRule>
  </conditionalFormatting>
  <conditionalFormatting sqref="AG22">
    <cfRule type="cellIs" dxfId="143" priority="11" operator="lessThan">
      <formula>0.8</formula>
    </cfRule>
  </conditionalFormatting>
  <conditionalFormatting sqref="AG37">
    <cfRule type="cellIs" dxfId="142" priority="10" operator="lessThan">
      <formula>0.8</formula>
    </cfRule>
  </conditionalFormatting>
  <conditionalFormatting sqref="AG39:AG74">
    <cfRule type="cellIs" dxfId="141" priority="8" operator="lessThan">
      <formula>0.8</formula>
    </cfRule>
  </conditionalFormatting>
  <conditionalFormatting sqref="AG80:AG88">
    <cfRule type="cellIs" dxfId="140" priority="9" operator="lessThan">
      <formula>0.8</formula>
    </cfRule>
  </conditionalFormatting>
  <conditionalFormatting sqref="AG90:AG95">
    <cfRule type="cellIs" dxfId="139" priority="7" operator="lessThan">
      <formula>0.8</formula>
    </cfRule>
  </conditionalFormatting>
  <conditionalFormatting sqref="AG139">
    <cfRule type="cellIs" dxfId="138" priority="1" operator="lessThan">
      <formula>0.8</formula>
    </cfRule>
  </conditionalFormatting>
  <dataValidations count="1">
    <dataValidation type="list" allowBlank="1" showInputMessage="1" showErrorMessage="1" sqref="AA5:AB140" xr:uid="{5CC434AA-1BC1-4609-A7C7-BF1C14E0EE9C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FBCB-DB8B-4F4A-A926-86A09D2969FE}">
  <sheetPr>
    <tabColor theme="9" tint="0.59999389629810485"/>
  </sheetPr>
  <dimension ref="B1:AR42"/>
  <sheetViews>
    <sheetView zoomScale="70" zoomScaleNormal="70" workbookViewId="0">
      <selection activeCell="M41" sqref="M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237</v>
      </c>
      <c r="D3" s="208"/>
      <c r="E3" s="3" t="s">
        <v>3</v>
      </c>
      <c r="F3" s="209">
        <f>'0806(18度C)'!D1+'0806(4度C)'!D1</f>
        <v>188918</v>
      </c>
      <c r="G3" s="210"/>
      <c r="H3" s="3" t="s">
        <v>4</v>
      </c>
      <c r="I3" s="211">
        <f>'0806(18度C)'!F1+'0806(4度C)'!F1</f>
        <v>5817645.9100000001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494.89433533939803</v>
      </c>
      <c r="F6" s="245" t="e">
        <f>AVERAGE(#REF!,D14:K14)</f>
        <v>#REF!</v>
      </c>
      <c r="G6" s="246">
        <f>AVERAGE(D14:K14)</f>
        <v>271.35685581428748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787.42857142857144</v>
      </c>
      <c r="N6" s="247"/>
      <c r="O6" s="235">
        <f>'0806(4度C)'!Y2</f>
        <v>0</v>
      </c>
      <c r="P6" s="235">
        <f>'0806(4度C)'!Z2</f>
        <v>0</v>
      </c>
      <c r="Q6" s="235">
        <f>'0806(4度C)'!AC2</f>
        <v>0</v>
      </c>
      <c r="R6" s="235">
        <f>'0806(4度C)'!AD2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444.39754394761871</v>
      </c>
      <c r="F7" s="241" t="e">
        <f>AVERAGE(#REF!,D15:K15)</f>
        <v>#REF!</v>
      </c>
      <c r="G7" s="242">
        <f>AVERAGE(D15:K15)</f>
        <v>239.95088353271453</v>
      </c>
      <c r="H7" s="243"/>
      <c r="I7" s="242">
        <f>AVERAGE(L15:O15)</f>
        <v>87.472801802923158</v>
      </c>
      <c r="J7" s="243"/>
      <c r="K7" s="242">
        <f>AVERAGE(D33:O33)</f>
        <v>664.1157666652465</v>
      </c>
      <c r="L7" s="243"/>
      <c r="M7" s="242">
        <f>AVERAGE(P33:X33)</f>
        <v>709.81168292469476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0.89993664185481703</v>
      </c>
      <c r="F8" s="260" t="e">
        <f>AVERAGE(D16:K16,#REF!)</f>
        <v>#REF!</v>
      </c>
      <c r="G8" s="248">
        <f>AVERAGE(D16:K16)</f>
        <v>0.89289180795040801</v>
      </c>
      <c r="H8" s="249"/>
      <c r="I8" s="248">
        <f>AVERAGE(L16:O16)</f>
        <v>0.92546698263837823</v>
      </c>
      <c r="J8" s="249"/>
      <c r="K8" s="248">
        <f>AVERAGE(D34:O34)</f>
        <v>0.89674145138685324</v>
      </c>
      <c r="L8" s="249"/>
      <c r="M8" s="248">
        <f>AVERAGE(P34:X34)</f>
        <v>0.90093391278761359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83.720930232558146</v>
      </c>
      <c r="F14" s="28">
        <v>117.52</v>
      </c>
      <c r="G14" s="28">
        <v>90.909090909090907</v>
      </c>
      <c r="H14" s="28">
        <v>170.61611374407582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75.481559119846722</v>
      </c>
      <c r="F15" s="28">
        <v>106.08883840205102</v>
      </c>
      <c r="G15" s="28">
        <v>81.904163222996317</v>
      </c>
      <c r="H15" s="28">
        <v>153.19726700320902</v>
      </c>
      <c r="I15" s="28">
        <v>481.30952556288196</v>
      </c>
      <c r="J15" s="28">
        <v>541.72394788530198</v>
      </c>
      <c r="K15" s="36" t="s">
        <v>43</v>
      </c>
      <c r="L15" s="34" t="s">
        <v>43</v>
      </c>
      <c r="M15" s="30">
        <v>96.564285714285717</v>
      </c>
      <c r="N15" s="28">
        <v>78.381317891560599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0.90158528948705796</v>
      </c>
      <c r="F16" s="42">
        <f t="shared" si="0"/>
        <v>0.90273007489832391</v>
      </c>
      <c r="G16" s="42">
        <f t="shared" si="0"/>
        <v>0.9009457954529595</v>
      </c>
      <c r="H16" s="42">
        <f t="shared" si="0"/>
        <v>0.89790620382436404</v>
      </c>
      <c r="I16" s="42">
        <f t="shared" si="0"/>
        <v>0.8513102375642394</v>
      </c>
      <c r="J16" s="42">
        <f t="shared" si="0"/>
        <v>0.90287324647550327</v>
      </c>
      <c r="K16" s="43" t="s">
        <v>43</v>
      </c>
      <c r="L16" s="41" t="s">
        <v>43</v>
      </c>
      <c r="M16" s="44">
        <f>M15/M14</f>
        <v>0.9495488095238096</v>
      </c>
      <c r="N16" s="42">
        <f>N15/N14</f>
        <v>0.90138515575294686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0.20833333333333334</v>
      </c>
      <c r="F17" s="47">
        <v>0.16666666666666666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0.59616898148148145</v>
      </c>
      <c r="F18" s="47">
        <v>0.52952546296296288</v>
      </c>
      <c r="G18" s="47">
        <v>0.57861111111111108</v>
      </c>
      <c r="H18" s="47">
        <v>0.62271990740740724</v>
      </c>
      <c r="I18" s="47">
        <v>0.44814814814814807</v>
      </c>
      <c r="J18" s="47">
        <v>0.31082175925925926</v>
      </c>
      <c r="K18" s="47" t="s">
        <v>43</v>
      </c>
      <c r="L18" s="46" t="s">
        <v>43</v>
      </c>
      <c r="M18" s="48">
        <v>0.79366898148148157</v>
      </c>
      <c r="N18" s="47">
        <v>0.81310185185185191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21.5</v>
      </c>
      <c r="F23" s="57">
        <v>18</v>
      </c>
      <c r="G23" s="57">
        <v>22</v>
      </c>
      <c r="H23" s="57">
        <v>21.1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287.46360512344268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753.19135044136874</v>
      </c>
      <c r="N33" s="28">
        <v>846.4763660220176</v>
      </c>
      <c r="O33" s="28">
        <v>769.33174507415697</v>
      </c>
      <c r="P33" s="27">
        <v>438.73659788169311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647.19086335160068</v>
      </c>
      <c r="W33" s="28">
        <v>981.56181660757511</v>
      </c>
      <c r="X33" s="31">
        <v>771.75745385791026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0.87836101565496383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0.9129592126562045</v>
      </c>
      <c r="N34" s="42">
        <f>N33/N32</f>
        <v>0.89963671751132301</v>
      </c>
      <c r="O34" s="42">
        <f>O33/O32</f>
        <v>0.89600885972492184</v>
      </c>
      <c r="P34" s="41">
        <f>P33/P32</f>
        <v>0.89372269938863402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0.91270506370097548</v>
      </c>
      <c r="W34" s="42">
        <f>W33/W32</f>
        <v>0.90407009424381912</v>
      </c>
      <c r="X34" s="45">
        <f>X33/X32</f>
        <v>0.89323779381702584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0.32847222222222222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0.73194444444444451</v>
      </c>
      <c r="X35" s="49">
        <v>0.73749999999999993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0.44814814814814807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0.4198263888888889</v>
      </c>
      <c r="N36" s="47">
        <v>0.52556712962962981</v>
      </c>
      <c r="O36" s="47">
        <v>0.53013888888888905</v>
      </c>
      <c r="P36" s="46">
        <v>0.75503472222222223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0.86011574074074082</v>
      </c>
      <c r="W36" s="47">
        <v>1.0679282407407407</v>
      </c>
      <c r="X36" s="49">
        <v>1.0795833333333329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F37C-EC24-49B5-8231-EEC438A02B2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1" sqref="M41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101071</v>
      </c>
      <c r="E1" s="87" t="s">
        <v>4</v>
      </c>
      <c r="F1" s="88">
        <f>SUM(G5:G140)</f>
        <v>2021623</v>
      </c>
      <c r="G1" s="89" t="s">
        <v>85</v>
      </c>
      <c r="H1" s="90">
        <f>L21+L38+L55+L72+L89+L106+L123+L140</f>
        <v>41.709523809523809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46240</v>
      </c>
      <c r="B2" s="294"/>
      <c r="C2" s="91" t="s">
        <v>41</v>
      </c>
      <c r="D2" s="92">
        <f>AVERAGE(N21,N38,N55,N72,N89,N106,N123,N140)</f>
        <v>686.96372479497063</v>
      </c>
      <c r="E2" s="92" t="s">
        <v>92</v>
      </c>
      <c r="F2" s="93">
        <f>F1/D1</f>
        <v>20.002008489081934</v>
      </c>
      <c r="G2" s="94" t="s">
        <v>93</v>
      </c>
      <c r="H2" s="95">
        <f>COUNT(H5:H140)</f>
        <v>9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1843</v>
      </c>
      <c r="G5" s="147">
        <f t="shared" ref="G5:G9" si="0">E5*F5</f>
        <v>47254.520000000004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3219.0495511531844</v>
      </c>
      <c r="N5" s="151">
        <f>M5/L5</f>
        <v>321.90495511531844</v>
      </c>
      <c r="O5" s="153">
        <f>L5-I5</f>
        <v>0</v>
      </c>
      <c r="P5" s="154">
        <f>N5-K5</f>
        <v>-38.095044884681556</v>
      </c>
      <c r="Q5" s="155">
        <f>N5/K5</f>
        <v>0.89418043087588461</v>
      </c>
      <c r="R5" s="321">
        <f>Q21</f>
        <v>0.87836101565496383</v>
      </c>
      <c r="S5" s="156">
        <v>0.20833333333333334</v>
      </c>
      <c r="T5" s="157">
        <v>0.23218750000000002</v>
      </c>
      <c r="U5" s="158"/>
      <c r="V5" s="159">
        <v>34.351754529651799</v>
      </c>
      <c r="W5" s="160"/>
      <c r="X5" s="161"/>
      <c r="Y5" s="324"/>
      <c r="Z5" s="325"/>
      <c r="AA5" s="114">
        <f>M5-J5</f>
        <v>-380.95044884681556</v>
      </c>
      <c r="AB5" s="155">
        <f>M5/J5</f>
        <v>0.89418043087588461</v>
      </c>
      <c r="AC5" s="326">
        <f>AB21</f>
        <v>0.87836101565496372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2882</v>
      </c>
      <c r="G6" s="102">
        <f t="shared" si="0"/>
        <v>85076.64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3157.5433410043852</v>
      </c>
      <c r="N6" s="105">
        <f>M6/L6</f>
        <v>287.04939463676232</v>
      </c>
      <c r="O6" s="107">
        <f>L6-I6</f>
        <v>0</v>
      </c>
      <c r="P6" s="108">
        <f>N6-K6</f>
        <v>-40.223332635964937</v>
      </c>
      <c r="Q6" s="109">
        <f>N6/K6</f>
        <v>0.87709537250121827</v>
      </c>
      <c r="R6" s="322"/>
      <c r="S6" s="46">
        <v>0.23611111111111113</v>
      </c>
      <c r="T6" s="47">
        <v>0.27413194444444444</v>
      </c>
      <c r="U6" s="110">
        <v>5.6500000000000039</v>
      </c>
      <c r="V6" s="111">
        <v>54.764093893639398</v>
      </c>
      <c r="W6" s="112"/>
      <c r="X6" s="115"/>
      <c r="Y6" s="331"/>
      <c r="Z6" s="332"/>
      <c r="AA6" s="116">
        <f>M6-J6</f>
        <v>-442.45665899561482</v>
      </c>
      <c r="AB6" s="109">
        <f>M6/J6</f>
        <v>0.87709537250121805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3417</v>
      </c>
      <c r="G7" s="102">
        <f t="shared" si="0"/>
        <v>101997.45000000001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3156.5719051520073</v>
      </c>
      <c r="N7" s="105">
        <f>M7/L7</f>
        <v>286.96108228654612</v>
      </c>
      <c r="O7" s="107">
        <f>L7-I7</f>
        <v>0</v>
      </c>
      <c r="P7" s="108">
        <f>N7-K7</f>
        <v>-40.311644986181136</v>
      </c>
      <c r="Q7" s="109">
        <f>N7/K7</f>
        <v>0.87682552920889101</v>
      </c>
      <c r="R7" s="322"/>
      <c r="S7" s="46">
        <v>0.27777777777777779</v>
      </c>
      <c r="T7" s="47">
        <v>0.32288194444444446</v>
      </c>
      <c r="U7" s="110">
        <v>5.2500000000000213</v>
      </c>
      <c r="V7" s="111">
        <v>64.950207427676858</v>
      </c>
      <c r="W7" s="112"/>
      <c r="X7" s="115"/>
      <c r="Y7" s="331"/>
      <c r="Z7" s="332"/>
      <c r="AA7" s="116">
        <f>M7-J7</f>
        <v>-443.42809484799272</v>
      </c>
      <c r="AB7" s="109">
        <f>M7/J7</f>
        <v>0.8768255292088909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2009</v>
      </c>
      <c r="G8" s="102">
        <f t="shared" si="0"/>
        <v>60270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3157.3111721090972</v>
      </c>
      <c r="N8" s="105">
        <f>M8/L8</f>
        <v>287.02828837355429</v>
      </c>
      <c r="O8" s="107">
        <f>L8-I8</f>
        <v>0</v>
      </c>
      <c r="P8" s="108">
        <f>N8-K8</f>
        <v>-40.244438899172962</v>
      </c>
      <c r="Q8" s="109">
        <f>N8/K8</f>
        <v>0.87703088114141592</v>
      </c>
      <c r="R8" s="322"/>
      <c r="S8" s="46">
        <v>0.3263888888888889</v>
      </c>
      <c r="T8" s="47">
        <v>0.35289351851851852</v>
      </c>
      <c r="U8" s="110">
        <v>5.0499999999999901</v>
      </c>
      <c r="V8" s="111">
        <v>38.17805513274093</v>
      </c>
      <c r="W8" s="112"/>
      <c r="X8" s="115"/>
      <c r="Y8" s="331"/>
      <c r="Z8" s="332"/>
      <c r="AA8" s="116">
        <f>M8-J8</f>
        <v>-442.68882789090276</v>
      </c>
      <c r="AB8" s="109">
        <f>M8/J8</f>
        <v>0.87703088114141592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1423</v>
      </c>
      <c r="G9" s="102">
        <f t="shared" si="0"/>
        <v>40655.11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3120.022312370671</v>
      </c>
      <c r="N9" s="105">
        <f>M9/L9</f>
        <v>260.00185936422258</v>
      </c>
      <c r="O9" s="107">
        <f>L9-I9</f>
        <v>0</v>
      </c>
      <c r="P9" s="108">
        <f>N9-K9</f>
        <v>-39.998140635777418</v>
      </c>
      <c r="Q9" s="109">
        <f>N9/K9</f>
        <v>0.86667286454740866</v>
      </c>
      <c r="R9" s="322"/>
      <c r="S9" s="46">
        <v>0.35625000000000001</v>
      </c>
      <c r="T9" s="47">
        <v>0.37524305555555559</v>
      </c>
      <c r="U9" s="110">
        <v>4.8333333333333428</v>
      </c>
      <c r="V9" s="111">
        <v>27.365188915949176</v>
      </c>
      <c r="W9" s="112"/>
      <c r="X9" s="115"/>
      <c r="Y9" s="331"/>
      <c r="Z9" s="332"/>
      <c r="AA9" s="116">
        <f>M9-J9</f>
        <v>-479.97768762932901</v>
      </c>
      <c r="AB9" s="109">
        <f>M9/J9</f>
        <v>0.86667286454740866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3162.0996563578692</v>
      </c>
      <c r="N21" s="137">
        <f>M21/L21</f>
        <v>287.46360512344268</v>
      </c>
      <c r="O21" s="138">
        <f>L21-I21</f>
        <v>0</v>
      </c>
      <c r="P21" s="139">
        <f>N21-K21</f>
        <v>-39.809122149284576</v>
      </c>
      <c r="Q21" s="140">
        <f>N21/K21</f>
        <v>0.87836101565496383</v>
      </c>
      <c r="R21" s="323"/>
      <c r="S21" s="141">
        <v>0.20833333333333334</v>
      </c>
      <c r="T21" s="142">
        <v>0.44814814814814807</v>
      </c>
      <c r="U21" s="143"/>
      <c r="V21" s="165"/>
      <c r="W21" s="166"/>
      <c r="X21" s="137"/>
      <c r="Y21" s="353"/>
      <c r="Z21" s="354"/>
      <c r="AA21" s="167">
        <f>M21-J21</f>
        <v>-437.90034364213079</v>
      </c>
      <c r="AB21" s="140">
        <f>M21/J21</f>
        <v>0.87836101565496372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2441</v>
      </c>
      <c r="G22" s="147">
        <f t="shared" ref="G22:G24" si="5">E22*F22</f>
        <v>45231.73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3011.113440569748</v>
      </c>
      <c r="N22" s="151">
        <f>M22/L22</f>
        <v>1003.704480189916</v>
      </c>
      <c r="O22" s="153">
        <f>L22-I22</f>
        <v>0</v>
      </c>
      <c r="P22" s="154">
        <f>N22-K22</f>
        <v>-96.295519810083988</v>
      </c>
      <c r="Q22" s="155">
        <f>N22/K22</f>
        <v>0.91245861835446906</v>
      </c>
      <c r="R22" s="321">
        <f>Q38</f>
        <v>0.9129592126562045</v>
      </c>
      <c r="S22" s="156">
        <v>0.32847222222222222</v>
      </c>
      <c r="T22" s="157">
        <v>0.36224537037037036</v>
      </c>
      <c r="U22" s="158"/>
      <c r="V22" s="111">
        <v>48.639814769744298</v>
      </c>
      <c r="W22" s="160"/>
      <c r="X22" s="161"/>
      <c r="Y22" s="324"/>
      <c r="Z22" s="325"/>
      <c r="AA22" s="114">
        <f>M22-J22</f>
        <v>-288.88655943025196</v>
      </c>
      <c r="AB22" s="155">
        <f>M22/J22</f>
        <v>0.91245861835446906</v>
      </c>
      <c r="AC22" s="326">
        <f>AB38</f>
        <v>0.9129592126562045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781</v>
      </c>
      <c r="G23" s="102">
        <f t="shared" si="5"/>
        <v>17400.68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3014.7198070850177</v>
      </c>
      <c r="N23" s="105">
        <f>M23/L23</f>
        <v>602.94396141700349</v>
      </c>
      <c r="O23" s="107">
        <f>L23-I23</f>
        <v>0</v>
      </c>
      <c r="P23" s="108">
        <f>N23-K23</f>
        <v>-57.056038582996507</v>
      </c>
      <c r="Q23" s="109">
        <f>N23/K23</f>
        <v>0.91355145669242954</v>
      </c>
      <c r="R23" s="322"/>
      <c r="S23" s="46">
        <v>0.36527777777777776</v>
      </c>
      <c r="T23" s="47">
        <v>0.3760648148148148</v>
      </c>
      <c r="U23" s="110">
        <v>5</v>
      </c>
      <c r="V23" s="111">
        <v>15.543733082547963</v>
      </c>
      <c r="W23" s="112"/>
      <c r="X23" s="115"/>
      <c r="Y23" s="331"/>
      <c r="Z23" s="332"/>
      <c r="AA23" s="116">
        <f>M23-J23</f>
        <v>-285.28019291498231</v>
      </c>
      <c r="AB23" s="109">
        <f>M23/J23</f>
        <v>0.91355145669242965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2940</v>
      </c>
      <c r="G24" s="102">
        <f t="shared" si="5"/>
        <v>52596.6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3012.4629576416596</v>
      </c>
      <c r="N24" s="105">
        <f>M24/L24</f>
        <v>753.1157394104149</v>
      </c>
      <c r="O24" s="107">
        <f>L24-I24</f>
        <v>0</v>
      </c>
      <c r="P24" s="108">
        <f>N24-K24</f>
        <v>-71.884260589585097</v>
      </c>
      <c r="Q24" s="109">
        <f>N24/K24</f>
        <v>0.912867562921715</v>
      </c>
      <c r="R24" s="322"/>
      <c r="S24" s="46">
        <v>0.37916666666666665</v>
      </c>
      <c r="T24" s="47">
        <v>0.4198263888888889</v>
      </c>
      <c r="U24" s="110">
        <v>5</v>
      </c>
      <c r="V24" s="111">
        <v>58.556736623940665</v>
      </c>
      <c r="W24" s="112"/>
      <c r="X24" s="115"/>
      <c r="Y24" s="331"/>
      <c r="Z24" s="332"/>
      <c r="AA24" s="116">
        <f>M24-J24</f>
        <v>-287.53704235834039</v>
      </c>
      <c r="AB24" s="109">
        <f>M24/J24</f>
        <v>0.912867562921715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3012.765401765475</v>
      </c>
      <c r="N38" s="137">
        <f t="shared" ref="N38:N44" si="10">M38/L38</f>
        <v>753.19135044136874</v>
      </c>
      <c r="O38" s="138">
        <f t="shared" ref="O38:O44" si="11">L38-I38</f>
        <v>0</v>
      </c>
      <c r="P38" s="139">
        <f t="shared" ref="P38:P44" si="12">N38-K38</f>
        <v>-71.808649558631259</v>
      </c>
      <c r="Q38" s="140">
        <f t="shared" ref="Q38:Q44" si="13">N38/K38</f>
        <v>0.9129592126562045</v>
      </c>
      <c r="R38" s="323"/>
      <c r="S38" s="141">
        <v>0.32847222222222222</v>
      </c>
      <c r="T38" s="142">
        <v>0.4198263888888889</v>
      </c>
      <c r="U38" s="143"/>
      <c r="V38" s="165"/>
      <c r="W38" s="98"/>
      <c r="X38" s="68"/>
      <c r="Y38" s="353"/>
      <c r="Z38" s="354"/>
      <c r="AA38" s="167">
        <f t="shared" ref="AA38:AA44" si="14">M38-J38</f>
        <v>-287.23459823452504</v>
      </c>
      <c r="AB38" s="140">
        <f t="shared" ref="AB38:AB44" si="15">M38/J38</f>
        <v>0.9129592126562045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955</v>
      </c>
      <c r="G39" s="147">
        <f t="shared" ref="G39:G44" si="16">E39*F39</f>
        <v>23903.65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3217.4295508629157</v>
      </c>
      <c r="N39" s="151">
        <f t="shared" si="10"/>
        <v>643.48591017258309</v>
      </c>
      <c r="O39" s="153">
        <f t="shared" si="11"/>
        <v>0</v>
      </c>
      <c r="P39" s="154">
        <f t="shared" si="12"/>
        <v>-76.51408982741691</v>
      </c>
      <c r="Q39" s="155">
        <f t="shared" si="13"/>
        <v>0.89373043079525427</v>
      </c>
      <c r="R39" s="321">
        <f>Q55</f>
        <v>0.89963671751132301</v>
      </c>
      <c r="S39" s="156">
        <v>0.25</v>
      </c>
      <c r="T39" s="157">
        <v>0.2623611111111111</v>
      </c>
      <c r="U39" s="158"/>
      <c r="V39" s="159">
        <v>17.809247753266927</v>
      </c>
      <c r="W39" s="160"/>
      <c r="X39" s="161"/>
      <c r="Y39" s="324"/>
      <c r="Z39" s="325"/>
      <c r="AA39" s="114">
        <f t="shared" si="14"/>
        <v>-382.57044913708432</v>
      </c>
      <c r="AB39" s="155">
        <f t="shared" si="15"/>
        <v>0.89373043079525438</v>
      </c>
      <c r="AC39" s="326">
        <f>AB55</f>
        <v>0.89963671751132313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1204</v>
      </c>
      <c r="G40" s="102">
        <f t="shared" si="16"/>
        <v>21888.720000000001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3216.3618073801176</v>
      </c>
      <c r="N40" s="105">
        <f t="shared" si="10"/>
        <v>1072.1206024600392</v>
      </c>
      <c r="O40" s="107">
        <f t="shared" si="11"/>
        <v>0</v>
      </c>
      <c r="P40" s="108">
        <f t="shared" si="12"/>
        <v>-127.87939753996079</v>
      </c>
      <c r="Q40" s="109">
        <f t="shared" si="13"/>
        <v>0.89343383538336596</v>
      </c>
      <c r="R40" s="322"/>
      <c r="S40" s="46">
        <v>0.27222222222222225</v>
      </c>
      <c r="T40" s="47">
        <v>0.28781250000000003</v>
      </c>
      <c r="U40" s="110">
        <v>15</v>
      </c>
      <c r="V40" s="111">
        <v>22.46015974765071</v>
      </c>
      <c r="W40" s="112"/>
      <c r="X40" s="115"/>
      <c r="Y40" s="331"/>
      <c r="Z40" s="332"/>
      <c r="AA40" s="116">
        <f t="shared" si="14"/>
        <v>-383.63819261988237</v>
      </c>
      <c r="AB40" s="109">
        <f t="shared" si="15"/>
        <v>0.89343383538336596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1269</v>
      </c>
      <c r="G41" s="102">
        <f t="shared" si="16"/>
        <v>31496.58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3217.1201595422817</v>
      </c>
      <c r="N41" s="105">
        <f t="shared" si="10"/>
        <v>643.4240319084563</v>
      </c>
      <c r="O41" s="107">
        <f t="shared" si="11"/>
        <v>0</v>
      </c>
      <c r="P41" s="108">
        <f t="shared" si="12"/>
        <v>-76.5759680915437</v>
      </c>
      <c r="Q41" s="109">
        <f t="shared" si="13"/>
        <v>0.89364448876174485</v>
      </c>
      <c r="R41" s="322"/>
      <c r="S41" s="46">
        <v>0.29791666666666672</v>
      </c>
      <c r="T41" s="47">
        <v>0.31435185185185188</v>
      </c>
      <c r="U41" s="110">
        <v>14.550000000000036</v>
      </c>
      <c r="V41" s="111">
        <v>23.667129676260796</v>
      </c>
      <c r="W41" s="112"/>
      <c r="X41" s="115"/>
      <c r="Y41" s="331"/>
      <c r="Z41" s="332"/>
      <c r="AA41" s="116">
        <f t="shared" si="14"/>
        <v>-382.87984045771827</v>
      </c>
      <c r="AB41" s="109">
        <f t="shared" si="15"/>
        <v>0.89364448876174496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2079</v>
      </c>
      <c r="G42" s="102">
        <f t="shared" si="16"/>
        <v>35488.53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3015.6671831917834</v>
      </c>
      <c r="N42" s="105">
        <f t="shared" si="10"/>
        <v>1005.2223943972612</v>
      </c>
      <c r="O42" s="107">
        <f t="shared" si="11"/>
        <v>0</v>
      </c>
      <c r="P42" s="108">
        <f t="shared" si="12"/>
        <v>-94.777605602738845</v>
      </c>
      <c r="Q42" s="109">
        <f t="shared" si="13"/>
        <v>0.91383854036114653</v>
      </c>
      <c r="R42" s="322"/>
      <c r="S42" s="46">
        <v>0.32430555555555562</v>
      </c>
      <c r="T42" s="47">
        <v>0.35302083333333339</v>
      </c>
      <c r="U42" s="110">
        <v>15</v>
      </c>
      <c r="V42" s="111">
        <v>41.36398097749472</v>
      </c>
      <c r="W42" s="112"/>
      <c r="X42" s="115"/>
      <c r="Y42" s="331"/>
      <c r="Z42" s="332"/>
      <c r="AA42" s="116">
        <f t="shared" si="14"/>
        <v>-284.33281680821665</v>
      </c>
      <c r="AB42" s="109">
        <f t="shared" si="15"/>
        <v>0.91383854036114642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4525</v>
      </c>
      <c r="G43" s="102">
        <f t="shared" si="16"/>
        <v>63485.75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2741.9161146167417</v>
      </c>
      <c r="N43" s="105">
        <f t="shared" si="10"/>
        <v>913.97203820558059</v>
      </c>
      <c r="O43" s="107">
        <f t="shared" si="11"/>
        <v>0</v>
      </c>
      <c r="P43" s="108">
        <f t="shared" si="12"/>
        <v>-86.027961794419411</v>
      </c>
      <c r="Q43" s="109">
        <f t="shared" si="13"/>
        <v>0.91397203820558059</v>
      </c>
      <c r="R43" s="322"/>
      <c r="S43" s="46">
        <v>0.36319444444444454</v>
      </c>
      <c r="T43" s="47">
        <v>0.43195601851851861</v>
      </c>
      <c r="U43" s="110">
        <v>14.650000000000052</v>
      </c>
      <c r="V43" s="111">
        <v>99.018346532439267</v>
      </c>
      <c r="W43" s="112"/>
      <c r="X43" s="115"/>
      <c r="Y43" s="331"/>
      <c r="Z43" s="332"/>
      <c r="AA43" s="116">
        <f t="shared" si="14"/>
        <v>-258.08388538325835</v>
      </c>
      <c r="AB43" s="109">
        <f t="shared" si="15"/>
        <v>0.91397203820558059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6419</v>
      </c>
      <c r="G44" s="120">
        <f t="shared" si="16"/>
        <v>91663.319999999992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3213.9852368905504</v>
      </c>
      <c r="N44" s="105">
        <f t="shared" si="10"/>
        <v>1071.32841229685</v>
      </c>
      <c r="O44" s="107">
        <f t="shared" si="11"/>
        <v>0</v>
      </c>
      <c r="P44" s="108">
        <f t="shared" si="12"/>
        <v>-128.67158770314995</v>
      </c>
      <c r="Q44" s="109">
        <f t="shared" si="13"/>
        <v>0.89277367691404175</v>
      </c>
      <c r="R44" s="322"/>
      <c r="S44" s="46">
        <v>0.44236111111111126</v>
      </c>
      <c r="T44" s="119">
        <v>0.52556712962962981</v>
      </c>
      <c r="U44" s="110">
        <v>14.983333333333411</v>
      </c>
      <c r="V44" s="111">
        <v>119.8325355011939</v>
      </c>
      <c r="W44" s="112"/>
      <c r="X44" s="115"/>
      <c r="Y44" s="331"/>
      <c r="Z44" s="332"/>
      <c r="AA44" s="116">
        <f t="shared" si="14"/>
        <v>-386.01476310944963</v>
      </c>
      <c r="AB44" s="109">
        <f t="shared" si="15"/>
        <v>0.89277367691404175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3103.7466754140646</v>
      </c>
      <c r="N55" s="137">
        <f t="shared" ref="N55:N62" si="22">M55/L55</f>
        <v>846.4763660220176</v>
      </c>
      <c r="O55" s="138">
        <f t="shared" ref="O55:O62" si="23">L55-I55</f>
        <v>0</v>
      </c>
      <c r="P55" s="139">
        <f t="shared" ref="P55:P62" si="24">N55-K55</f>
        <v>-94.432724887073391</v>
      </c>
      <c r="Q55" s="140">
        <f t="shared" ref="Q55:Q62" si="25">N55/K55</f>
        <v>0.89963671751132301</v>
      </c>
      <c r="R55" s="323"/>
      <c r="S55" s="141">
        <v>0.25</v>
      </c>
      <c r="T55" s="142">
        <v>0.52556712962962981</v>
      </c>
      <c r="U55" s="143"/>
      <c r="V55" s="165"/>
      <c r="W55" s="98"/>
      <c r="X55" s="68"/>
      <c r="Y55" s="353"/>
      <c r="Z55" s="354"/>
      <c r="AA55" s="167">
        <f t="shared" ref="AA55:AA62" si="26">M55-J55</f>
        <v>-346.25332458593539</v>
      </c>
      <c r="AB55" s="140">
        <f t="shared" ref="AB55:AB62" si="27">M55/J55</f>
        <v>0.89963671751132313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1603</v>
      </c>
      <c r="G56" s="147">
        <f t="shared" ref="G56:G62" si="28">E56*F56</f>
        <v>33214.159999999996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3217.2783578594535</v>
      </c>
      <c r="N56" s="151">
        <f t="shared" si="22"/>
        <v>1072.4261192864844</v>
      </c>
      <c r="O56" s="153">
        <f t="shared" si="23"/>
        <v>0</v>
      </c>
      <c r="P56" s="154">
        <f t="shared" si="24"/>
        <v>-127.57388071351556</v>
      </c>
      <c r="Q56" s="155">
        <f t="shared" si="25"/>
        <v>0.89368843273873699</v>
      </c>
      <c r="R56" s="321">
        <f>Q72</f>
        <v>0.89600885972492184</v>
      </c>
      <c r="S56" s="156">
        <v>0.25</v>
      </c>
      <c r="T56" s="157">
        <v>0.27075231481481482</v>
      </c>
      <c r="U56" s="158"/>
      <c r="V56" s="159">
        <v>29.894833241594704</v>
      </c>
      <c r="W56" s="157"/>
      <c r="X56" s="168"/>
      <c r="Y56" s="324"/>
      <c r="Z56" s="325"/>
      <c r="AA56" s="114">
        <f t="shared" si="26"/>
        <v>-382.72164214054646</v>
      </c>
      <c r="AB56" s="155">
        <f t="shared" si="27"/>
        <v>0.8936884327387371</v>
      </c>
      <c r="AC56" s="326">
        <f>AB72</f>
        <v>0.89600885972492184</v>
      </c>
    </row>
    <row r="57" spans="1:29" ht="15.75" customHeight="1">
      <c r="A57" s="356"/>
      <c r="B57" s="99" t="s">
        <v>121</v>
      </c>
      <c r="C57" s="329" t="s">
        <v>232</v>
      </c>
      <c r="D57" s="330"/>
      <c r="E57" s="100">
        <v>23.72</v>
      </c>
      <c r="F57" s="101">
        <v>699</v>
      </c>
      <c r="G57" s="102">
        <f t="shared" si="28"/>
        <v>16580.28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3216.4311494849394</v>
      </c>
      <c r="N57" s="105">
        <f t="shared" si="22"/>
        <v>643.28622989698783</v>
      </c>
      <c r="O57" s="107">
        <f t="shared" si="23"/>
        <v>0</v>
      </c>
      <c r="P57" s="108">
        <f t="shared" si="24"/>
        <v>-76.713770103012166</v>
      </c>
      <c r="Q57" s="109">
        <f t="shared" si="25"/>
        <v>0.89345309707914977</v>
      </c>
      <c r="R57" s="322"/>
      <c r="S57" s="46">
        <v>0.28055555555555556</v>
      </c>
      <c r="T57" s="47">
        <v>0.28960648148148149</v>
      </c>
      <c r="U57" s="110">
        <v>15</v>
      </c>
      <c r="V57" s="111">
        <v>13.039296677224392</v>
      </c>
      <c r="W57" s="112"/>
      <c r="X57" s="13"/>
      <c r="Y57" s="331"/>
      <c r="Z57" s="332"/>
      <c r="AA57" s="116">
        <f t="shared" si="26"/>
        <v>-383.5688505150606</v>
      </c>
      <c r="AB57" s="109">
        <f t="shared" si="27"/>
        <v>0.89345309707914988</v>
      </c>
      <c r="AC57" s="327"/>
    </row>
    <row r="58" spans="1:29" ht="15.75" customHeight="1">
      <c r="A58" s="356"/>
      <c r="B58" s="99" t="s">
        <v>121</v>
      </c>
      <c r="C58" s="329" t="s">
        <v>135</v>
      </c>
      <c r="D58" s="330"/>
      <c r="E58" s="100">
        <v>30</v>
      </c>
      <c r="F58" s="101">
        <v>1852</v>
      </c>
      <c r="G58" s="102">
        <f t="shared" si="28"/>
        <v>55560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3216.7506743701642</v>
      </c>
      <c r="N58" s="105">
        <f t="shared" si="22"/>
        <v>804.18766859254106</v>
      </c>
      <c r="O58" s="107">
        <f t="shared" si="23"/>
        <v>0</v>
      </c>
      <c r="P58" s="108">
        <f t="shared" si="24"/>
        <v>-95.812331407458942</v>
      </c>
      <c r="Q58" s="109">
        <f t="shared" si="25"/>
        <v>0.89354185399171226</v>
      </c>
      <c r="R58" s="322"/>
      <c r="S58" s="46">
        <v>0.30000000000000004</v>
      </c>
      <c r="T58" s="47">
        <v>0.32398148148148154</v>
      </c>
      <c r="U58" s="110">
        <v>14.966666666666715</v>
      </c>
      <c r="V58" s="111">
        <v>34.54417555123608</v>
      </c>
      <c r="W58" s="112"/>
      <c r="X58" s="13"/>
      <c r="Y58" s="331"/>
      <c r="Z58" s="332"/>
      <c r="AA58" s="116">
        <f t="shared" si="26"/>
        <v>-383.24932562983577</v>
      </c>
      <c r="AB58" s="109">
        <f t="shared" si="27"/>
        <v>0.89354185399171226</v>
      </c>
      <c r="AC58" s="327"/>
    </row>
    <row r="59" spans="1:29" ht="15.75" customHeight="1">
      <c r="A59" s="356"/>
      <c r="B59" s="99" t="s">
        <v>121</v>
      </c>
      <c r="C59" s="329" t="s">
        <v>136</v>
      </c>
      <c r="D59" s="330"/>
      <c r="E59" s="100">
        <v>30</v>
      </c>
      <c r="F59" s="101">
        <v>2131</v>
      </c>
      <c r="G59" s="102">
        <f t="shared" si="28"/>
        <v>63930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3016.4409012974693</v>
      </c>
      <c r="N59" s="105">
        <f t="shared" si="22"/>
        <v>754.11022532436732</v>
      </c>
      <c r="O59" s="107">
        <f t="shared" si="23"/>
        <v>0</v>
      </c>
      <c r="P59" s="108">
        <f t="shared" si="24"/>
        <v>-70.88977467563268</v>
      </c>
      <c r="Q59" s="109">
        <f t="shared" si="25"/>
        <v>0.91407300039317252</v>
      </c>
      <c r="R59" s="322"/>
      <c r="S59" s="46">
        <v>0.33402777777777787</v>
      </c>
      <c r="T59" s="47">
        <v>0.36346064814814821</v>
      </c>
      <c r="U59" s="110">
        <v>15</v>
      </c>
      <c r="V59" s="111">
        <v>42.387702654808606</v>
      </c>
      <c r="W59" s="112"/>
      <c r="X59" s="115"/>
      <c r="Y59" s="331"/>
      <c r="Z59" s="332"/>
      <c r="AA59" s="116">
        <f t="shared" si="26"/>
        <v>-283.55909870253072</v>
      </c>
      <c r="AB59" s="109">
        <f t="shared" si="27"/>
        <v>0.91407300039317252</v>
      </c>
      <c r="AC59" s="327"/>
    </row>
    <row r="60" spans="1:29" ht="15.75" customHeight="1">
      <c r="A60" s="357"/>
      <c r="B60" s="99" t="s">
        <v>121</v>
      </c>
      <c r="C60" s="329" t="s">
        <v>137</v>
      </c>
      <c r="D60" s="330"/>
      <c r="E60" s="100">
        <v>27.48</v>
      </c>
      <c r="F60" s="101">
        <v>3144</v>
      </c>
      <c r="G60" s="102">
        <f t="shared" si="28"/>
        <v>86397.119999999995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3216.9658765915901</v>
      </c>
      <c r="N60" s="105">
        <f t="shared" si="22"/>
        <v>643.39317531831807</v>
      </c>
      <c r="O60" s="107">
        <f t="shared" si="23"/>
        <v>0</v>
      </c>
      <c r="P60" s="108">
        <f t="shared" si="24"/>
        <v>-76.606824681681928</v>
      </c>
      <c r="Q60" s="109">
        <f t="shared" si="25"/>
        <v>0.89360163238655288</v>
      </c>
      <c r="R60" s="322"/>
      <c r="S60" s="46">
        <v>0.37361111111111123</v>
      </c>
      <c r="T60" s="47">
        <v>0.41432870370370384</v>
      </c>
      <c r="U60" s="110">
        <v>14.61666666666674</v>
      </c>
      <c r="V60" s="111">
        <v>58.639105056304203</v>
      </c>
      <c r="W60" s="112"/>
      <c r="X60" s="115"/>
      <c r="Y60" s="331"/>
      <c r="Z60" s="332"/>
      <c r="AA60" s="116">
        <f t="shared" si="26"/>
        <v>-383.03412340840987</v>
      </c>
      <c r="AB60" s="109">
        <f t="shared" si="27"/>
        <v>0.89360163238655277</v>
      </c>
      <c r="AC60" s="327"/>
    </row>
    <row r="61" spans="1:29" ht="15.75" customHeight="1">
      <c r="A61" s="357"/>
      <c r="B61" s="99" t="s">
        <v>121</v>
      </c>
      <c r="C61" s="329" t="s">
        <v>138</v>
      </c>
      <c r="D61" s="330"/>
      <c r="E61" s="100">
        <v>18.18</v>
      </c>
      <c r="F61" s="101">
        <v>2102</v>
      </c>
      <c r="G61" s="120">
        <f t="shared" si="28"/>
        <v>38214.36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3213.3662807528704</v>
      </c>
      <c r="N61" s="105">
        <f t="shared" si="22"/>
        <v>1071.12209358429</v>
      </c>
      <c r="O61" s="107">
        <f t="shared" si="23"/>
        <v>0</v>
      </c>
      <c r="P61" s="108">
        <f t="shared" si="24"/>
        <v>-128.87790641570996</v>
      </c>
      <c r="Q61" s="109">
        <f t="shared" si="25"/>
        <v>0.892601744653575</v>
      </c>
      <c r="R61" s="322"/>
      <c r="S61" s="46">
        <v>0.42430555555555571</v>
      </c>
      <c r="T61" s="119">
        <v>0.45155092592592611</v>
      </c>
      <c r="U61" s="110">
        <v>15</v>
      </c>
      <c r="V61" s="111">
        <v>39.248560226520745</v>
      </c>
      <c r="W61" s="112"/>
      <c r="X61" s="49"/>
      <c r="Y61" s="331"/>
      <c r="Z61" s="332"/>
      <c r="AA61" s="116">
        <f t="shared" si="26"/>
        <v>-386.63371924712965</v>
      </c>
      <c r="AB61" s="109">
        <f t="shared" si="27"/>
        <v>0.89260174465357511</v>
      </c>
      <c r="AC61" s="327"/>
    </row>
    <row r="62" spans="1:29" ht="15.75" customHeight="1">
      <c r="A62" s="357"/>
      <c r="B62" s="99" t="s">
        <v>121</v>
      </c>
      <c r="C62" s="329" t="s">
        <v>139</v>
      </c>
      <c r="D62" s="330"/>
      <c r="E62" s="100">
        <v>16.66</v>
      </c>
      <c r="F62" s="101">
        <v>5270</v>
      </c>
      <c r="G62" s="120">
        <f t="shared" si="28"/>
        <v>87798.2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3213.3873667940716</v>
      </c>
      <c r="N62" s="105">
        <f t="shared" si="22"/>
        <v>642.67747335881427</v>
      </c>
      <c r="O62" s="122">
        <f t="shared" si="23"/>
        <v>0</v>
      </c>
      <c r="P62" s="123">
        <f t="shared" si="24"/>
        <v>-77.322526641185732</v>
      </c>
      <c r="Q62" s="124">
        <f t="shared" si="25"/>
        <v>0.89260760188724209</v>
      </c>
      <c r="R62" s="322"/>
      <c r="S62" s="46">
        <v>0.46180555555555575</v>
      </c>
      <c r="T62" s="119">
        <v>0.53013888888888905</v>
      </c>
      <c r="U62" s="110">
        <v>14.766666666666683</v>
      </c>
      <c r="V62" s="111">
        <v>98.400834977908701</v>
      </c>
      <c r="W62" s="112"/>
      <c r="X62" s="115"/>
      <c r="Y62" s="331"/>
      <c r="Z62" s="332"/>
      <c r="AA62" s="116">
        <f t="shared" si="26"/>
        <v>-386.61263320592843</v>
      </c>
      <c r="AB62" s="109">
        <f t="shared" si="27"/>
        <v>0.89260760188724209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3187.2315153072223</v>
      </c>
      <c r="N72" s="137">
        <f>M72/L72</f>
        <v>769.33174507415697</v>
      </c>
      <c r="O72" s="138">
        <f>L72-I72</f>
        <v>0</v>
      </c>
      <c r="P72" s="139">
        <f>N72-K72</f>
        <v>-89.288944581015357</v>
      </c>
      <c r="Q72" s="140">
        <f>N72/K72</f>
        <v>0.89600885972492184</v>
      </c>
      <c r="R72" s="323"/>
      <c r="S72" s="141">
        <v>0.25</v>
      </c>
      <c r="T72" s="142">
        <v>0.53013888888888905</v>
      </c>
      <c r="U72" s="143"/>
      <c r="V72" s="165"/>
      <c r="W72" s="166"/>
      <c r="X72" s="137"/>
      <c r="Y72" s="353"/>
      <c r="Z72" s="354"/>
      <c r="AA72" s="167">
        <f>M72-J72</f>
        <v>-369.91134183563508</v>
      </c>
      <c r="AB72" s="140">
        <f>M72/J72</f>
        <v>0.89600885972492184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1478</v>
      </c>
      <c r="G73" s="147">
        <f t="shared" ref="G73:G75" si="33">E73*F73</f>
        <v>42226.46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3120.1540871335455</v>
      </c>
      <c r="N73" s="151">
        <f>M73/L73</f>
        <v>260.01284059446215</v>
      </c>
      <c r="O73" s="153">
        <f>L73-I73</f>
        <v>0</v>
      </c>
      <c r="P73" s="154">
        <f>N73-K73</f>
        <v>-39.987159405537852</v>
      </c>
      <c r="Q73" s="155">
        <f>N73/K73</f>
        <v>0.86670946864820719</v>
      </c>
      <c r="R73" s="321">
        <f>Q89</f>
        <v>0.89372269938863402</v>
      </c>
      <c r="S73" s="156">
        <v>0.70833333333333337</v>
      </c>
      <c r="T73" s="157">
        <v>0.72806712962962972</v>
      </c>
      <c r="U73" s="158"/>
      <c r="V73" s="159">
        <v>28.421673264691048</v>
      </c>
      <c r="W73" s="157"/>
      <c r="X73" s="168"/>
      <c r="Y73" s="324"/>
      <c r="Z73" s="325"/>
      <c r="AA73" s="114">
        <f>M73-J73</f>
        <v>-479.84591286645446</v>
      </c>
      <c r="AB73" s="155">
        <f>M73/J73</f>
        <v>0.86670946864820708</v>
      </c>
      <c r="AC73" s="326">
        <f>AB89</f>
        <v>0.89372269938863413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506</v>
      </c>
      <c r="G74" s="102">
        <f t="shared" si="33"/>
        <v>8961.26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3266.7813009844222</v>
      </c>
      <c r="N74" s="105">
        <f>M74/L74</f>
        <v>653.35626019688448</v>
      </c>
      <c r="O74" s="107">
        <f>L74-I74</f>
        <v>0</v>
      </c>
      <c r="P74" s="108">
        <f>N74-K74</f>
        <v>-66.643739803115523</v>
      </c>
      <c r="Q74" s="109">
        <f>N74/K74</f>
        <v>0.90743925027345063</v>
      </c>
      <c r="R74" s="322"/>
      <c r="S74" s="46">
        <v>0.73194444444444451</v>
      </c>
      <c r="T74" s="47">
        <v>0.73839120370370381</v>
      </c>
      <c r="U74" s="110">
        <v>5.5833333333333002</v>
      </c>
      <c r="V74" s="111">
        <v>9.2935514204306315</v>
      </c>
      <c r="W74" s="112"/>
      <c r="X74" s="13"/>
      <c r="Y74" s="331"/>
      <c r="Z74" s="332"/>
      <c r="AA74" s="116">
        <f>M74-J74</f>
        <v>-333.21869901557784</v>
      </c>
      <c r="AB74" s="109">
        <f>M74/J74</f>
        <v>0.90743925027345063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1048</v>
      </c>
      <c r="G75" s="102">
        <f t="shared" si="33"/>
        <v>19828.160000000003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3265.2697652792804</v>
      </c>
      <c r="N75" s="105">
        <f>M75/L75</f>
        <v>653.05395305585603</v>
      </c>
      <c r="O75" s="107">
        <f>L75-I75</f>
        <v>0</v>
      </c>
      <c r="P75" s="108">
        <f>N75-K75</f>
        <v>-66.946046944143973</v>
      </c>
      <c r="Q75" s="109">
        <f>N75/K75</f>
        <v>0.90701937924424447</v>
      </c>
      <c r="R75" s="322"/>
      <c r="S75" s="46">
        <v>0.7416666666666667</v>
      </c>
      <c r="T75" s="47">
        <v>0.75503472222222223</v>
      </c>
      <c r="U75" s="110">
        <v>4.7166666666665513</v>
      </c>
      <c r="V75" s="111">
        <v>19.257214417205077</v>
      </c>
      <c r="W75" s="112"/>
      <c r="X75" s="13"/>
      <c r="Y75" s="331"/>
      <c r="Z75" s="332"/>
      <c r="AA75" s="116">
        <f>M75-J75</f>
        <v>-334.73023472071964</v>
      </c>
      <c r="AB75" s="109">
        <f>M75/J75</f>
        <v>0.90701937924424458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3217.4017177990827</v>
      </c>
      <c r="N89" s="137">
        <f t="shared" ref="N89:N94" si="37">M89/L89</f>
        <v>438.73659788169311</v>
      </c>
      <c r="O89" s="138">
        <f t="shared" ref="O89:O94" si="38">L89-I89</f>
        <v>0</v>
      </c>
      <c r="P89" s="139">
        <f t="shared" ref="P89:P94" si="39">N89-K89</f>
        <v>-52.17249302739782</v>
      </c>
      <c r="Q89" s="140">
        <f t="shared" ref="Q89:Q94" si="40">N89/K89</f>
        <v>0.89372269938863402</v>
      </c>
      <c r="R89" s="323"/>
      <c r="S89" s="141">
        <v>0.70833333333333337</v>
      </c>
      <c r="T89" s="142">
        <v>0.75503472222222223</v>
      </c>
      <c r="U89" s="143"/>
      <c r="V89" s="165"/>
      <c r="W89" s="166"/>
      <c r="X89" s="137"/>
      <c r="Y89" s="353"/>
      <c r="Z89" s="354"/>
      <c r="AA89" s="167">
        <f t="shared" ref="AA89:AA94" si="41">M89-J89</f>
        <v>-382.59828220091731</v>
      </c>
      <c r="AB89" s="140">
        <f t="shared" ref="AB89:AB94" si="42">M89/J89</f>
        <v>0.89372269938863413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514</v>
      </c>
      <c r="G90" s="147">
        <f t="shared" ref="G90:G94" si="43">E90*F90</f>
        <v>11960.78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2739.0771411010992</v>
      </c>
      <c r="N90" s="151">
        <f t="shared" si="37"/>
        <v>547.81542822021981</v>
      </c>
      <c r="O90" s="153">
        <f t="shared" si="38"/>
        <v>0</v>
      </c>
      <c r="P90" s="154">
        <f t="shared" si="39"/>
        <v>-52.184571779780185</v>
      </c>
      <c r="Q90" s="155">
        <f t="shared" si="40"/>
        <v>0.91302571370036634</v>
      </c>
      <c r="R90" s="321">
        <f>Q106</f>
        <v>0.91270506370097548</v>
      </c>
      <c r="S90" s="156">
        <v>0.70833333333333337</v>
      </c>
      <c r="T90" s="157">
        <v>0.71614583333333337</v>
      </c>
      <c r="U90" s="158"/>
      <c r="V90" s="159">
        <v>11.259266684107491</v>
      </c>
      <c r="W90" s="160"/>
      <c r="X90" s="161"/>
      <c r="Y90" s="324"/>
      <c r="Z90" s="325"/>
      <c r="AA90" s="114">
        <f t="shared" si="41"/>
        <v>-260.92285889890081</v>
      </c>
      <c r="AB90" s="155">
        <f t="shared" si="42"/>
        <v>0.91302571370036645</v>
      </c>
      <c r="AC90" s="326">
        <f>AB106</f>
        <v>0.91270506370097537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1307</v>
      </c>
      <c r="G91" s="102">
        <f t="shared" si="43"/>
        <v>32073.78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2739.3099097226473</v>
      </c>
      <c r="N91" s="105">
        <f t="shared" si="37"/>
        <v>684.82747743066182</v>
      </c>
      <c r="O91" s="107">
        <f t="shared" si="38"/>
        <v>0</v>
      </c>
      <c r="P91" s="108">
        <f t="shared" si="39"/>
        <v>-65.172522569338184</v>
      </c>
      <c r="Q91" s="109">
        <f t="shared" si="40"/>
        <v>0.9131033032408824</v>
      </c>
      <c r="R91" s="322"/>
      <c r="S91" s="46">
        <v>0.71944444444444444</v>
      </c>
      <c r="T91" s="47">
        <v>0.73931712962962959</v>
      </c>
      <c r="U91" s="110">
        <v>4.7499999999999432</v>
      </c>
      <c r="V91" s="111">
        <v>28.627648051672971</v>
      </c>
      <c r="W91" s="112"/>
      <c r="X91" s="115"/>
      <c r="Y91" s="331"/>
      <c r="Z91" s="332"/>
      <c r="AA91" s="116">
        <f t="shared" si="41"/>
        <v>-260.69009027735274</v>
      </c>
      <c r="AB91" s="109">
        <f t="shared" si="42"/>
        <v>0.9131033032408824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1367</v>
      </c>
      <c r="G92" s="102">
        <f t="shared" si="43"/>
        <v>33259.11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2737.2850913032712</v>
      </c>
      <c r="N92" s="105">
        <f t="shared" si="37"/>
        <v>684.3212728258178</v>
      </c>
      <c r="O92" s="107">
        <f t="shared" si="38"/>
        <v>0</v>
      </c>
      <c r="P92" s="108">
        <f t="shared" si="39"/>
        <v>-65.6787271741822</v>
      </c>
      <c r="Q92" s="109">
        <f t="shared" si="40"/>
        <v>0.91242836376775704</v>
      </c>
      <c r="R92" s="322"/>
      <c r="S92" s="46">
        <v>0.74305555555555558</v>
      </c>
      <c r="T92" s="47">
        <v>0.76385416666666672</v>
      </c>
      <c r="U92" s="110">
        <v>5.3833333333334288</v>
      </c>
      <c r="V92" s="111">
        <v>29.963996172919195</v>
      </c>
      <c r="W92" s="112"/>
      <c r="X92" s="115"/>
      <c r="Y92" s="331"/>
      <c r="Z92" s="332"/>
      <c r="AA92" s="116">
        <f t="shared" si="41"/>
        <v>-262.7149086967288</v>
      </c>
      <c r="AB92" s="109">
        <f t="shared" si="42"/>
        <v>0.91242836376775704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1512</v>
      </c>
      <c r="G93" s="102">
        <f t="shared" si="43"/>
        <v>33687.360000000001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3011.288774390463</v>
      </c>
      <c r="N93" s="105">
        <f t="shared" si="37"/>
        <v>602.25775487809256</v>
      </c>
      <c r="O93" s="107">
        <f t="shared" si="38"/>
        <v>0</v>
      </c>
      <c r="P93" s="108">
        <f t="shared" si="39"/>
        <v>-57.742245121907445</v>
      </c>
      <c r="Q93" s="109">
        <f t="shared" si="40"/>
        <v>0.91251174981529171</v>
      </c>
      <c r="R93" s="322"/>
      <c r="S93" s="46">
        <v>0.76666666666666672</v>
      </c>
      <c r="T93" s="47">
        <v>0.78758101851851858</v>
      </c>
      <c r="U93" s="110">
        <v>5</v>
      </c>
      <c r="V93" s="111">
        <v>30.126635735346671</v>
      </c>
      <c r="W93" s="112"/>
      <c r="X93" s="115"/>
      <c r="Y93" s="331"/>
      <c r="Z93" s="332"/>
      <c r="AA93" s="116">
        <f t="shared" si="41"/>
        <v>-288.711225609537</v>
      </c>
      <c r="AB93" s="109">
        <f t="shared" si="42"/>
        <v>0.91251174981529182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4947</v>
      </c>
      <c r="G94" s="102">
        <f t="shared" si="43"/>
        <v>88501.83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3011.2380772177348</v>
      </c>
      <c r="N94" s="105">
        <f t="shared" si="37"/>
        <v>752.80951930443371</v>
      </c>
      <c r="O94" s="107">
        <f t="shared" si="38"/>
        <v>0</v>
      </c>
      <c r="P94" s="108">
        <f t="shared" si="39"/>
        <v>-72.190480695566293</v>
      </c>
      <c r="Q94" s="109">
        <f t="shared" si="40"/>
        <v>0.91249638703567726</v>
      </c>
      <c r="R94" s="322"/>
      <c r="S94" s="46">
        <v>0.79166666666666674</v>
      </c>
      <c r="T94" s="47">
        <v>0.86011574074074082</v>
      </c>
      <c r="U94" s="110">
        <v>5.8833333333333471</v>
      </c>
      <c r="V94" s="111">
        <v>98.570751428013949</v>
      </c>
      <c r="W94" s="112"/>
      <c r="X94" s="115"/>
      <c r="Y94" s="331"/>
      <c r="Z94" s="332"/>
      <c r="AA94" s="116">
        <f t="shared" si="41"/>
        <v>-288.76192278226517</v>
      </c>
      <c r="AB94" s="109">
        <f t="shared" si="42"/>
        <v>0.91249638703567726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2847.6397987470432</v>
      </c>
      <c r="N106" s="137">
        <f t="shared" ref="N106:N113" si="48">M106/L106</f>
        <v>647.19086335160068</v>
      </c>
      <c r="O106" s="138">
        <f t="shared" ref="O106:O113" si="49">L106-I106</f>
        <v>0</v>
      </c>
      <c r="P106" s="139">
        <f t="shared" ref="P106:P113" si="50">N106-K106</f>
        <v>-61.900045739308325</v>
      </c>
      <c r="Q106" s="140">
        <f t="shared" ref="Q106:Q113" si="51">N106/K106</f>
        <v>0.91270506370097548</v>
      </c>
      <c r="R106" s="323"/>
      <c r="S106" s="141">
        <v>0.70833333333333337</v>
      </c>
      <c r="T106" s="142">
        <v>0.86011574074074082</v>
      </c>
      <c r="U106" s="143"/>
      <c r="V106" s="165"/>
      <c r="W106" s="98"/>
      <c r="X106" s="68"/>
      <c r="Y106" s="353"/>
      <c r="Z106" s="354"/>
      <c r="AA106" s="167">
        <f t="shared" ref="AA106:AA113" si="52">M106-J106</f>
        <v>-272.36020125295681</v>
      </c>
      <c r="AB106" s="140">
        <f t="shared" ref="AB106:AB113" si="53">M106/J106</f>
        <v>0.91270506370097537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598</v>
      </c>
      <c r="G107" s="147">
        <f t="shared" ref="G107:G113" si="54">E107*F107</f>
        <v>10871.64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2740.6541168696367</v>
      </c>
      <c r="N107" s="151">
        <f t="shared" si="48"/>
        <v>913.55137228987894</v>
      </c>
      <c r="O107" s="153">
        <f t="shared" si="49"/>
        <v>0</v>
      </c>
      <c r="P107" s="154">
        <f t="shared" si="50"/>
        <v>-86.448627710121059</v>
      </c>
      <c r="Q107" s="155">
        <f t="shared" si="51"/>
        <v>0.91355137228987893</v>
      </c>
      <c r="R107" s="321">
        <f>Q123</f>
        <v>0.90407009424381912</v>
      </c>
      <c r="S107" s="156">
        <v>0.73194444444444451</v>
      </c>
      <c r="T107" s="157">
        <v>0.74103009259259267</v>
      </c>
      <c r="U107" s="158"/>
      <c r="V107" s="159">
        <v>13.091765129772005</v>
      </c>
      <c r="W107" s="160"/>
      <c r="X107" s="161"/>
      <c r="Y107" s="324"/>
      <c r="Z107" s="325"/>
      <c r="AA107" s="114">
        <f t="shared" si="52"/>
        <v>-259.34588313036329</v>
      </c>
      <c r="AB107" s="155">
        <f t="shared" si="53"/>
        <v>0.91355137228987893</v>
      </c>
      <c r="AC107" s="326">
        <f>AB123</f>
        <v>0.90407009424381912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1186</v>
      </c>
      <c r="G108" s="102">
        <f t="shared" si="54"/>
        <v>21561.48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3218.6846169944897</v>
      </c>
      <c r="N108" s="105">
        <f t="shared" si="48"/>
        <v>1072.8948723314966</v>
      </c>
      <c r="O108" s="107">
        <f t="shared" si="49"/>
        <v>0</v>
      </c>
      <c r="P108" s="108">
        <f t="shared" si="50"/>
        <v>-127.10512766850343</v>
      </c>
      <c r="Q108" s="109">
        <f t="shared" si="51"/>
        <v>0.89407906027624717</v>
      </c>
      <c r="R108" s="322"/>
      <c r="S108" s="46">
        <v>0.75138888888888888</v>
      </c>
      <c r="T108" s="47">
        <v>0.76673611111111106</v>
      </c>
      <c r="U108" s="110">
        <v>14.916666666666547</v>
      </c>
      <c r="V108" s="111">
        <v>22.108410256872901</v>
      </c>
      <c r="W108" s="112"/>
      <c r="X108" s="115"/>
      <c r="Y108" s="331"/>
      <c r="Z108" s="332"/>
      <c r="AA108" s="116">
        <f t="shared" si="52"/>
        <v>-381.31538300551028</v>
      </c>
      <c r="AB108" s="109">
        <f t="shared" si="53"/>
        <v>0.89407906027624717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2020</v>
      </c>
      <c r="G109" s="102">
        <f t="shared" si="54"/>
        <v>28340.6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2740.0401003867814</v>
      </c>
      <c r="N109" s="105">
        <f t="shared" si="48"/>
        <v>913.34670012892718</v>
      </c>
      <c r="O109" s="107">
        <f t="shared" si="49"/>
        <v>0</v>
      </c>
      <c r="P109" s="108">
        <f t="shared" si="50"/>
        <v>-86.653299871072818</v>
      </c>
      <c r="Q109" s="109">
        <f t="shared" si="51"/>
        <v>0.91334670012892716</v>
      </c>
      <c r="R109" s="322"/>
      <c r="S109" s="46">
        <v>0.77708333333333324</v>
      </c>
      <c r="T109" s="47">
        <v>0.80778935185185174</v>
      </c>
      <c r="U109" s="110">
        <v>14.899999999999931</v>
      </c>
      <c r="V109" s="111">
        <v>44.232929285557361</v>
      </c>
      <c r="W109" s="112"/>
      <c r="X109" s="115"/>
      <c r="Y109" s="331"/>
      <c r="Z109" s="332"/>
      <c r="AA109" s="116">
        <f t="shared" si="52"/>
        <v>-259.95989961321857</v>
      </c>
      <c r="AB109" s="109">
        <f t="shared" si="53"/>
        <v>0.91334670012892716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2467</v>
      </c>
      <c r="G110" s="102">
        <f t="shared" si="54"/>
        <v>35228.76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3217.7603308296866</v>
      </c>
      <c r="N110" s="105">
        <f t="shared" si="48"/>
        <v>1072.5867769432289</v>
      </c>
      <c r="O110" s="107">
        <f t="shared" si="49"/>
        <v>0</v>
      </c>
      <c r="P110" s="108">
        <f t="shared" si="50"/>
        <v>-127.41322305677113</v>
      </c>
      <c r="Q110" s="109">
        <f t="shared" si="51"/>
        <v>0.89382231411935742</v>
      </c>
      <c r="R110" s="322"/>
      <c r="S110" s="46">
        <v>0.81805555555555542</v>
      </c>
      <c r="T110" s="47">
        <v>0.84999999999999987</v>
      </c>
      <c r="U110" s="110">
        <v>14.783333333333299</v>
      </c>
      <c r="V110" s="111">
        <v>46.000940027075799</v>
      </c>
      <c r="W110" s="112"/>
      <c r="X110" s="115"/>
      <c r="Y110" s="331"/>
      <c r="Z110" s="332"/>
      <c r="AA110" s="116">
        <f t="shared" si="52"/>
        <v>-382.23966917031339</v>
      </c>
      <c r="AB110" s="109">
        <f t="shared" si="53"/>
        <v>0.89382231411935742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1343</v>
      </c>
      <c r="G111" s="102">
        <f t="shared" si="54"/>
        <v>24415.739999999998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2740.6541168696372</v>
      </c>
      <c r="N111" s="105">
        <f t="shared" si="48"/>
        <v>913.55137228987905</v>
      </c>
      <c r="O111" s="107">
        <f t="shared" si="49"/>
        <v>0</v>
      </c>
      <c r="P111" s="108">
        <f t="shared" si="50"/>
        <v>-86.448627710120945</v>
      </c>
      <c r="Q111" s="109">
        <f t="shared" si="51"/>
        <v>0.91355137228987904</v>
      </c>
      <c r="R111" s="322"/>
      <c r="S111" s="46">
        <v>0.8604166666666665</v>
      </c>
      <c r="T111" s="47">
        <v>0.88083333333333313</v>
      </c>
      <c r="U111" s="110">
        <v>14.999999999999947</v>
      </c>
      <c r="V111" s="111">
        <v>29.401740082414385</v>
      </c>
      <c r="W111" s="112"/>
      <c r="X111" s="115"/>
      <c r="Y111" s="331"/>
      <c r="Z111" s="332"/>
      <c r="AA111" s="116">
        <f t="shared" si="52"/>
        <v>-259.34588313036284</v>
      </c>
      <c r="AB111" s="109">
        <f t="shared" si="53"/>
        <v>0.91355137228987904</v>
      </c>
      <c r="AC111" s="327"/>
    </row>
    <row r="112" spans="1:29" ht="15.75" customHeight="1">
      <c r="A112" s="317"/>
      <c r="B112" s="99" t="s">
        <v>121</v>
      </c>
      <c r="C112" s="329" t="s">
        <v>153</v>
      </c>
      <c r="D112" s="330"/>
      <c r="E112" s="100">
        <v>14.03</v>
      </c>
      <c r="F112" s="101">
        <v>5175</v>
      </c>
      <c r="G112" s="120">
        <f t="shared" si="54"/>
        <v>72605.25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2740.0401003867814</v>
      </c>
      <c r="N112" s="105">
        <f t="shared" si="48"/>
        <v>913.34670012892718</v>
      </c>
      <c r="O112" s="107">
        <f t="shared" si="49"/>
        <v>0</v>
      </c>
      <c r="P112" s="108">
        <f t="shared" si="50"/>
        <v>-86.653299871072818</v>
      </c>
      <c r="Q112" s="109">
        <f t="shared" si="51"/>
        <v>0.91334670012892716</v>
      </c>
      <c r="R112" s="322"/>
      <c r="S112" s="46">
        <v>0.89097222222222205</v>
      </c>
      <c r="T112" s="119">
        <v>0.96966435185185174</v>
      </c>
      <c r="U112" s="110">
        <v>14.600000000000044</v>
      </c>
      <c r="V112" s="111">
        <v>113.31950943205908</v>
      </c>
      <c r="W112" s="112"/>
      <c r="X112" s="115"/>
      <c r="Y112" s="331"/>
      <c r="Z112" s="332"/>
      <c r="AA112" s="116">
        <f t="shared" si="52"/>
        <v>-259.95989961321857</v>
      </c>
      <c r="AB112" s="109">
        <f t="shared" si="53"/>
        <v>0.91334670012892716</v>
      </c>
      <c r="AC112" s="327"/>
    </row>
    <row r="113" spans="1:29" ht="15.75" customHeight="1">
      <c r="A113" s="317"/>
      <c r="B113" s="99" t="s">
        <v>121</v>
      </c>
      <c r="C113" s="329" t="s">
        <v>154</v>
      </c>
      <c r="D113" s="330"/>
      <c r="E113" s="100">
        <v>14.28</v>
      </c>
      <c r="F113" s="101">
        <v>6796</v>
      </c>
      <c r="G113" s="120">
        <f t="shared" si="54"/>
        <v>97046.87999999999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3214.9647664220633</v>
      </c>
      <c r="N113" s="105">
        <f t="shared" si="48"/>
        <v>1071.6549221406879</v>
      </c>
      <c r="O113" s="122">
        <f t="shared" si="49"/>
        <v>0</v>
      </c>
      <c r="P113" s="123">
        <f t="shared" si="50"/>
        <v>-128.34507785931214</v>
      </c>
      <c r="Q113" s="124">
        <f t="shared" si="51"/>
        <v>0.89304576845057326</v>
      </c>
      <c r="R113" s="322"/>
      <c r="S113" s="46">
        <v>0.97986111111111096</v>
      </c>
      <c r="T113" s="119">
        <v>1.0679282407407407</v>
      </c>
      <c r="U113" s="110">
        <v>14.683333333333284</v>
      </c>
      <c r="V113" s="111">
        <v>126.83187208107304</v>
      </c>
      <c r="W113" s="112"/>
      <c r="X113" s="115"/>
      <c r="Y113" s="331"/>
      <c r="Z113" s="332"/>
      <c r="AA113" s="116">
        <f t="shared" si="52"/>
        <v>-385.03523357793665</v>
      </c>
      <c r="AB113" s="109">
        <f t="shared" si="53"/>
        <v>0.89304576845057315</v>
      </c>
      <c r="AC113" s="327"/>
    </row>
    <row r="114" spans="1:29" ht="15.75" customHeight="1">
      <c r="A114" s="317"/>
      <c r="B114" s="99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46"/>
      <c r="T114" s="119"/>
      <c r="U114" s="110"/>
      <c r="V114" s="111"/>
      <c r="W114" s="112"/>
      <c r="X114" s="115"/>
      <c r="Y114" s="331"/>
      <c r="Z114" s="332"/>
      <c r="AA114" s="116"/>
      <c r="AB114" s="109"/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2944.6854498227253</v>
      </c>
      <c r="N123" s="137">
        <f t="shared" ref="N123:N135" si="59">M123/L123</f>
        <v>981.56181660757511</v>
      </c>
      <c r="O123" s="138">
        <f t="shared" ref="O123:O135" si="60">L123-I123</f>
        <v>0</v>
      </c>
      <c r="P123" s="139">
        <f t="shared" ref="P123:P135" si="61">N123-K123</f>
        <v>-104.15246910671067</v>
      </c>
      <c r="Q123" s="140">
        <f t="shared" ref="Q123:Q135" si="62">N123/K123</f>
        <v>0.90407009424381912</v>
      </c>
      <c r="R123" s="323"/>
      <c r="S123" s="141">
        <v>0.73194444444444451</v>
      </c>
      <c r="T123" s="142">
        <v>1.0679282407407407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-312.45740732013201</v>
      </c>
      <c r="AB123" s="140">
        <f t="shared" ref="AB123:AB135" si="64">M123/J123</f>
        <v>0.90407009424381912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429</v>
      </c>
      <c r="G124" s="147">
        <f t="shared" ref="G124:G135" si="65">E124*F124</f>
        <v>10737.87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3215.6287436999587</v>
      </c>
      <c r="N124" s="151">
        <f t="shared" si="59"/>
        <v>643.12574873999176</v>
      </c>
      <c r="O124" s="153">
        <f t="shared" si="60"/>
        <v>0</v>
      </c>
      <c r="P124" s="154">
        <f t="shared" si="61"/>
        <v>-76.874251260008236</v>
      </c>
      <c r="Q124" s="155">
        <f t="shared" si="62"/>
        <v>0.89323020658332186</v>
      </c>
      <c r="R124" s="321">
        <f>Q140</f>
        <v>0.89323779381702584</v>
      </c>
      <c r="S124" s="156">
        <v>0.73749999999999993</v>
      </c>
      <c r="T124" s="157">
        <v>0.74305555555555547</v>
      </c>
      <c r="U124" s="158"/>
      <c r="V124" s="159">
        <v>8.0046554038396565</v>
      </c>
      <c r="W124" s="157"/>
      <c r="X124" s="168"/>
      <c r="Y124" s="324"/>
      <c r="Z124" s="325"/>
      <c r="AA124" s="170">
        <f t="shared" si="63"/>
        <v>-384.3712563000413</v>
      </c>
      <c r="AB124" s="155">
        <f t="shared" si="64"/>
        <v>0.89323020658332186</v>
      </c>
      <c r="AC124" s="326">
        <f>AB140</f>
        <v>0.89323779381702584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410</v>
      </c>
      <c r="G125" s="102">
        <f t="shared" si="65"/>
        <v>6847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3217.6438854278294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22"/>
      <c r="S125" s="46">
        <v>0.7534722222222221</v>
      </c>
      <c r="T125" s="47">
        <v>0.758773148148148</v>
      </c>
      <c r="U125" s="110">
        <v>14.999999999999947</v>
      </c>
      <c r="V125" s="111">
        <v>7.6453457486110503</v>
      </c>
      <c r="W125" s="112"/>
      <c r="X125" s="13"/>
      <c r="Y125" s="331"/>
      <c r="Z125" s="332"/>
      <c r="AA125" s="171">
        <f t="shared" si="63"/>
        <v>-382.35611457217055</v>
      </c>
      <c r="AB125" s="109">
        <f t="shared" si="64"/>
        <v>0.89378996817439704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637</v>
      </c>
      <c r="G126" s="102">
        <f t="shared" si="65"/>
        <v>19110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3213.480030983033</v>
      </c>
      <c r="N126" s="105">
        <f t="shared" si="59"/>
        <v>803.37000774575824</v>
      </c>
      <c r="O126" s="107">
        <f t="shared" si="60"/>
        <v>0</v>
      </c>
      <c r="P126" s="108">
        <f t="shared" si="61"/>
        <v>-96.629992254241756</v>
      </c>
      <c r="Q126" s="109">
        <f t="shared" si="62"/>
        <v>0.89263334193973143</v>
      </c>
      <c r="R126" s="322"/>
      <c r="S126" s="46">
        <v>0.76874999999999982</v>
      </c>
      <c r="T126" s="47">
        <v>0.77700231481481463</v>
      </c>
      <c r="U126" s="110">
        <v>15</v>
      </c>
      <c r="V126" s="111">
        <v>11.893647893093691</v>
      </c>
      <c r="W126" s="112"/>
      <c r="X126" s="13"/>
      <c r="Y126" s="331"/>
      <c r="Z126" s="332"/>
      <c r="AA126" s="171">
        <f t="shared" si="63"/>
        <v>-386.51996901696702</v>
      </c>
      <c r="AB126" s="109">
        <f t="shared" si="64"/>
        <v>0.89263334193973143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648</v>
      </c>
      <c r="G127" s="102">
        <f t="shared" si="65"/>
        <v>16083.36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3215.9131506730569</v>
      </c>
      <c r="N127" s="105">
        <f t="shared" si="59"/>
        <v>643.18263013461137</v>
      </c>
      <c r="O127" s="107">
        <f t="shared" si="60"/>
        <v>0</v>
      </c>
      <c r="P127" s="108">
        <f t="shared" si="61"/>
        <v>-76.817369865388628</v>
      </c>
      <c r="Q127" s="109">
        <f t="shared" si="62"/>
        <v>0.89330920852029361</v>
      </c>
      <c r="R127" s="322"/>
      <c r="S127" s="46">
        <v>0.78680555555555531</v>
      </c>
      <c r="T127" s="47">
        <v>0.79519675925925903</v>
      </c>
      <c r="U127" s="110">
        <v>15</v>
      </c>
      <c r="V127" s="111">
        <v>12.089878730668714</v>
      </c>
      <c r="W127" s="112"/>
      <c r="X127" s="13"/>
      <c r="Y127" s="331"/>
      <c r="Z127" s="332"/>
      <c r="AA127" s="171">
        <f t="shared" si="63"/>
        <v>-384.08684932694314</v>
      </c>
      <c r="AB127" s="109">
        <f t="shared" si="64"/>
        <v>0.89330920852029361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923</v>
      </c>
      <c r="G128" s="102">
        <f t="shared" si="65"/>
        <v>16780.14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3215.0034114390855</v>
      </c>
      <c r="N128" s="105">
        <f t="shared" si="59"/>
        <v>1071.6678038130285</v>
      </c>
      <c r="O128" s="107">
        <f t="shared" si="60"/>
        <v>0</v>
      </c>
      <c r="P128" s="108">
        <f t="shared" si="61"/>
        <v>-128.33219618697149</v>
      </c>
      <c r="Q128" s="109">
        <f t="shared" si="62"/>
        <v>0.89305650317752372</v>
      </c>
      <c r="R128" s="322"/>
      <c r="S128" s="46">
        <v>0.80555555555555525</v>
      </c>
      <c r="T128" s="47">
        <v>0.81751157407407371</v>
      </c>
      <c r="U128" s="110">
        <v>14.916666666666547</v>
      </c>
      <c r="V128" s="111">
        <v>17.225487165256553</v>
      </c>
      <c r="W128" s="112"/>
      <c r="X128" s="115"/>
      <c r="Y128" s="331"/>
      <c r="Z128" s="332"/>
      <c r="AA128" s="171">
        <f t="shared" si="63"/>
        <v>-384.99658856091446</v>
      </c>
      <c r="AB128" s="109">
        <f t="shared" si="64"/>
        <v>0.89305650317752372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2029</v>
      </c>
      <c r="G129" s="120">
        <f t="shared" si="65"/>
        <v>33803.14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3215.6278723519899</v>
      </c>
      <c r="N129" s="105">
        <f t="shared" si="59"/>
        <v>643.12557447039796</v>
      </c>
      <c r="O129" s="107">
        <f t="shared" si="60"/>
        <v>0</v>
      </c>
      <c r="P129" s="108">
        <f t="shared" si="61"/>
        <v>-76.874425529602036</v>
      </c>
      <c r="Q129" s="109">
        <f t="shared" si="62"/>
        <v>0.89322996454221937</v>
      </c>
      <c r="R129" s="322"/>
      <c r="S129" s="46">
        <v>0.82777777777777739</v>
      </c>
      <c r="T129" s="119">
        <v>0.85406249999999961</v>
      </c>
      <c r="U129" s="110">
        <v>14.783333333333299</v>
      </c>
      <c r="V129" s="111">
        <v>37.858858310914052</v>
      </c>
      <c r="W129" s="112"/>
      <c r="X129" s="49"/>
      <c r="Y129" s="331"/>
      <c r="Z129" s="332"/>
      <c r="AA129" s="171">
        <f t="shared" si="63"/>
        <v>-384.37212764801006</v>
      </c>
      <c r="AB129" s="109">
        <f t="shared" si="64"/>
        <v>0.89322996454221948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962</v>
      </c>
      <c r="G130" s="120">
        <f t="shared" si="65"/>
        <v>24078.86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3215.6287436999592</v>
      </c>
      <c r="N130" s="105">
        <f t="shared" si="59"/>
        <v>643.12574873999188</v>
      </c>
      <c r="O130" s="122">
        <f t="shared" si="60"/>
        <v>0</v>
      </c>
      <c r="P130" s="123">
        <f t="shared" si="61"/>
        <v>-76.874251260008123</v>
      </c>
      <c r="Q130" s="124">
        <f t="shared" si="62"/>
        <v>0.89323020658332208</v>
      </c>
      <c r="R130" s="322"/>
      <c r="S130" s="46">
        <v>0.86388888888888848</v>
      </c>
      <c r="T130" s="119">
        <v>0.87634259259259217</v>
      </c>
      <c r="U130" s="110">
        <v>15</v>
      </c>
      <c r="V130" s="111">
        <v>17.949833329822258</v>
      </c>
      <c r="W130" s="112"/>
      <c r="X130" s="115"/>
      <c r="Y130" s="331"/>
      <c r="Z130" s="332"/>
      <c r="AA130" s="171">
        <f t="shared" si="63"/>
        <v>-384.37125630004084</v>
      </c>
      <c r="AB130" s="109">
        <f t="shared" si="64"/>
        <v>0.89323020658332197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921</v>
      </c>
      <c r="G131" s="120">
        <f t="shared" si="65"/>
        <v>15380.699999999999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3217.6438854278294</v>
      </c>
      <c r="N131" s="105">
        <f t="shared" si="59"/>
        <v>1072.5479618092766</v>
      </c>
      <c r="O131" s="122">
        <f t="shared" si="60"/>
        <v>0</v>
      </c>
      <c r="P131" s="123">
        <f t="shared" si="61"/>
        <v>-127.45203819072344</v>
      </c>
      <c r="Q131" s="124">
        <f t="shared" si="62"/>
        <v>0.89378996817439715</v>
      </c>
      <c r="R131" s="322"/>
      <c r="S131" s="46">
        <v>0.88611111111111063</v>
      </c>
      <c r="T131" s="119">
        <v>0.89803240740740697</v>
      </c>
      <c r="U131" s="110">
        <v>15</v>
      </c>
      <c r="V131" s="111">
        <v>17.174057157245798</v>
      </c>
      <c r="W131" s="112"/>
      <c r="X131" s="115"/>
      <c r="Y131" s="331"/>
      <c r="Z131" s="332"/>
      <c r="AA131" s="171">
        <f t="shared" si="63"/>
        <v>-382.35611457217055</v>
      </c>
      <c r="AB131" s="109">
        <f t="shared" si="64"/>
        <v>0.89378996817439704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1608</v>
      </c>
      <c r="G132" s="120">
        <f t="shared" si="65"/>
        <v>48240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3213.4800309830325</v>
      </c>
      <c r="N132" s="105">
        <f t="shared" si="59"/>
        <v>803.37000774575813</v>
      </c>
      <c r="O132" s="122">
        <f t="shared" si="60"/>
        <v>0</v>
      </c>
      <c r="P132" s="123">
        <f t="shared" si="61"/>
        <v>-96.62999225424187</v>
      </c>
      <c r="Q132" s="124">
        <f t="shared" si="62"/>
        <v>0.89263334193973121</v>
      </c>
      <c r="R132" s="322"/>
      <c r="S132" s="46">
        <v>0.90833333333333277</v>
      </c>
      <c r="T132" s="119">
        <v>0.92917824074074018</v>
      </c>
      <c r="U132" s="110">
        <v>14.833333333333147</v>
      </c>
      <c r="V132" s="111">
        <v>30.023525607683922</v>
      </c>
      <c r="W132" s="125"/>
      <c r="X132" s="126"/>
      <c r="Y132" s="331"/>
      <c r="Z132" s="332"/>
      <c r="AA132" s="171">
        <f t="shared" si="63"/>
        <v>-386.51996901696748</v>
      </c>
      <c r="AB132" s="109">
        <f t="shared" si="64"/>
        <v>0.89263334193973121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1489</v>
      </c>
      <c r="G133" s="120">
        <f t="shared" si="65"/>
        <v>36956.980000000003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3215.9131506730569</v>
      </c>
      <c r="N133" s="105">
        <f t="shared" si="59"/>
        <v>643.18263013461137</v>
      </c>
      <c r="O133" s="122">
        <f t="shared" si="60"/>
        <v>0</v>
      </c>
      <c r="P133" s="123">
        <f t="shared" si="61"/>
        <v>-76.817369865388628</v>
      </c>
      <c r="Q133" s="124">
        <f t="shared" si="62"/>
        <v>0.89330920852029361</v>
      </c>
      <c r="R133" s="322"/>
      <c r="S133" s="46">
        <v>0.93958333333333277</v>
      </c>
      <c r="T133" s="119">
        <v>0.95886574074074016</v>
      </c>
      <c r="U133" s="110">
        <v>14.983333333333331</v>
      </c>
      <c r="V133" s="111">
        <v>27.780600972169314</v>
      </c>
      <c r="W133" s="125"/>
      <c r="X133" s="126"/>
      <c r="Y133" s="331"/>
      <c r="Z133" s="332"/>
      <c r="AA133" s="171">
        <f t="shared" si="63"/>
        <v>-384.08684932694314</v>
      </c>
      <c r="AB133" s="109">
        <f t="shared" si="64"/>
        <v>0.89330920852029361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2369</v>
      </c>
      <c r="G134" s="120">
        <f t="shared" si="65"/>
        <v>43068.42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3215.0034114390851</v>
      </c>
      <c r="N134" s="105">
        <f t="shared" si="59"/>
        <v>1071.6678038130283</v>
      </c>
      <c r="O134" s="122">
        <f t="shared" si="60"/>
        <v>0</v>
      </c>
      <c r="P134" s="123">
        <f t="shared" si="61"/>
        <v>-128.33219618697171</v>
      </c>
      <c r="Q134" s="124">
        <f t="shared" si="62"/>
        <v>0.89305650317752361</v>
      </c>
      <c r="R134" s="322"/>
      <c r="S134" s="46">
        <v>0.96874999999999944</v>
      </c>
      <c r="T134" s="119">
        <v>0.99944444444444391</v>
      </c>
      <c r="U134" s="110">
        <v>15</v>
      </c>
      <c r="V134" s="111">
        <v>44.211461640837243</v>
      </c>
      <c r="W134" s="125"/>
      <c r="X134" s="126"/>
      <c r="Y134" s="331"/>
      <c r="Z134" s="332"/>
      <c r="AA134" s="171">
        <f t="shared" si="63"/>
        <v>-384.99658856091492</v>
      </c>
      <c r="AB134" s="109">
        <f t="shared" si="64"/>
        <v>0.89305650317752361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5394</v>
      </c>
      <c r="G135" s="120">
        <f t="shared" si="65"/>
        <v>89864.04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3216.9063760975996</v>
      </c>
      <c r="N135" s="105">
        <f t="shared" si="59"/>
        <v>643.38127521951992</v>
      </c>
      <c r="O135" s="122">
        <f t="shared" si="60"/>
        <v>0</v>
      </c>
      <c r="P135" s="123">
        <f t="shared" si="61"/>
        <v>-76.618724780480079</v>
      </c>
      <c r="Q135" s="124">
        <f t="shared" si="62"/>
        <v>0.89358510447155548</v>
      </c>
      <c r="R135" s="322"/>
      <c r="S135" s="46">
        <v>1.0097222222222217</v>
      </c>
      <c r="T135" s="119">
        <v>1.0795833333333329</v>
      </c>
      <c r="U135" s="110">
        <v>14.800000000000075</v>
      </c>
      <c r="V135" s="111">
        <v>100.60597423808299</v>
      </c>
      <c r="W135" s="125"/>
      <c r="X135" s="126"/>
      <c r="Y135" s="331"/>
      <c r="Z135" s="332"/>
      <c r="AA135" s="171">
        <f t="shared" si="63"/>
        <v>-383.0936239024004</v>
      </c>
      <c r="AB135" s="109">
        <f t="shared" si="64"/>
        <v>0.89358510447155548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3215.6560577412929</v>
      </c>
      <c r="N140" s="137">
        <f>M140/L140</f>
        <v>771.75745385791026</v>
      </c>
      <c r="O140" s="138">
        <f>L140-I140</f>
        <v>0</v>
      </c>
      <c r="P140" s="139">
        <f>N140-K140</f>
        <v>-92.242546142089623</v>
      </c>
      <c r="Q140" s="140">
        <f>N140/K140</f>
        <v>0.89323779381702584</v>
      </c>
      <c r="R140" s="323"/>
      <c r="S140" s="141">
        <v>0.73749999999999993</v>
      </c>
      <c r="T140" s="142">
        <v>1.0795833333333329</v>
      </c>
      <c r="U140" s="143"/>
      <c r="V140" s="165"/>
      <c r="W140" s="166"/>
      <c r="X140" s="137"/>
      <c r="Y140" s="353"/>
      <c r="Z140" s="354"/>
      <c r="AA140" s="173">
        <f>M140-J140</f>
        <v>-384.3439422587071</v>
      </c>
      <c r="AB140" s="140">
        <f>M140/J140</f>
        <v>0.89323779381702584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FE04093C-321A-498E-B28C-82D6F86B70C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84BD-8992-4686-A617-F6FE1E1CB78A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M41" sqref="M41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87847</v>
      </c>
      <c r="E1" s="87" t="s">
        <v>4</v>
      </c>
      <c r="F1" s="88">
        <f>SUM(G5:G140)</f>
        <v>3796022.9100000006</v>
      </c>
      <c r="G1" s="89" t="s">
        <v>85</v>
      </c>
      <c r="H1" s="90">
        <f>L21+L38+L55+L72+L89+L106+L123+L140</f>
        <v>135.93333333333334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46240</v>
      </c>
      <c r="B2" s="294"/>
      <c r="C2" s="91" t="s">
        <v>41</v>
      </c>
      <c r="D2" s="92">
        <f>AVERAGE(N21,N38,N55,N72,N89,N106,N123,N140)</f>
        <v>201.83136310026669</v>
      </c>
      <c r="E2" s="92" t="s">
        <v>92</v>
      </c>
      <c r="F2" s="93">
        <f>F1/D1</f>
        <v>43.211753503249973</v>
      </c>
      <c r="G2" s="94" t="s">
        <v>93</v>
      </c>
      <c r="H2" s="95">
        <f>COUNT(H5:H140)</f>
        <v>1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3846</v>
      </c>
      <c r="G5" s="147">
        <f t="shared" ref="G5:G8" si="0">E5*F5</f>
        <v>75766.2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1082.727288176849</v>
      </c>
      <c r="N5" s="151">
        <f>M5/L5</f>
        <v>83.286714475142233</v>
      </c>
      <c r="O5" s="153">
        <f>L5-I5</f>
        <v>0</v>
      </c>
      <c r="P5" s="154">
        <f>N5-K5</f>
        <v>-9.0209778325500736</v>
      </c>
      <c r="Q5" s="155">
        <f>N5/K5</f>
        <v>0.90227274014737424</v>
      </c>
      <c r="R5" s="321">
        <f>Q21</f>
        <v>0.90158528948705796</v>
      </c>
      <c r="S5" s="156">
        <v>0.20833333333333334</v>
      </c>
      <c r="T5" s="157">
        <v>0.35633101851851856</v>
      </c>
      <c r="U5" s="158"/>
      <c r="V5" s="159">
        <v>213.12846043491282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-117.27271182315098</v>
      </c>
      <c r="AF5" s="131">
        <f>M5/J5</f>
        <v>0.90227274014737413</v>
      </c>
      <c r="AG5" s="367">
        <f>AF21</f>
        <v>0.90158528948705807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3709</v>
      </c>
      <c r="G6" s="102">
        <f t="shared" si="0"/>
        <v>209298.87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1803.7548219448354</v>
      </c>
      <c r="N6" s="105">
        <f>M6/L6</f>
        <v>75.156450914368136</v>
      </c>
      <c r="O6" s="107">
        <f>L6-I6</f>
        <v>0</v>
      </c>
      <c r="P6" s="108">
        <f>N6-K6</f>
        <v>-8.1768824189651923</v>
      </c>
      <c r="Q6" s="109">
        <f>N6/K6</f>
        <v>0.90187741097241769</v>
      </c>
      <c r="R6" s="322"/>
      <c r="S6" s="46">
        <v>0.35972222222222222</v>
      </c>
      <c r="T6" s="47">
        <v>0.44539351851851849</v>
      </c>
      <c r="U6" s="110">
        <v>4.8833333333332707</v>
      </c>
      <c r="V6" s="111">
        <v>123.37596955669066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-196.24517805516462</v>
      </c>
      <c r="AF6" s="109">
        <f>M6/J6</f>
        <v>0.90187741097241769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912</v>
      </c>
      <c r="G7" s="102">
        <f t="shared" si="0"/>
        <v>70543.199999999997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1802.0216040393498</v>
      </c>
      <c r="N7" s="105">
        <f>M7/L7</f>
        <v>72.080864161573984</v>
      </c>
      <c r="O7" s="107">
        <f>L7-I7</f>
        <v>0</v>
      </c>
      <c r="P7" s="108">
        <f>N7-K7</f>
        <v>-7.9191358384260155</v>
      </c>
      <c r="Q7" s="109">
        <f>N7/K7</f>
        <v>0.90101080201967476</v>
      </c>
      <c r="R7" s="322"/>
      <c r="S7" s="46">
        <v>0.44930555555555551</v>
      </c>
      <c r="T7" s="47">
        <v>0.47038194444444442</v>
      </c>
      <c r="U7" s="110">
        <v>5.633333333333308</v>
      </c>
      <c r="V7" s="111">
        <v>30.365895657045137</v>
      </c>
      <c r="W7" s="112">
        <v>0.47038194444444442</v>
      </c>
      <c r="X7" s="115">
        <v>0.50972222222222219</v>
      </c>
      <c r="Y7" s="12"/>
      <c r="Z7" s="197"/>
      <c r="AA7" s="331"/>
      <c r="AB7" s="332"/>
      <c r="AC7" s="12"/>
      <c r="AD7" s="197"/>
      <c r="AE7" s="116">
        <f>M7-J7</f>
        <v>-197.97839596065023</v>
      </c>
      <c r="AF7" s="109">
        <f>M7/J7</f>
        <v>0.90101080201967487</v>
      </c>
      <c r="AG7" s="368"/>
    </row>
    <row r="8" spans="1:33" ht="15.75" customHeight="1">
      <c r="A8" s="317"/>
      <c r="B8" s="99" t="s">
        <v>188</v>
      </c>
      <c r="C8" s="370" t="s">
        <v>190</v>
      </c>
      <c r="D8" s="370"/>
      <c r="E8" s="100">
        <v>59.52</v>
      </c>
      <c r="F8" s="101">
        <v>3741</v>
      </c>
      <c r="G8" s="102">
        <f t="shared" si="0"/>
        <v>222664.32000000001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1802.9103701457843</v>
      </c>
      <c r="N8" s="105">
        <f>M8/L8</f>
        <v>75.121265422741018</v>
      </c>
      <c r="O8" s="107">
        <f>L8-I8</f>
        <v>0</v>
      </c>
      <c r="P8" s="108">
        <f>N8-K8</f>
        <v>-8.2120679105923102</v>
      </c>
      <c r="Q8" s="109">
        <f>N8/K8</f>
        <v>0.90145518507289224</v>
      </c>
      <c r="R8" s="322"/>
      <c r="S8" s="46">
        <v>0.50972222222222219</v>
      </c>
      <c r="T8" s="47">
        <v>0.59616898148148145</v>
      </c>
      <c r="U8" s="110">
        <v>56.649999999999984</v>
      </c>
      <c r="V8" s="111">
        <v>124.49870149776223</v>
      </c>
      <c r="W8" s="112"/>
      <c r="X8" s="115"/>
      <c r="Y8" s="12"/>
      <c r="Z8" s="197"/>
      <c r="AA8" s="331"/>
      <c r="AB8" s="332"/>
      <c r="AC8" s="12"/>
      <c r="AD8" s="197"/>
      <c r="AE8" s="116">
        <f>M8-J8</f>
        <v>-197.08962985421567</v>
      </c>
      <c r="AF8" s="109">
        <f>M8/J8</f>
        <v>0.90145518507289213</v>
      </c>
      <c r="AG8" s="368"/>
    </row>
    <row r="9" spans="1:33" ht="15.75" customHeight="1">
      <c r="A9" s="317"/>
      <c r="B9" s="99"/>
      <c r="C9" s="370"/>
      <c r="D9" s="370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22"/>
      <c r="S9" s="46"/>
      <c r="T9" s="47"/>
      <c r="U9" s="110"/>
      <c r="V9" s="111"/>
      <c r="W9" s="112"/>
      <c r="X9" s="115"/>
      <c r="Y9" s="12"/>
      <c r="Z9" s="197"/>
      <c r="AA9" s="331"/>
      <c r="AB9" s="332"/>
      <c r="AC9" s="12"/>
      <c r="AD9" s="197"/>
      <c r="AE9" s="116"/>
      <c r="AF9" s="109"/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1622.8535210767045</v>
      </c>
      <c r="N21" s="137">
        <f t="shared" ref="N21:N28" si="5">M21/L21</f>
        <v>75.481559119846722</v>
      </c>
      <c r="O21" s="138">
        <f t="shared" ref="O21:O28" si="6">L21-I21</f>
        <v>0</v>
      </c>
      <c r="P21" s="139">
        <f t="shared" ref="P21:P28" si="7">N21-K21</f>
        <v>-8.2393711127114244</v>
      </c>
      <c r="Q21" s="140">
        <f t="shared" ref="Q21:Q28" si="8">N21/K21</f>
        <v>0.90158528948705796</v>
      </c>
      <c r="R21" s="323"/>
      <c r="S21" s="141">
        <v>0.20833333333333334</v>
      </c>
      <c r="T21" s="142">
        <v>0.59616898148148145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8" si="9">M21-J21</f>
        <v>-177.14647892329549</v>
      </c>
      <c r="AF21" s="140">
        <f t="shared" ref="AF21:AF28" si="10">M21/J21</f>
        <v>0.90158528948705807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2438</v>
      </c>
      <c r="G22" s="147">
        <f t="shared" ref="G22:G28" si="11">E22*F22</f>
        <v>88865.1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1892.2283422374965</v>
      </c>
      <c r="N22" s="151">
        <f t="shared" si="5"/>
        <v>94.611417111874829</v>
      </c>
      <c r="O22" s="153">
        <f t="shared" si="6"/>
        <v>0</v>
      </c>
      <c r="P22" s="154">
        <f t="shared" si="7"/>
        <v>-10.388582888125171</v>
      </c>
      <c r="Q22" s="155">
        <f t="shared" si="8"/>
        <v>0.90106111535118882</v>
      </c>
      <c r="R22" s="321">
        <f>Q38</f>
        <v>0.90273007489832391</v>
      </c>
      <c r="S22" s="156">
        <v>0.16666666666666666</v>
      </c>
      <c r="T22" s="157">
        <v>0.22034722222222222</v>
      </c>
      <c r="U22" s="158"/>
      <c r="V22" s="159">
        <v>77.305680680709401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-207.77165776250354</v>
      </c>
      <c r="AF22" s="155">
        <f t="shared" si="10"/>
        <v>0.90106111535118882</v>
      </c>
      <c r="AG22" s="375">
        <f>AF38</f>
        <v>0.90995191549751053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1420</v>
      </c>
      <c r="G23" s="102">
        <f t="shared" si="11"/>
        <v>45042.400000000001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1804.027514282724</v>
      </c>
      <c r="N23" s="105">
        <f t="shared" si="5"/>
        <v>82.001250649214725</v>
      </c>
      <c r="O23" s="107">
        <f t="shared" si="6"/>
        <v>0</v>
      </c>
      <c r="P23" s="108">
        <f t="shared" si="7"/>
        <v>-8.9078402598761812</v>
      </c>
      <c r="Q23" s="109">
        <f t="shared" si="8"/>
        <v>0.902013757141362</v>
      </c>
      <c r="R23" s="322"/>
      <c r="S23" s="46">
        <v>0.22361111111111109</v>
      </c>
      <c r="T23" s="47">
        <v>0.25640046296296293</v>
      </c>
      <c r="U23" s="110">
        <v>4.6999999999999753</v>
      </c>
      <c r="V23" s="111">
        <v>47.227661066951782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-195.97248571727596</v>
      </c>
      <c r="AF23" s="109">
        <f t="shared" si="10"/>
        <v>0.902013757141362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1546</v>
      </c>
      <c r="G24" s="102">
        <f t="shared" si="11"/>
        <v>53785.34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1808.9279954925198</v>
      </c>
      <c r="N24" s="105">
        <f t="shared" si="5"/>
        <v>164.44799959022907</v>
      </c>
      <c r="O24" s="107">
        <f t="shared" si="6"/>
        <v>0</v>
      </c>
      <c r="P24" s="108">
        <f t="shared" si="7"/>
        <v>-17.370182227952739</v>
      </c>
      <c r="Q24" s="109">
        <f t="shared" si="8"/>
        <v>0.90446399774625996</v>
      </c>
      <c r="R24" s="322"/>
      <c r="S24" s="46">
        <v>0.26041666666666663</v>
      </c>
      <c r="T24" s="47">
        <v>0.29601851851851846</v>
      </c>
      <c r="U24" s="110">
        <v>5.7833333333333314</v>
      </c>
      <c r="V24" s="111">
        <v>51.278989672965992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-191.07200450748019</v>
      </c>
      <c r="AF24" s="109">
        <f t="shared" si="10"/>
        <v>0.90446399774625985</v>
      </c>
      <c r="AG24" s="368"/>
    </row>
    <row r="25" spans="1:33" ht="15.75" customHeight="1">
      <c r="A25" s="356"/>
      <c r="B25" s="162" t="s">
        <v>184</v>
      </c>
      <c r="C25" s="329" t="s">
        <v>235</v>
      </c>
      <c r="D25" s="330"/>
      <c r="E25" s="100">
        <v>33.200000000000003</v>
      </c>
      <c r="F25" s="110">
        <v>2541</v>
      </c>
      <c r="G25" s="102">
        <f t="shared" si="11"/>
        <v>84361.200000000012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1808.1993312037146</v>
      </c>
      <c r="N25" s="105">
        <f t="shared" si="5"/>
        <v>164.38175738215588</v>
      </c>
      <c r="O25" s="107">
        <f t="shared" si="6"/>
        <v>0</v>
      </c>
      <c r="P25" s="108">
        <f t="shared" si="7"/>
        <v>-17.436424436025931</v>
      </c>
      <c r="Q25" s="109">
        <f t="shared" si="8"/>
        <v>0.90409966560185739</v>
      </c>
      <c r="R25" s="322"/>
      <c r="S25" s="46">
        <v>0.29930555555555549</v>
      </c>
      <c r="T25" s="47">
        <v>0.35784722222222215</v>
      </c>
      <c r="U25" s="110">
        <v>4.7333333333333272</v>
      </c>
      <c r="V25" s="111">
        <v>84.315925445292407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-191.80066879628544</v>
      </c>
      <c r="AF25" s="109">
        <f t="shared" si="10"/>
        <v>0.90409966560185728</v>
      </c>
      <c r="AG25" s="368"/>
    </row>
    <row r="26" spans="1:33" ht="15.75" customHeight="1">
      <c r="A26" s="357"/>
      <c r="B26" s="162" t="s">
        <v>184</v>
      </c>
      <c r="C26" s="329" t="s">
        <v>196</v>
      </c>
      <c r="D26" s="330"/>
      <c r="E26" s="100">
        <v>51.44</v>
      </c>
      <c r="F26" s="110">
        <v>1554</v>
      </c>
      <c r="G26" s="102">
        <f t="shared" si="11"/>
        <v>79937.759999999995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1804.3709154418084</v>
      </c>
      <c r="N26" s="105">
        <f t="shared" si="5"/>
        <v>94.966890286410973</v>
      </c>
      <c r="O26" s="107">
        <f t="shared" si="6"/>
        <v>0</v>
      </c>
      <c r="P26" s="108">
        <f t="shared" si="7"/>
        <v>-10.296267608325863</v>
      </c>
      <c r="Q26" s="109">
        <f t="shared" si="8"/>
        <v>0.9021854577209043</v>
      </c>
      <c r="R26" s="322"/>
      <c r="S26" s="46">
        <v>0.36180555555555549</v>
      </c>
      <c r="T26" s="47">
        <v>0.39768518518518514</v>
      </c>
      <c r="U26" s="110">
        <v>5.7000000000000117</v>
      </c>
      <c r="V26" s="111">
        <v>51.674519469390674</v>
      </c>
      <c r="W26" s="112"/>
      <c r="X26" s="115"/>
      <c r="Y26" s="12"/>
      <c r="Z26" s="197"/>
      <c r="AA26" s="331"/>
      <c r="AB26" s="332"/>
      <c r="AC26" s="12"/>
      <c r="AD26" s="197"/>
      <c r="AE26" s="116">
        <f t="shared" si="9"/>
        <v>-195.62908455819161</v>
      </c>
      <c r="AF26" s="109">
        <f t="shared" si="10"/>
        <v>0.90218545772090419</v>
      </c>
      <c r="AG26" s="368"/>
    </row>
    <row r="27" spans="1:33" ht="15.75" customHeight="1">
      <c r="A27" s="357"/>
      <c r="B27" s="162" t="s">
        <v>186</v>
      </c>
      <c r="C27" s="329" t="s">
        <v>197</v>
      </c>
      <c r="D27" s="330"/>
      <c r="E27" s="100">
        <v>46.34</v>
      </c>
      <c r="F27" s="110">
        <v>2162</v>
      </c>
      <c r="G27" s="120">
        <f t="shared" si="11"/>
        <v>100187.08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1622.804924615549</v>
      </c>
      <c r="N27" s="105">
        <f t="shared" si="5"/>
        <v>77.276424981692813</v>
      </c>
      <c r="O27" s="107">
        <f t="shared" si="6"/>
        <v>0</v>
      </c>
      <c r="P27" s="108">
        <f t="shared" si="7"/>
        <v>-8.4378607325928954</v>
      </c>
      <c r="Q27" s="109">
        <f t="shared" si="8"/>
        <v>0.90155829145308286</v>
      </c>
      <c r="R27" s="322"/>
      <c r="S27" s="46">
        <v>0.4013888888888888</v>
      </c>
      <c r="T27" s="119">
        <v>0.45689814814814805</v>
      </c>
      <c r="U27" s="110">
        <v>5.3333333333332611</v>
      </c>
      <c r="V27" s="111">
        <v>79.935670660311402</v>
      </c>
      <c r="W27" s="112">
        <v>0.45689814814814805</v>
      </c>
      <c r="X27" s="115">
        <v>0.4951388888888888</v>
      </c>
      <c r="Y27" s="12"/>
      <c r="Z27" s="197"/>
      <c r="AA27" s="331"/>
      <c r="AB27" s="332"/>
      <c r="AC27" s="12"/>
      <c r="AD27" s="197"/>
      <c r="AE27" s="116">
        <f t="shared" si="9"/>
        <v>-177.195075384451</v>
      </c>
      <c r="AF27" s="109">
        <f t="shared" si="10"/>
        <v>0.90155829145308275</v>
      </c>
      <c r="AG27" s="368"/>
    </row>
    <row r="28" spans="1:33" ht="15.75" customHeight="1">
      <c r="A28" s="357"/>
      <c r="B28" s="162" t="s">
        <v>198</v>
      </c>
      <c r="C28" s="329" t="s">
        <v>199</v>
      </c>
      <c r="D28" s="330"/>
      <c r="E28" s="100">
        <v>29.97</v>
      </c>
      <c r="F28" s="110">
        <v>2168</v>
      </c>
      <c r="G28" s="120">
        <f t="shared" si="11"/>
        <v>64974.96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0.4951388888888888</v>
      </c>
      <c r="T28" s="119">
        <v>0.52952546296296288</v>
      </c>
      <c r="U28" s="110">
        <v>55.06666666666667</v>
      </c>
      <c r="V28" s="111">
        <v>49.523446937804302</v>
      </c>
      <c r="W28" s="112"/>
      <c r="X28" s="115"/>
      <c r="Y28" s="12"/>
      <c r="Z28" s="197"/>
      <c r="AA28" s="331"/>
      <c r="AB28" s="332"/>
      <c r="AC28" s="12"/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1909.5990912369184</v>
      </c>
      <c r="N38" s="137">
        <f t="shared" ref="N38:N44" si="16">M38/L38</f>
        <v>106.08883840205102</v>
      </c>
      <c r="O38" s="138">
        <f t="shared" ref="O38:O44" si="17">L38-I38</f>
        <v>0.14285714285714235</v>
      </c>
      <c r="P38" s="139">
        <f t="shared" ref="P38:P44" si="18">N38-K38</f>
        <v>-11.431161597948972</v>
      </c>
      <c r="Q38" s="140">
        <f t="shared" ref="Q38:Q44" si="19">N38/K38</f>
        <v>0.90273007489832391</v>
      </c>
      <c r="R38" s="323"/>
      <c r="S38" s="141">
        <v>0.16666666666666666</v>
      </c>
      <c r="T38" s="142">
        <v>0.52952546296296288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4" si="20">M38-J38</f>
        <v>-188.97233733451003</v>
      </c>
      <c r="AF38" s="140">
        <f t="shared" ref="AF38:AF44" si="21">M38/J38</f>
        <v>0.90995191549751053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2846</v>
      </c>
      <c r="G39" s="147">
        <f t="shared" ref="G39:G44" si="22">E39*F39</f>
        <v>153000.95999999999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1801.3482139012242</v>
      </c>
      <c r="N39" s="151">
        <f t="shared" si="16"/>
        <v>90.067410695061213</v>
      </c>
      <c r="O39" s="153">
        <f t="shared" si="17"/>
        <v>0</v>
      </c>
      <c r="P39" s="154">
        <f t="shared" si="18"/>
        <v>-9.9325893049387872</v>
      </c>
      <c r="Q39" s="155">
        <f t="shared" si="19"/>
        <v>0.90067410695061212</v>
      </c>
      <c r="R39" s="321">
        <f>Q55</f>
        <v>0.9009457954529595</v>
      </c>
      <c r="S39" s="156">
        <v>0.16666666666666666</v>
      </c>
      <c r="T39" s="157">
        <v>0.23248842592592592</v>
      </c>
      <c r="U39" s="158"/>
      <c r="V39" s="159">
        <v>94.79566398224631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-198.6517860987758</v>
      </c>
      <c r="AF39" s="155">
        <f t="shared" si="21"/>
        <v>0.90067410695061212</v>
      </c>
      <c r="AG39" s="326">
        <f>AF55</f>
        <v>0.9009457954529595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2586</v>
      </c>
      <c r="G40" s="102">
        <f t="shared" si="22"/>
        <v>185028.3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1802.0138067243452</v>
      </c>
      <c r="N40" s="105">
        <f t="shared" si="16"/>
        <v>81.909718487470229</v>
      </c>
      <c r="O40" s="107">
        <f t="shared" si="17"/>
        <v>0</v>
      </c>
      <c r="P40" s="108">
        <f t="shared" si="18"/>
        <v>-8.9993724216206772</v>
      </c>
      <c r="Q40" s="109">
        <f t="shared" si="19"/>
        <v>0.9010069033621726</v>
      </c>
      <c r="R40" s="322"/>
      <c r="S40" s="46">
        <v>0.23541666666666666</v>
      </c>
      <c r="T40" s="47">
        <v>0.29520833333333335</v>
      </c>
      <c r="U40" s="110">
        <v>5</v>
      </c>
      <c r="V40" s="111">
        <v>86.103668807091935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-197.98619327565484</v>
      </c>
      <c r="AF40" s="109">
        <f t="shared" si="21"/>
        <v>0.9010069033621726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2163</v>
      </c>
      <c r="G41" s="102">
        <f t="shared" si="22"/>
        <v>138258.96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1803.7665741879889</v>
      </c>
      <c r="N41" s="105">
        <f t="shared" si="16"/>
        <v>75.156940591166205</v>
      </c>
      <c r="O41" s="107">
        <f t="shared" si="17"/>
        <v>0</v>
      </c>
      <c r="P41" s="108">
        <f t="shared" si="18"/>
        <v>-8.1763927421671241</v>
      </c>
      <c r="Q41" s="109">
        <f t="shared" si="19"/>
        <v>0.90188328709399446</v>
      </c>
      <c r="R41" s="322"/>
      <c r="S41" s="46">
        <v>0.2986111111111111</v>
      </c>
      <c r="T41" s="47">
        <v>0.34856481481481483</v>
      </c>
      <c r="U41" s="110">
        <v>4.8999999999999666</v>
      </c>
      <c r="V41" s="111">
        <v>71.949442825451925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-196.23342581201109</v>
      </c>
      <c r="AF41" s="109">
        <f t="shared" si="21"/>
        <v>0.90188328709399446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2637</v>
      </c>
      <c r="G42" s="102">
        <f t="shared" si="22"/>
        <v>154712.79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1801.2615804078912</v>
      </c>
      <c r="N42" s="105">
        <f t="shared" si="16"/>
        <v>78.315720887299619</v>
      </c>
      <c r="O42" s="107">
        <f t="shared" si="17"/>
        <v>0</v>
      </c>
      <c r="P42" s="108">
        <f t="shared" si="18"/>
        <v>-8.6408008518308179</v>
      </c>
      <c r="Q42" s="109">
        <f t="shared" si="19"/>
        <v>0.90063079020394554</v>
      </c>
      <c r="R42" s="322"/>
      <c r="S42" s="46">
        <v>0.3520833333333333</v>
      </c>
      <c r="T42" s="47">
        <v>0.4130787037037037</v>
      </c>
      <c r="U42" s="110">
        <v>5.066666666666606</v>
      </c>
      <c r="V42" s="111">
        <v>87.838435972287527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-198.73841959210881</v>
      </c>
      <c r="AF42" s="109">
        <f t="shared" si="21"/>
        <v>0.90063079020394554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2444</v>
      </c>
      <c r="G43" s="102">
        <f t="shared" si="22"/>
        <v>145515.76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1801.3796769384908</v>
      </c>
      <c r="N43" s="105">
        <f t="shared" si="16"/>
        <v>78.320855519064821</v>
      </c>
      <c r="O43" s="107">
        <f t="shared" si="17"/>
        <v>0</v>
      </c>
      <c r="P43" s="108">
        <f t="shared" si="18"/>
        <v>-8.635666220065616</v>
      </c>
      <c r="Q43" s="109">
        <f t="shared" si="19"/>
        <v>0.90068983846924544</v>
      </c>
      <c r="R43" s="322"/>
      <c r="S43" s="46">
        <v>0.41597222222222219</v>
      </c>
      <c r="T43" s="47">
        <v>0.47249999999999998</v>
      </c>
      <c r="U43" s="110">
        <v>5</v>
      </c>
      <c r="V43" s="111">
        <v>81.404271335635329</v>
      </c>
      <c r="W43" s="112">
        <v>0.47249999999999998</v>
      </c>
      <c r="X43" s="115">
        <v>0.51041666666666663</v>
      </c>
      <c r="Y43" s="12"/>
      <c r="Z43" s="197"/>
      <c r="AA43" s="331"/>
      <c r="AB43" s="332"/>
      <c r="AC43" s="12"/>
      <c r="AD43" s="197"/>
      <c r="AE43" s="116">
        <f t="shared" si="20"/>
        <v>-198.62032306150923</v>
      </c>
      <c r="AF43" s="109">
        <f t="shared" si="21"/>
        <v>0.90068983846924544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2949</v>
      </c>
      <c r="G44" s="120">
        <f t="shared" si="22"/>
        <v>180154.41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1801.5796932755732</v>
      </c>
      <c r="N44" s="105">
        <f t="shared" si="16"/>
        <v>90.078984663778655</v>
      </c>
      <c r="O44" s="107">
        <f t="shared" si="17"/>
        <v>0</v>
      </c>
      <c r="P44" s="108">
        <f t="shared" si="18"/>
        <v>-9.9210153362213447</v>
      </c>
      <c r="Q44" s="109">
        <f t="shared" si="19"/>
        <v>0.90078984663778661</v>
      </c>
      <c r="R44" s="322"/>
      <c r="S44" s="46">
        <v>0.51041666666666663</v>
      </c>
      <c r="T44" s="119">
        <v>0.57861111111111108</v>
      </c>
      <c r="U44" s="110">
        <v>54.59999999999998</v>
      </c>
      <c r="V44" s="111">
        <v>98.213806838760206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-198.42030672442684</v>
      </c>
      <c r="AF44" s="109">
        <f t="shared" si="21"/>
        <v>0.90078984663778661</v>
      </c>
      <c r="AG44" s="327"/>
    </row>
    <row r="45" spans="1:33" ht="15.75" customHeight="1">
      <c r="A45" s="317"/>
      <c r="B45" s="162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118"/>
      <c r="T45" s="119"/>
      <c r="U45" s="110"/>
      <c r="V45" s="111"/>
      <c r="W45" s="119"/>
      <c r="X45" s="188"/>
      <c r="Y45" s="12"/>
      <c r="Z45" s="197"/>
      <c r="AA45" s="331"/>
      <c r="AB45" s="332"/>
      <c r="AC45" s="12"/>
      <c r="AD45" s="197"/>
      <c r="AE45" s="116"/>
      <c r="AF45" s="109"/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1801.891590905919</v>
      </c>
      <c r="N55" s="137">
        <f t="shared" ref="N55:N65" si="27">M55/L55</f>
        <v>81.904163222996317</v>
      </c>
      <c r="O55" s="138">
        <f t="shared" ref="O55:O65" si="28">L55-I55</f>
        <v>0</v>
      </c>
      <c r="P55" s="139">
        <f t="shared" ref="P55:P65" si="29">N55-K55</f>
        <v>-9.0049276860945895</v>
      </c>
      <c r="Q55" s="140">
        <f t="shared" ref="Q55:Q65" si="30">N55/K55</f>
        <v>0.9009457954529595</v>
      </c>
      <c r="R55" s="323"/>
      <c r="S55" s="141">
        <v>0.16666666666666666</v>
      </c>
      <c r="T55" s="142">
        <v>0.57861111111111108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5" si="31">M55-J55</f>
        <v>-198.10840909408103</v>
      </c>
      <c r="AF55" s="140">
        <f t="shared" ref="AF55:AF65" si="32">M55/J55</f>
        <v>0.9009457954529595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2324</v>
      </c>
      <c r="G56" s="147">
        <f t="shared" ref="G56:G65" si="33">E56*F56</f>
        <v>67070.64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3194.5087377304626</v>
      </c>
      <c r="N56" s="151">
        <f t="shared" si="27"/>
        <v>168.13203882791908</v>
      </c>
      <c r="O56" s="153">
        <f t="shared" si="28"/>
        <v>0</v>
      </c>
      <c r="P56" s="154">
        <f t="shared" si="29"/>
        <v>-21.341645382607254</v>
      </c>
      <c r="Q56" s="155">
        <f t="shared" si="30"/>
        <v>0.8873635382584617</v>
      </c>
      <c r="R56" s="321">
        <f>Q72</f>
        <v>0.89790620382436404</v>
      </c>
      <c r="S56" s="156">
        <v>0.16666666666666666</v>
      </c>
      <c r="T56" s="157">
        <v>0.19696759259259258</v>
      </c>
      <c r="U56" s="158"/>
      <c r="V56" s="159">
        <v>43.649904084803069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-405.4912622695374</v>
      </c>
      <c r="AF56" s="155">
        <f t="shared" si="32"/>
        <v>0.88736353825846181</v>
      </c>
      <c r="AG56" s="326">
        <f>AF72</f>
        <v>0.89790620382436404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2862</v>
      </c>
      <c r="G57" s="102">
        <f t="shared" si="33"/>
        <v>102717.18000000001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3191.8477585405849</v>
      </c>
      <c r="N57" s="105">
        <f t="shared" si="27"/>
        <v>167.99198729160972</v>
      </c>
      <c r="O57" s="107">
        <f t="shared" si="28"/>
        <v>0</v>
      </c>
      <c r="P57" s="108">
        <f t="shared" si="29"/>
        <v>-21.481696918916612</v>
      </c>
      <c r="Q57" s="109">
        <f t="shared" si="30"/>
        <v>0.88662437737238453</v>
      </c>
      <c r="R57" s="322"/>
      <c r="S57" s="46">
        <v>0.19999999999999998</v>
      </c>
      <c r="T57" s="47">
        <v>0.23734953703703701</v>
      </c>
      <c r="U57" s="110">
        <v>5</v>
      </c>
      <c r="V57" s="111">
        <v>53.799558434615278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-408.15224145941511</v>
      </c>
      <c r="AF57" s="109">
        <f t="shared" si="32"/>
        <v>0.88662437737238464</v>
      </c>
      <c r="AG57" s="327"/>
    </row>
    <row r="58" spans="1:33" ht="15.75" customHeight="1">
      <c r="A58" s="356"/>
      <c r="B58" s="99" t="s">
        <v>208</v>
      </c>
      <c r="C58" s="370" t="s">
        <v>211</v>
      </c>
      <c r="D58" s="370"/>
      <c r="E58" s="100">
        <v>36.729999999999997</v>
      </c>
      <c r="F58" s="101">
        <v>3891</v>
      </c>
      <c r="G58" s="102">
        <f t="shared" si="33"/>
        <v>142916.43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3074.3441216559258</v>
      </c>
      <c r="N58" s="105">
        <f t="shared" si="27"/>
        <v>146.39733912647267</v>
      </c>
      <c r="O58" s="107">
        <f t="shared" si="28"/>
        <v>0</v>
      </c>
      <c r="P58" s="108">
        <f t="shared" si="29"/>
        <v>-25.031232302098744</v>
      </c>
      <c r="Q58" s="109">
        <f t="shared" si="30"/>
        <v>0.85398447823775736</v>
      </c>
      <c r="R58" s="322"/>
      <c r="S58" s="46">
        <v>0.24027777777777776</v>
      </c>
      <c r="T58" s="47">
        <v>0.29300925925925925</v>
      </c>
      <c r="U58" s="110">
        <v>5</v>
      </c>
      <c r="V58" s="111">
        <v>75.938148353494029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-525.65587834407415</v>
      </c>
      <c r="AF58" s="109">
        <f t="shared" si="32"/>
        <v>0.85398447823775714</v>
      </c>
      <c r="AG58" s="327"/>
    </row>
    <row r="59" spans="1:33" ht="15.75" customHeight="1">
      <c r="A59" s="356"/>
      <c r="B59" s="99" t="s">
        <v>208</v>
      </c>
      <c r="C59" s="370" t="s">
        <v>212</v>
      </c>
      <c r="D59" s="370"/>
      <c r="E59" s="100">
        <v>43.96</v>
      </c>
      <c r="F59" s="101">
        <v>1637</v>
      </c>
      <c r="G59" s="102">
        <f t="shared" si="33"/>
        <v>71962.52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3267.6283112263391</v>
      </c>
      <c r="N59" s="105">
        <f t="shared" si="27"/>
        <v>136.1511796344308</v>
      </c>
      <c r="O59" s="107">
        <f t="shared" si="28"/>
        <v>0</v>
      </c>
      <c r="P59" s="108">
        <f t="shared" si="29"/>
        <v>-13.848820365569196</v>
      </c>
      <c r="Q59" s="109">
        <f t="shared" si="30"/>
        <v>0.90767453089620531</v>
      </c>
      <c r="R59" s="322"/>
      <c r="S59" s="46">
        <v>0.29652777777777772</v>
      </c>
      <c r="T59" s="47">
        <v>0.31739583333333327</v>
      </c>
      <c r="U59" s="110">
        <v>5.066666666666606</v>
      </c>
      <c r="V59" s="111">
        <v>30.05849828836196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-332.37168877366094</v>
      </c>
      <c r="AF59" s="199">
        <f t="shared" si="32"/>
        <v>0.90767453089620531</v>
      </c>
      <c r="AG59" s="327"/>
    </row>
    <row r="60" spans="1:33" ht="15.75" customHeight="1">
      <c r="A60" s="357"/>
      <c r="B60" s="99" t="s">
        <v>208</v>
      </c>
      <c r="C60" s="370" t="s">
        <v>213</v>
      </c>
      <c r="D60" s="370"/>
      <c r="E60" s="100">
        <v>46.93</v>
      </c>
      <c r="F60" s="104">
        <v>1328</v>
      </c>
      <c r="G60" s="102">
        <f t="shared" si="33"/>
        <v>62323.040000000001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3268.46428661235</v>
      </c>
      <c r="N60" s="105">
        <f t="shared" si="27"/>
        <v>136.18601194218124</v>
      </c>
      <c r="O60" s="107">
        <f t="shared" si="28"/>
        <v>0</v>
      </c>
      <c r="P60" s="108">
        <f t="shared" si="29"/>
        <v>-13.813988057818761</v>
      </c>
      <c r="Q60" s="109">
        <f t="shared" si="30"/>
        <v>0.90790674628120827</v>
      </c>
      <c r="R60" s="322"/>
      <c r="S60" s="46">
        <v>0.32083333333333325</v>
      </c>
      <c r="T60" s="47">
        <v>0.33775462962962954</v>
      </c>
      <c r="U60" s="110">
        <v>4.9499999999999744</v>
      </c>
      <c r="V60" s="111">
        <v>24.378421488761489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-331.53571338765005</v>
      </c>
      <c r="AF60" s="199">
        <f t="shared" si="32"/>
        <v>0.90790674628120827</v>
      </c>
      <c r="AG60" s="327"/>
    </row>
    <row r="61" spans="1:33" ht="15.75" customHeight="1">
      <c r="A61" s="357"/>
      <c r="B61" s="99" t="s">
        <v>208</v>
      </c>
      <c r="C61" s="370" t="s">
        <v>214</v>
      </c>
      <c r="D61" s="370"/>
      <c r="E61" s="100">
        <v>36.729999999999997</v>
      </c>
      <c r="F61" s="104">
        <v>3474</v>
      </c>
      <c r="G61" s="120">
        <f t="shared" si="33"/>
        <v>127600.01999999999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3261.1767104351829</v>
      </c>
      <c r="N61" s="105">
        <f t="shared" si="27"/>
        <v>163.05883552175914</v>
      </c>
      <c r="O61" s="107">
        <f t="shared" si="28"/>
        <v>0</v>
      </c>
      <c r="P61" s="108">
        <f t="shared" si="29"/>
        <v>-16.941164478240864</v>
      </c>
      <c r="Q61" s="109">
        <f t="shared" si="30"/>
        <v>0.90588241956532856</v>
      </c>
      <c r="R61" s="322"/>
      <c r="S61" s="46">
        <v>0.34097222222222212</v>
      </c>
      <c r="T61" s="119">
        <v>0.38534722222222212</v>
      </c>
      <c r="U61" s="110">
        <v>4.6333333333333115</v>
      </c>
      <c r="V61" s="111">
        <v>63.915579714840121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-338.82328956481706</v>
      </c>
      <c r="AF61" s="199">
        <f t="shared" si="32"/>
        <v>0.90588241956532856</v>
      </c>
      <c r="AG61" s="327"/>
    </row>
    <row r="62" spans="1:33" ht="15.75" customHeight="1">
      <c r="A62" s="357"/>
      <c r="B62" s="99" t="s">
        <v>208</v>
      </c>
      <c r="C62" s="370" t="s">
        <v>233</v>
      </c>
      <c r="D62" s="370"/>
      <c r="E62" s="100">
        <v>48.4</v>
      </c>
      <c r="F62" s="104">
        <v>2572</v>
      </c>
      <c r="G62" s="120">
        <f t="shared" si="33"/>
        <v>124484.8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3263.3452091536042</v>
      </c>
      <c r="N62" s="105">
        <f t="shared" si="27"/>
        <v>148.33387314334564</v>
      </c>
      <c r="O62" s="122">
        <f t="shared" si="28"/>
        <v>0</v>
      </c>
      <c r="P62" s="123">
        <f t="shared" si="29"/>
        <v>-15.302490493017984</v>
      </c>
      <c r="Q62" s="124">
        <f t="shared" si="30"/>
        <v>0.90648478032044566</v>
      </c>
      <c r="R62" s="322"/>
      <c r="S62" s="46">
        <v>0.38819444444444434</v>
      </c>
      <c r="T62" s="119">
        <v>0.4210300925925925</v>
      </c>
      <c r="U62" s="110">
        <v>5</v>
      </c>
      <c r="V62" s="111">
        <v>47.288898387806519</v>
      </c>
      <c r="W62" s="112"/>
      <c r="X62" s="115"/>
      <c r="Y62" s="12"/>
      <c r="Z62" s="197"/>
      <c r="AA62" s="331"/>
      <c r="AB62" s="332"/>
      <c r="AC62" s="12"/>
      <c r="AD62" s="197"/>
      <c r="AE62" s="198">
        <f t="shared" si="31"/>
        <v>-336.65479084639583</v>
      </c>
      <c r="AF62" s="199">
        <f t="shared" si="32"/>
        <v>0.90648478032044555</v>
      </c>
      <c r="AG62" s="327"/>
    </row>
    <row r="63" spans="1:33" ht="15.75" customHeight="1">
      <c r="A63" s="357"/>
      <c r="B63" s="99" t="s">
        <v>208</v>
      </c>
      <c r="C63" s="370" t="s">
        <v>215</v>
      </c>
      <c r="D63" s="370"/>
      <c r="E63" s="100">
        <v>37.799999999999997</v>
      </c>
      <c r="F63" s="104">
        <v>1887</v>
      </c>
      <c r="G63" s="120">
        <f t="shared" si="33"/>
        <v>71328.599999999991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3268.572040056004</v>
      </c>
      <c r="N63" s="105">
        <f t="shared" si="27"/>
        <v>155.64628762171446</v>
      </c>
      <c r="O63" s="122">
        <f t="shared" si="28"/>
        <v>0</v>
      </c>
      <c r="P63" s="123">
        <f t="shared" si="29"/>
        <v>-15.782283806856952</v>
      </c>
      <c r="Q63" s="124">
        <f t="shared" si="30"/>
        <v>0.90793667779333442</v>
      </c>
      <c r="R63" s="322"/>
      <c r="S63" s="46">
        <v>0.42430555555555544</v>
      </c>
      <c r="T63" s="119">
        <v>0.44835648148148138</v>
      </c>
      <c r="U63" s="110">
        <v>4.7166666666666313</v>
      </c>
      <c r="V63" s="111">
        <v>34.638979533723258</v>
      </c>
      <c r="W63" s="112">
        <v>0.44835648148148138</v>
      </c>
      <c r="X63" s="115">
        <v>0.48680555555555538</v>
      </c>
      <c r="Y63" s="12"/>
      <c r="Z63" s="197"/>
      <c r="AA63" s="331"/>
      <c r="AB63" s="332"/>
      <c r="AC63" s="12"/>
      <c r="AD63" s="197"/>
      <c r="AE63" s="198">
        <f t="shared" si="31"/>
        <v>-331.42795994399603</v>
      </c>
      <c r="AF63" s="199">
        <f t="shared" si="32"/>
        <v>0.90793667779333442</v>
      </c>
      <c r="AG63" s="327"/>
    </row>
    <row r="64" spans="1:33" ht="15.75" customHeight="1">
      <c r="A64" s="357"/>
      <c r="B64" s="99" t="s">
        <v>208</v>
      </c>
      <c r="C64" s="370" t="s">
        <v>216</v>
      </c>
      <c r="D64" s="370"/>
      <c r="E64" s="100">
        <v>38.479999999999997</v>
      </c>
      <c r="F64" s="104">
        <v>5394</v>
      </c>
      <c r="G64" s="120">
        <f t="shared" si="33"/>
        <v>207561.12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3266.16412221064</v>
      </c>
      <c r="N64" s="105">
        <f t="shared" si="27"/>
        <v>163.30820611053201</v>
      </c>
      <c r="O64" s="122">
        <f t="shared" si="28"/>
        <v>0</v>
      </c>
      <c r="P64" s="123">
        <f t="shared" si="29"/>
        <v>-16.691793889467988</v>
      </c>
      <c r="Q64" s="124">
        <f t="shared" si="30"/>
        <v>0.9072678117251779</v>
      </c>
      <c r="R64" s="322"/>
      <c r="S64" s="46">
        <v>0.48680555555555538</v>
      </c>
      <c r="T64" s="119">
        <v>0.55561342592592577</v>
      </c>
      <c r="U64" s="110">
        <v>55.366666666666553</v>
      </c>
      <c r="V64" s="111">
        <v>99.08871320922799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-333.83587778935998</v>
      </c>
      <c r="AF64" s="199">
        <f t="shared" si="32"/>
        <v>0.90726781172517779</v>
      </c>
      <c r="AG64" s="327"/>
    </row>
    <row r="65" spans="1:33" ht="15.75" customHeight="1">
      <c r="A65" s="357"/>
      <c r="B65" s="99" t="s">
        <v>208</v>
      </c>
      <c r="C65" s="370" t="s">
        <v>215</v>
      </c>
      <c r="D65" s="370"/>
      <c r="E65" s="100">
        <v>37.799999999999997</v>
      </c>
      <c r="F65" s="104">
        <v>4997</v>
      </c>
      <c r="G65" s="120">
        <f t="shared" si="33"/>
        <v>188886.59999999998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3268.5720400560044</v>
      </c>
      <c r="N65" s="105">
        <f t="shared" si="27"/>
        <v>155.64628762171449</v>
      </c>
      <c r="O65" s="122">
        <f t="shared" si="28"/>
        <v>0</v>
      </c>
      <c r="P65" s="123">
        <f t="shared" si="29"/>
        <v>-15.782283806856924</v>
      </c>
      <c r="Q65" s="124">
        <f t="shared" si="30"/>
        <v>0.90793667779333465</v>
      </c>
      <c r="R65" s="322"/>
      <c r="S65" s="46">
        <v>0.55902777777777757</v>
      </c>
      <c r="T65" s="119">
        <v>0.62271990740740724</v>
      </c>
      <c r="U65" s="110">
        <v>4.9166666666665826</v>
      </c>
      <c r="V65" s="111">
        <v>91.728129692641815</v>
      </c>
      <c r="W65" s="112"/>
      <c r="X65" s="115"/>
      <c r="Y65" s="12"/>
      <c r="Z65" s="197"/>
      <c r="AA65" s="331"/>
      <c r="AB65" s="332"/>
      <c r="AC65" s="12"/>
      <c r="AD65" s="197"/>
      <c r="AE65" s="198">
        <f t="shared" si="31"/>
        <v>-331.42795994399557</v>
      </c>
      <c r="AF65" s="199">
        <f t="shared" si="32"/>
        <v>0.90793667779333453</v>
      </c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3232.4623337677103</v>
      </c>
      <c r="N72" s="137">
        <f>M72/L72</f>
        <v>153.19726700320902</v>
      </c>
      <c r="O72" s="138">
        <f>L72-I72</f>
        <v>0</v>
      </c>
      <c r="P72" s="139">
        <f>N72-K72</f>
        <v>-17.418846740866798</v>
      </c>
      <c r="Q72" s="140">
        <f>N72/K72</f>
        <v>0.89790620382436404</v>
      </c>
      <c r="R72" s="323"/>
      <c r="S72" s="141">
        <v>0.16666666666666666</v>
      </c>
      <c r="T72" s="142">
        <v>0.62271990740740724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-367.53766623228967</v>
      </c>
      <c r="AF72" s="140">
        <f>M72/J72</f>
        <v>0.89790620382436404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2142</v>
      </c>
      <c r="G73" s="120">
        <f t="shared" ref="G73:G75" si="39">E73*F73</f>
        <v>50444.1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2257.5793326791172</v>
      </c>
      <c r="N73" s="105">
        <f>M73/L73</f>
        <v>376.2632221131862</v>
      </c>
      <c r="O73" s="107">
        <f>L73-I73</f>
        <v>0</v>
      </c>
      <c r="P73" s="108">
        <f>N73-K73</f>
        <v>-40.403444553480483</v>
      </c>
      <c r="Q73" s="109">
        <f>N73/K73</f>
        <v>0.90303173307164686</v>
      </c>
      <c r="R73" s="321">
        <f>Q89</f>
        <v>0.8513102375642394</v>
      </c>
      <c r="S73" s="46">
        <v>0.37916666666666665</v>
      </c>
      <c r="T73" s="119">
        <v>0.41869212962962959</v>
      </c>
      <c r="U73" s="110">
        <v>5.649999999999924</v>
      </c>
      <c r="V73" s="111">
        <v>56.92823199594168</v>
      </c>
      <c r="W73" s="112"/>
      <c r="X73" s="115"/>
      <c r="Y73" s="12"/>
      <c r="Z73" s="197"/>
      <c r="AA73" s="324"/>
      <c r="AB73" s="325"/>
      <c r="AC73" s="12"/>
      <c r="AD73" s="197"/>
      <c r="AE73" s="114">
        <f>M73-J73</f>
        <v>-242.42066732088279</v>
      </c>
      <c r="AF73" s="155">
        <f>M73/J73</f>
        <v>0.90303173307164686</v>
      </c>
      <c r="AG73" s="326">
        <f>AF89</f>
        <v>0.90451712741200463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709</v>
      </c>
      <c r="G74" s="120">
        <f t="shared" si="39"/>
        <v>19178.45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2963.2783775921862</v>
      </c>
      <c r="N74" s="105">
        <f>M74/L74</f>
        <v>493.87972959869768</v>
      </c>
      <c r="O74" s="122">
        <f>L74-I74</f>
        <v>1</v>
      </c>
      <c r="P74" s="123">
        <f>N74-K74</f>
        <v>-160.72027040130234</v>
      </c>
      <c r="Q74" s="124">
        <f>N74/K74</f>
        <v>0.75447560280888737</v>
      </c>
      <c r="R74" s="322"/>
      <c r="S74" s="46">
        <v>0.42222222222222217</v>
      </c>
      <c r="T74" s="119">
        <v>0.43218749999999995</v>
      </c>
      <c r="U74" s="110">
        <v>5.083333333333302</v>
      </c>
      <c r="V74" s="111">
        <v>14.355721798424455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-309.72162240781381</v>
      </c>
      <c r="AF74" s="109">
        <f>M74/J74</f>
        <v>0.90537072337066493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856</v>
      </c>
      <c r="G75" s="120">
        <f t="shared" si="39"/>
        <v>23154.799999999999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2961.4042242976911</v>
      </c>
      <c r="N75" s="105">
        <f>M75/L75</f>
        <v>592.28084485953821</v>
      </c>
      <c r="O75" s="122">
        <f>L75-I75</f>
        <v>0</v>
      </c>
      <c r="P75" s="123">
        <f>N75-K75</f>
        <v>-62.319155140461817</v>
      </c>
      <c r="Q75" s="124">
        <f>N75/K75</f>
        <v>0.90479811313708858</v>
      </c>
      <c r="R75" s="322"/>
      <c r="S75" s="46">
        <v>0.43611111111111106</v>
      </c>
      <c r="T75" s="119">
        <v>0.44814814814814807</v>
      </c>
      <c r="U75" s="110">
        <v>5.6500000000000039</v>
      </c>
      <c r="V75" s="111">
        <v>17.343123771689839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-311.59577570230886</v>
      </c>
      <c r="AF75" s="109">
        <f>M75/J75</f>
        <v>0.90479811313708869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2727.4206448563314</v>
      </c>
      <c r="N89" s="137">
        <f>M89/L89</f>
        <v>481.30952556288196</v>
      </c>
      <c r="O89" s="138">
        <f>L89-I89</f>
        <v>0.33333333333333393</v>
      </c>
      <c r="P89" s="139">
        <f>N89-K89</f>
        <v>-84.065474437118155</v>
      </c>
      <c r="Q89" s="140">
        <f>N89/K89</f>
        <v>0.8513102375642394</v>
      </c>
      <c r="R89" s="323"/>
      <c r="S89" s="141">
        <v>0.20833333333333334</v>
      </c>
      <c r="T89" s="142">
        <v>0.44814814814814807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-287.91268847700212</v>
      </c>
      <c r="AF89" s="140">
        <f>M89/J89</f>
        <v>0.90451712741200463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2174</v>
      </c>
      <c r="G90" s="147">
        <f t="shared" ref="G90:G91" si="43">E90*F90</f>
        <v>33718.74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3250.4400000000014</v>
      </c>
      <c r="N90" s="151">
        <f>M90/L90</f>
        <v>541.74000000000024</v>
      </c>
      <c r="O90" s="153">
        <f>L90-I90</f>
        <v>0</v>
      </c>
      <c r="P90" s="154">
        <f>N90-K90</f>
        <v>-58.259999999999764</v>
      </c>
      <c r="Q90" s="155">
        <f>N90/K90</f>
        <v>0.90290000000000037</v>
      </c>
      <c r="R90" s="321">
        <f>Q106</f>
        <v>0.90287324647550327</v>
      </c>
      <c r="S90" s="156">
        <v>0.25</v>
      </c>
      <c r="T90" s="157">
        <v>0.27785879629629628</v>
      </c>
      <c r="U90" s="158"/>
      <c r="V90" s="159">
        <v>40.129951637316779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-349.55999999999858</v>
      </c>
      <c r="AF90" s="155">
        <f>M90/J90</f>
        <v>0.90290000000000037</v>
      </c>
      <c r="AG90" s="326">
        <f>AF106</f>
        <v>0.90287324647550338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2307</v>
      </c>
      <c r="G91" s="102">
        <f t="shared" si="43"/>
        <v>34628.07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3250.2473746236228</v>
      </c>
      <c r="N91" s="105">
        <f>M91/L91</f>
        <v>541.70789577060384</v>
      </c>
      <c r="O91" s="107">
        <f>L91-I91</f>
        <v>0</v>
      </c>
      <c r="P91" s="108">
        <f>N91-K91</f>
        <v>-58.292104229396159</v>
      </c>
      <c r="Q91" s="109">
        <f>N91/K91</f>
        <v>0.90284649295100639</v>
      </c>
      <c r="R91" s="322"/>
      <c r="S91" s="46">
        <v>0.28125</v>
      </c>
      <c r="T91" s="47">
        <v>0.31082175925925926</v>
      </c>
      <c r="U91" s="110">
        <v>4.8833333333333506</v>
      </c>
      <c r="V91" s="111">
        <v>42.587527669652829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-349.75262537637718</v>
      </c>
      <c r="AF91" s="109">
        <f>M91/J91</f>
        <v>0.90284649295100639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3250.3436873118121</v>
      </c>
      <c r="N106" s="137">
        <f>M106/L106</f>
        <v>541.72394788530198</v>
      </c>
      <c r="O106" s="138">
        <f>L106-I106</f>
        <v>0</v>
      </c>
      <c r="P106" s="139">
        <f>N106-K106</f>
        <v>-58.276052114698018</v>
      </c>
      <c r="Q106" s="140">
        <f>N106/K106</f>
        <v>0.90287324647550327</v>
      </c>
      <c r="R106" s="323"/>
      <c r="S106" s="141">
        <v>0.25</v>
      </c>
      <c r="T106" s="142">
        <v>0.31082175925925926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-349.65631268818788</v>
      </c>
      <c r="AF106" s="140">
        <f>M106/J106</f>
        <v>0.90287324647550338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1177</v>
      </c>
      <c r="G107" s="147">
        <f t="shared" ref="G107:G109" si="47">E107*F107</f>
        <v>68466.09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21">
        <f>Q123</f>
        <v>0.9495488095238096</v>
      </c>
      <c r="S107" s="156">
        <v>0.70833333333333337</v>
      </c>
      <c r="T107" s="157">
        <v>0.73553240740740744</v>
      </c>
      <c r="U107" s="158"/>
      <c r="V107" s="159">
        <v>39.168053244592343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-197</v>
      </c>
      <c r="AF107" s="155">
        <f>M107/J107</f>
        <v>0.90149999999999997</v>
      </c>
      <c r="AG107" s="326">
        <f>AF123</f>
        <v>0.90126666666666677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1068</v>
      </c>
      <c r="G108" s="102">
        <f t="shared" si="47"/>
        <v>54115.560000000005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1802.6</v>
      </c>
      <c r="N108" s="105">
        <f>M108/L108</f>
        <v>94.873684210526307</v>
      </c>
      <c r="O108" s="107">
        <f>L108-I108</f>
        <v>-1</v>
      </c>
      <c r="P108" s="108">
        <f>N108-K108</f>
        <v>-5.1263157894736935</v>
      </c>
      <c r="Q108" s="109">
        <f>N108/K108</f>
        <v>0.9487368421052631</v>
      </c>
      <c r="R108" s="322"/>
      <c r="S108" s="46">
        <v>0.73958333333333337</v>
      </c>
      <c r="T108" s="47">
        <v>0.7642592592592593</v>
      </c>
      <c r="U108" s="110">
        <v>5.8333333333333393</v>
      </c>
      <c r="V108" s="111">
        <v>35.548651947187395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-197.40000000000009</v>
      </c>
      <c r="AF108" s="109">
        <f>M108/J108</f>
        <v>0.90129999999999999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1138</v>
      </c>
      <c r="G109" s="102">
        <f t="shared" si="47"/>
        <v>65207.399999999994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</v>
      </c>
      <c r="N109" s="105">
        <f>M109/L109</f>
        <v>90.1</v>
      </c>
      <c r="O109" s="107">
        <f>L109-I109</f>
        <v>-1</v>
      </c>
      <c r="P109" s="108">
        <f>N109-K109</f>
        <v>-5.1380952380952465</v>
      </c>
      <c r="Q109" s="109">
        <f>N109/K109</f>
        <v>0.94604999999999995</v>
      </c>
      <c r="R109" s="322"/>
      <c r="S109" s="46">
        <v>0.76736111111111116</v>
      </c>
      <c r="T109" s="47">
        <v>0.79366898148148157</v>
      </c>
      <c r="U109" s="110">
        <v>5</v>
      </c>
      <c r="V109" s="111">
        <v>37.891231964483907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-198</v>
      </c>
      <c r="AF109" s="109">
        <f>M109/J109</f>
        <v>0.90100000000000002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1802.5333333333335</v>
      </c>
      <c r="N123" s="137">
        <f>M123/L123</f>
        <v>96.564285714285717</v>
      </c>
      <c r="O123" s="138">
        <f>L123-I123</f>
        <v>-1</v>
      </c>
      <c r="P123" s="139">
        <f>N123-K123</f>
        <v>-5.1306295399515705</v>
      </c>
      <c r="Q123" s="140">
        <f>N123/K123</f>
        <v>0.9495488095238096</v>
      </c>
      <c r="R123" s="323"/>
      <c r="S123" s="141">
        <v>0.70833333333333337</v>
      </c>
      <c r="T123" s="142">
        <v>0.79366898148148157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-197.46666666666647</v>
      </c>
      <c r="AF123" s="140">
        <f>M123/J123</f>
        <v>0.90126666666666677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1434</v>
      </c>
      <c r="G124" s="147">
        <f t="shared" ref="G124:G126" si="54">E124*F124</f>
        <v>68258.400000000009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1804.2014667902772</v>
      </c>
      <c r="N124" s="151">
        <f>M124/L124</f>
        <v>78.443542034359879</v>
      </c>
      <c r="O124" s="153">
        <f>L124-I124</f>
        <v>0</v>
      </c>
      <c r="P124" s="154">
        <f>N124-K124</f>
        <v>-8.512979704770558</v>
      </c>
      <c r="Q124" s="155">
        <f>N124/K124</f>
        <v>0.90210073339513863</v>
      </c>
      <c r="R124" s="321">
        <f>Q140</f>
        <v>0.90138515575294686</v>
      </c>
      <c r="S124" s="156">
        <v>0.70833333333333337</v>
      </c>
      <c r="T124" s="157">
        <v>0.74144675925925929</v>
      </c>
      <c r="U124" s="158"/>
      <c r="V124" s="159">
        <v>47.688687535027597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-195.79853320972279</v>
      </c>
      <c r="AF124" s="155">
        <f>M124/J124</f>
        <v>0.90210073339513863</v>
      </c>
      <c r="AG124" s="375">
        <f>AF140</f>
        <v>0.90138515575294698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1196</v>
      </c>
      <c r="G125" s="102">
        <f t="shared" si="54"/>
        <v>68016.52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1802.2791094481863</v>
      </c>
      <c r="N125" s="105">
        <f>M125/L125</f>
        <v>78.359961280355932</v>
      </c>
      <c r="O125" s="107">
        <f>L125-I125</f>
        <v>0</v>
      </c>
      <c r="P125" s="108">
        <f>N125-K125</f>
        <v>-8.5965604587745048</v>
      </c>
      <c r="Q125" s="109">
        <f>N125/K125</f>
        <v>0.90113955472409324</v>
      </c>
      <c r="R125" s="322"/>
      <c r="S125" s="46">
        <v>0.74444444444444446</v>
      </c>
      <c r="T125" s="47">
        <v>0.77208333333333334</v>
      </c>
      <c r="U125" s="110">
        <v>5</v>
      </c>
      <c r="V125" s="111">
        <v>39.816252446032706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-197.72089055181368</v>
      </c>
      <c r="AF125" s="109">
        <f>M125/J125</f>
        <v>0.90113955472409313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1618</v>
      </c>
      <c r="G126" s="102">
        <f t="shared" si="54"/>
        <v>91886.22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1801.8303582792184</v>
      </c>
      <c r="N126" s="105">
        <f>M126/L126</f>
        <v>78.340450359966013</v>
      </c>
      <c r="O126" s="107">
        <f>L126-I126</f>
        <v>0</v>
      </c>
      <c r="P126" s="108">
        <f>N126-K126</f>
        <v>-8.6160713791644241</v>
      </c>
      <c r="Q126" s="109">
        <f>N126/K126</f>
        <v>0.90091517913960917</v>
      </c>
      <c r="R126" s="322"/>
      <c r="S126" s="46">
        <v>0.77569444444444446</v>
      </c>
      <c r="T126" s="47">
        <v>0.81310185185185191</v>
      </c>
      <c r="U126" s="110">
        <v>5.2000000000000135</v>
      </c>
      <c r="V126" s="111">
        <v>53.878546087276057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-198.16964172078156</v>
      </c>
      <c r="AF126" s="109">
        <f>M126/J126</f>
        <v>0.90091517913960917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1802.7703115058939</v>
      </c>
      <c r="N140" s="137">
        <f>M140/L140</f>
        <v>78.381317891560599</v>
      </c>
      <c r="O140" s="138">
        <f>L140-I140</f>
        <v>0</v>
      </c>
      <c r="P140" s="139">
        <f>N140-K140</f>
        <v>-8.5752038475698384</v>
      </c>
      <c r="Q140" s="140">
        <f>N140/K140</f>
        <v>0.90138515575294686</v>
      </c>
      <c r="R140" s="323"/>
      <c r="S140" s="141">
        <v>0.70833333333333337</v>
      </c>
      <c r="T140" s="142">
        <v>0.81310185185185191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-197.22968849410609</v>
      </c>
      <c r="AF140" s="140">
        <f>M140/J140</f>
        <v>0.90138515575294698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CAD744AC-4AC5-47DE-9A6D-B7AFD699052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F13A-0BC8-468F-9776-32D7253FB872}">
  <sheetPr>
    <tabColor theme="8" tint="0.59999389629810485"/>
  </sheetPr>
  <dimension ref="B1:AR42"/>
  <sheetViews>
    <sheetView zoomScale="70" zoomScaleNormal="70" workbookViewId="0">
      <selection activeCell="O43" sqref="O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238</v>
      </c>
      <c r="D3" s="208"/>
      <c r="E3" s="3" t="s">
        <v>3</v>
      </c>
      <c r="F3" s="209">
        <f>'0805(18度C)'!D1+'0805(4度C)'!D1</f>
        <v>203649</v>
      </c>
      <c r="G3" s="210"/>
      <c r="H3" s="3" t="s">
        <v>4</v>
      </c>
      <c r="I3" s="211">
        <f>'0805(18度C)'!F1+'0805(4度C)'!F1</f>
        <v>6359055.9800000004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495.8298637005185</v>
      </c>
      <c r="F6" s="245" t="e">
        <f>AVERAGE(#REF!,D14:K14)</f>
        <v>#REF!</v>
      </c>
      <c r="G6" s="246">
        <f>AVERAGE(D14:K14)</f>
        <v>271.47064572965627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791</v>
      </c>
      <c r="N6" s="247"/>
      <c r="O6" s="235">
        <f>'0805(4度C)'!Y2</f>
        <v>0</v>
      </c>
      <c r="P6" s="235">
        <f>'0805(4度C)'!Z2</f>
        <v>0</v>
      </c>
      <c r="Q6" s="235">
        <f>'0805(4度C)'!AC2</f>
        <v>0</v>
      </c>
      <c r="R6" s="235">
        <f>'0805(4度C)'!AD2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444.99873215552265</v>
      </c>
      <c r="F7" s="241" t="e">
        <f>AVERAGE(#REF!,D15:K15)</f>
        <v>#REF!</v>
      </c>
      <c r="G7" s="242">
        <f>AVERAGE(D15:K15)</f>
        <v>239.98707525504759</v>
      </c>
      <c r="H7" s="243"/>
      <c r="I7" s="242">
        <f>AVERAGE(L15:O15)</f>
        <v>87.458251726852779</v>
      </c>
      <c r="J7" s="243"/>
      <c r="K7" s="242">
        <f>AVERAGE(D33:O33)</f>
        <v>663.95988470461691</v>
      </c>
      <c r="L7" s="243"/>
      <c r="M7" s="242">
        <f>AVERAGE(P33:X33)</f>
        <v>712.32530517147575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0.89956545701066193</v>
      </c>
      <c r="F8" s="260" t="e">
        <f>AVERAGE(D16:K16,#REF!)</f>
        <v>#REF!</v>
      </c>
      <c r="G8" s="248">
        <f>AVERAGE(D16:K16)</f>
        <v>0.8925153266668101</v>
      </c>
      <c r="H8" s="249"/>
      <c r="I8" s="248">
        <f>AVERAGE(L16:O16)</f>
        <v>0.92530941413672951</v>
      </c>
      <c r="J8" s="249"/>
      <c r="K8" s="248">
        <f>AVERAGE(D34:O34)</f>
        <v>0.89660955914275597</v>
      </c>
      <c r="L8" s="249"/>
      <c r="M8" s="248">
        <f>AVERAGE(P34:X34)</f>
        <v>0.90022457183131133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117.52</v>
      </c>
      <c r="G14" s="28">
        <v>90.909090909090907</v>
      </c>
      <c r="H14" s="28">
        <v>170.61611374407582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76.081105947311926</v>
      </c>
      <c r="F15" s="28">
        <v>106.08226052031587</v>
      </c>
      <c r="G15" s="28">
        <v>81.892042010875102</v>
      </c>
      <c r="H15" s="28">
        <v>152.89356960359865</v>
      </c>
      <c r="I15" s="28">
        <v>481.30952556288196</v>
      </c>
      <c r="J15" s="28">
        <v>541.66394788530204</v>
      </c>
      <c r="K15" s="36" t="s">
        <v>43</v>
      </c>
      <c r="L15" s="34" t="s">
        <v>43</v>
      </c>
      <c r="M15" s="30">
        <v>96.552576866492757</v>
      </c>
      <c r="N15" s="28">
        <v>78.363926587212788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0.90139571176706523</v>
      </c>
      <c r="F16" s="42">
        <f t="shared" si="0"/>
        <v>0.90267410245333457</v>
      </c>
      <c r="G16" s="42">
        <f t="shared" si="0"/>
        <v>0.90081246211962618</v>
      </c>
      <c r="H16" s="42">
        <f t="shared" si="0"/>
        <v>0.89612619962109219</v>
      </c>
      <c r="I16" s="42">
        <f t="shared" si="0"/>
        <v>0.8513102375642394</v>
      </c>
      <c r="J16" s="42">
        <f t="shared" si="0"/>
        <v>0.90277324647550339</v>
      </c>
      <c r="K16" s="43" t="s">
        <v>43</v>
      </c>
      <c r="L16" s="41" t="s">
        <v>43</v>
      </c>
      <c r="M16" s="44">
        <f>M15/M14</f>
        <v>0.94943367252051214</v>
      </c>
      <c r="N16" s="42">
        <f>N15/N14</f>
        <v>0.901185155752947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0.61082175925925919</v>
      </c>
      <c r="F18" s="47">
        <v>0.53410879629629615</v>
      </c>
      <c r="G18" s="47">
        <v>0.59249999999999992</v>
      </c>
      <c r="H18" s="47">
        <v>0.64075231481481465</v>
      </c>
      <c r="I18" s="47">
        <v>0.42038194444444432</v>
      </c>
      <c r="J18" s="47">
        <v>0.31085648148148148</v>
      </c>
      <c r="K18" s="47" t="s">
        <v>43</v>
      </c>
      <c r="L18" s="46" t="s">
        <v>43</v>
      </c>
      <c r="M18" s="48">
        <v>0.82533564814814808</v>
      </c>
      <c r="N18" s="47">
        <v>0.83608796296296295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</v>
      </c>
      <c r="G23" s="57">
        <v>22</v>
      </c>
      <c r="H23" s="57">
        <v>21.1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287.5617869416244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752.9438504413688</v>
      </c>
      <c r="N33" s="28">
        <v>846.23363874929044</v>
      </c>
      <c r="O33" s="28">
        <v>769.10026268618412</v>
      </c>
      <c r="P33" s="27">
        <v>438.68750697260219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646.96313607887339</v>
      </c>
      <c r="W33" s="28">
        <v>992.16349385142939</v>
      </c>
      <c r="X33" s="31">
        <v>771.48708378299796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0.87866101565496346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0.91265921265620464</v>
      </c>
      <c r="N34" s="42">
        <f>N33/N32</f>
        <v>0.89937874649683036</v>
      </c>
      <c r="O34" s="42">
        <f>O33/O32</f>
        <v>0.89573926176302576</v>
      </c>
      <c r="P34" s="41">
        <f>P33/P32</f>
        <v>0.89362269938863403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0.91238390985482154</v>
      </c>
      <c r="W34" s="42">
        <f>W33/W32</f>
        <v>0.90196681259220857</v>
      </c>
      <c r="X34" s="45">
        <f>X33/X32</f>
        <v>0.89292486548958105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0.32847222222222222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0.73263888888888884</v>
      </c>
      <c r="X35" s="49">
        <v>0.74236111111111125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0.42038194444444432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0.42358796296296292</v>
      </c>
      <c r="N36" s="47">
        <v>0.53317129629629645</v>
      </c>
      <c r="O36" s="47">
        <v>0.5425000000000002</v>
      </c>
      <c r="P36" s="46">
        <v>0.76065972222222222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0.8731944444444445</v>
      </c>
      <c r="W36" s="47">
        <v>1.108356481481481</v>
      </c>
      <c r="X36" s="49">
        <v>1.1091550925925924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F8A5-3DBB-4703-A3D0-70C0EC7AC56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108896</v>
      </c>
      <c r="E1" s="87" t="s">
        <v>4</v>
      </c>
      <c r="F1" s="88">
        <f>SUM(G5:G140)</f>
        <v>2177372.7600000002</v>
      </c>
      <c r="G1" s="89" t="s">
        <v>85</v>
      </c>
      <c r="H1" s="90" t="e">
        <f>#REF!+#REF!+#REF!+#REF!+L21+#REF!+L38+L55+L72+#REF!+#REF!+L89+L106+L123+L140</f>
        <v>#REF!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46239</v>
      </c>
      <c r="B2" s="294"/>
      <c r="C2" s="91" t="s">
        <v>41</v>
      </c>
      <c r="D2" s="92" t="e">
        <f>AVERAGE(#REF!,#REF!,#REF!,#REF!,N21,#REF!,N38,N55,N72,#REF!,#REF!,N89,N106,N123,N140)</f>
        <v>#REF!</v>
      </c>
      <c r="E2" s="92" t="s">
        <v>92</v>
      </c>
      <c r="F2" s="93">
        <f>F1/D1</f>
        <v>19.99497465471643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1877</v>
      </c>
      <c r="G5" s="147">
        <f t="shared" ref="G5:G9" si="0">E5*F5</f>
        <v>48126.28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3219.0495511531849</v>
      </c>
      <c r="N5" s="151">
        <f>M5/L5</f>
        <v>321.9049551153185</v>
      </c>
      <c r="O5" s="153">
        <f>L5-I5</f>
        <v>0</v>
      </c>
      <c r="P5" s="154">
        <f>N5-K5</f>
        <v>-38.095044884681499</v>
      </c>
      <c r="Q5" s="155">
        <f>N5/K5</f>
        <v>0.89418043087588472</v>
      </c>
      <c r="R5" s="321">
        <f>Q21</f>
        <v>0.87866101565496346</v>
      </c>
      <c r="S5" s="156">
        <v>0.16666666666666666</v>
      </c>
      <c r="T5" s="157">
        <v>0.19096064814814814</v>
      </c>
      <c r="U5" s="158"/>
      <c r="V5" s="159">
        <v>34.985481959932947</v>
      </c>
      <c r="W5" s="160"/>
      <c r="X5" s="161"/>
      <c r="Y5" s="324"/>
      <c r="Z5" s="325"/>
      <c r="AA5" s="114">
        <f>M5-J5</f>
        <v>-380.95044884681511</v>
      </c>
      <c r="AB5" s="155">
        <f>M5/J5</f>
        <v>0.89418043087588472</v>
      </c>
      <c r="AC5" s="326">
        <f>AB21</f>
        <v>0.87866101565496357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2937</v>
      </c>
      <c r="G6" s="102">
        <f t="shared" si="0"/>
        <v>86700.24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3158.6233410043842</v>
      </c>
      <c r="N6" s="105">
        <f>M6/L6</f>
        <v>287.14757645494404</v>
      </c>
      <c r="O6" s="107">
        <f>L6-I6</f>
        <v>0</v>
      </c>
      <c r="P6" s="108">
        <f>N6-K6</f>
        <v>-40.125150817783208</v>
      </c>
      <c r="Q6" s="109">
        <f>N6/K6</f>
        <v>0.87739537250121802</v>
      </c>
      <c r="R6" s="322"/>
      <c r="S6" s="46">
        <v>0.19374999999999998</v>
      </c>
      <c r="T6" s="47">
        <v>0.23248842592592589</v>
      </c>
      <c r="U6" s="110">
        <v>5</v>
      </c>
      <c r="V6" s="111">
        <v>55.7901278422027</v>
      </c>
      <c r="W6" s="112"/>
      <c r="X6" s="115"/>
      <c r="Y6" s="331"/>
      <c r="Z6" s="332"/>
      <c r="AA6" s="116">
        <f>M6-J6</f>
        <v>-441.3766589956158</v>
      </c>
      <c r="AB6" s="109">
        <f>M6/J6</f>
        <v>0.8773953725012178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3478</v>
      </c>
      <c r="G7" s="102">
        <f t="shared" si="0"/>
        <v>103818.3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22"/>
      <c r="S7" s="46">
        <v>0.23541666666666664</v>
      </c>
      <c r="T7" s="47">
        <v>0.28130787037037036</v>
      </c>
      <c r="U7" s="110">
        <v>5</v>
      </c>
      <c r="V7" s="111">
        <v>66.087081878632304</v>
      </c>
      <c r="W7" s="112"/>
      <c r="X7" s="115"/>
      <c r="Y7" s="331"/>
      <c r="Z7" s="332"/>
      <c r="AA7" s="116">
        <f>M7-J7</f>
        <v>-442.3480948479928</v>
      </c>
      <c r="AB7" s="109">
        <f>M7/J7</f>
        <v>0.87712552920889086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2447</v>
      </c>
      <c r="G8" s="102">
        <f t="shared" si="0"/>
        <v>73410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3158.7511721090973</v>
      </c>
      <c r="N8" s="105">
        <f>M8/L8</f>
        <v>287.15919746446338</v>
      </c>
      <c r="O8" s="107">
        <f>L8-I8</f>
        <v>0</v>
      </c>
      <c r="P8" s="108">
        <f>N8-K8</f>
        <v>-40.113529808263877</v>
      </c>
      <c r="Q8" s="109">
        <f>N8/K8</f>
        <v>0.87743088114141587</v>
      </c>
      <c r="R8" s="322"/>
      <c r="S8" s="46">
        <v>0.2854166666666666</v>
      </c>
      <c r="T8" s="47">
        <v>0.31768518518518513</v>
      </c>
      <c r="U8" s="110">
        <v>5.916666666666579</v>
      </c>
      <c r="V8" s="111">
        <v>46.480394307845501</v>
      </c>
      <c r="W8" s="112"/>
      <c r="X8" s="115"/>
      <c r="Y8" s="331"/>
      <c r="Z8" s="332"/>
      <c r="AA8" s="116">
        <f>M8-J8</f>
        <v>-441.2488278909027</v>
      </c>
      <c r="AB8" s="109">
        <f>M8/J8</f>
        <v>0.87743088114141587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1479</v>
      </c>
      <c r="G9" s="102">
        <f t="shared" si="0"/>
        <v>42255.03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3121.8223123706707</v>
      </c>
      <c r="N9" s="105">
        <f>M9/L9</f>
        <v>260.15185936422256</v>
      </c>
      <c r="O9" s="107">
        <f>L9-I9</f>
        <v>0</v>
      </c>
      <c r="P9" s="108">
        <f>N9-K9</f>
        <v>-39.84814063577744</v>
      </c>
      <c r="Q9" s="109">
        <f>N9/K9</f>
        <v>0.8671728645474085</v>
      </c>
      <c r="R9" s="322"/>
      <c r="S9" s="46">
        <v>0.32152777777777769</v>
      </c>
      <c r="T9" s="47">
        <v>0.34126157407407398</v>
      </c>
      <c r="U9" s="110">
        <v>5.5333333333332924</v>
      </c>
      <c r="V9" s="111">
        <v>28.425704963525618</v>
      </c>
      <c r="W9" s="112"/>
      <c r="X9" s="115"/>
      <c r="Y9" s="331"/>
      <c r="Z9" s="332"/>
      <c r="AA9" s="116">
        <f>M9-J9</f>
        <v>-478.17768762932928</v>
      </c>
      <c r="AB9" s="109">
        <f>M9/J9</f>
        <v>0.8671728645474085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3163.1796563578687</v>
      </c>
      <c r="N21" s="137">
        <f>M21/L21</f>
        <v>287.5617869416244</v>
      </c>
      <c r="O21" s="138">
        <f>L21-I21</f>
        <v>0</v>
      </c>
      <c r="P21" s="139">
        <f>N21-K21</f>
        <v>-39.710940331102847</v>
      </c>
      <c r="Q21" s="140">
        <f>N21/K21</f>
        <v>0.87866101565496346</v>
      </c>
      <c r="R21" s="323"/>
      <c r="S21" s="141">
        <v>0.16666666666666666</v>
      </c>
      <c r="T21" s="142">
        <v>0.42038194444444432</v>
      </c>
      <c r="U21" s="143"/>
      <c r="V21" s="165"/>
      <c r="W21" s="166"/>
      <c r="X21" s="137"/>
      <c r="Y21" s="353"/>
      <c r="Z21" s="354"/>
      <c r="AA21" s="167">
        <f>M21-J21</f>
        <v>-436.82034364213132</v>
      </c>
      <c r="AB21" s="140">
        <f>M21/J21</f>
        <v>0.87866101565496357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2510</v>
      </c>
      <c r="G22" s="147">
        <f t="shared" ref="G22:G24" si="5">E22*F22</f>
        <v>46510.3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3010.1234405697478</v>
      </c>
      <c r="N22" s="151">
        <f>M22/L22</f>
        <v>1003.374480189916</v>
      </c>
      <c r="O22" s="153">
        <f>L22-I22</f>
        <v>0</v>
      </c>
      <c r="P22" s="154">
        <f>N22-K22</f>
        <v>-96.625519810084029</v>
      </c>
      <c r="Q22" s="155">
        <f>N22/K22</f>
        <v>0.9121586183544691</v>
      </c>
      <c r="R22" s="321">
        <f>Q38</f>
        <v>0.91265921265620464</v>
      </c>
      <c r="S22" s="156">
        <v>0.32847222222222222</v>
      </c>
      <c r="T22" s="157">
        <v>0.36320601851851853</v>
      </c>
      <c r="U22" s="158"/>
      <c r="V22" s="111">
        <v>50.03117080523942</v>
      </c>
      <c r="W22" s="160"/>
      <c r="X22" s="161"/>
      <c r="Y22" s="324"/>
      <c r="Z22" s="325"/>
      <c r="AA22" s="114">
        <f>M22-J22</f>
        <v>-289.8765594302522</v>
      </c>
      <c r="AB22" s="155">
        <f>M22/J22</f>
        <v>0.91215861835446899</v>
      </c>
      <c r="AC22" s="326">
        <f>AB38</f>
        <v>0.91265921265620464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809</v>
      </c>
      <c r="G23" s="102">
        <f t="shared" si="5"/>
        <v>18024.52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3013.7298070850179</v>
      </c>
      <c r="N23" s="105">
        <f>M23/L23</f>
        <v>602.74596141700363</v>
      </c>
      <c r="O23" s="107">
        <f>L23-I23</f>
        <v>0</v>
      </c>
      <c r="P23" s="108">
        <f>N23-K23</f>
        <v>-57.254038582996372</v>
      </c>
      <c r="Q23" s="109">
        <f>N23/K23</f>
        <v>0.91325145669242969</v>
      </c>
      <c r="R23" s="322"/>
      <c r="S23" s="46">
        <v>0.36666666666666664</v>
      </c>
      <c r="T23" s="47">
        <v>0.37784722222222222</v>
      </c>
      <c r="U23" s="110">
        <v>4.9833333333332863</v>
      </c>
      <c r="V23" s="111">
        <v>16.106287924646285</v>
      </c>
      <c r="W23" s="112"/>
      <c r="X23" s="115"/>
      <c r="Y23" s="331"/>
      <c r="Z23" s="332"/>
      <c r="AA23" s="116">
        <f>M23-J23</f>
        <v>-286.27019291498209</v>
      </c>
      <c r="AB23" s="109">
        <f>M23/J23</f>
        <v>0.91325145669242969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3010</v>
      </c>
      <c r="G24" s="102">
        <f t="shared" si="5"/>
        <v>53848.9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3011.4729576416598</v>
      </c>
      <c r="N24" s="105">
        <f>M24/L24</f>
        <v>752.86823941041496</v>
      </c>
      <c r="O24" s="107">
        <f>L24-I24</f>
        <v>0</v>
      </c>
      <c r="P24" s="108">
        <f>N24-K24</f>
        <v>-72.131760589585042</v>
      </c>
      <c r="Q24" s="109">
        <f>N24/K24</f>
        <v>0.91256756292171515</v>
      </c>
      <c r="R24" s="322"/>
      <c r="S24" s="46">
        <v>0.38194444444444442</v>
      </c>
      <c r="T24" s="47">
        <v>0.42358796296296292</v>
      </c>
      <c r="U24" s="110">
        <v>5.8999999999999631</v>
      </c>
      <c r="V24" s="111">
        <v>59.970653079160044</v>
      </c>
      <c r="W24" s="112"/>
      <c r="X24" s="115"/>
      <c r="Y24" s="331"/>
      <c r="Z24" s="332"/>
      <c r="AA24" s="116">
        <f>M24-J24</f>
        <v>-288.52704235834017</v>
      </c>
      <c r="AB24" s="109">
        <f>M24/J24</f>
        <v>0.91256756292171515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3011.7754017654752</v>
      </c>
      <c r="N38" s="137">
        <f t="shared" ref="N38:N44" si="10">M38/L38</f>
        <v>752.9438504413688</v>
      </c>
      <c r="O38" s="138">
        <f t="shared" ref="O38:O44" si="11">L38-I38</f>
        <v>0</v>
      </c>
      <c r="P38" s="139">
        <f t="shared" ref="P38:P44" si="12">N38-K38</f>
        <v>-72.056149558631205</v>
      </c>
      <c r="Q38" s="140">
        <f t="shared" ref="Q38:Q44" si="13">N38/K38</f>
        <v>0.91265921265620464</v>
      </c>
      <c r="R38" s="323"/>
      <c r="S38" s="141">
        <v>0.32847222222222222</v>
      </c>
      <c r="T38" s="142">
        <v>0.42358796296296292</v>
      </c>
      <c r="U38" s="143"/>
      <c r="V38" s="165"/>
      <c r="W38" s="98"/>
      <c r="X38" s="68"/>
      <c r="Y38" s="353"/>
      <c r="Z38" s="354"/>
      <c r="AA38" s="167">
        <f t="shared" ref="AA38:AA44" si="14">M38-J38</f>
        <v>-288.22459823452482</v>
      </c>
      <c r="AB38" s="140">
        <f t="shared" ref="AB38:AB44" si="15">M38/J38</f>
        <v>0.91265921265620464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1014</v>
      </c>
      <c r="G39" s="147">
        <f t="shared" ref="G39:G44" si="16">E39*F39</f>
        <v>25380.420000000002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3216.3495508629162</v>
      </c>
      <c r="N39" s="151">
        <f t="shared" si="10"/>
        <v>643.2699101725832</v>
      </c>
      <c r="O39" s="153">
        <f t="shared" si="11"/>
        <v>0</v>
      </c>
      <c r="P39" s="154">
        <f t="shared" si="12"/>
        <v>-76.730089827416805</v>
      </c>
      <c r="Q39" s="155">
        <f t="shared" si="13"/>
        <v>0.89343043079525442</v>
      </c>
      <c r="R39" s="321">
        <f>Q55</f>
        <v>0.89937874649683036</v>
      </c>
      <c r="S39" s="156">
        <v>0.25</v>
      </c>
      <c r="T39" s="157">
        <v>0.263125</v>
      </c>
      <c r="U39" s="158"/>
      <c r="V39" s="159">
        <v>18.915854461054209</v>
      </c>
      <c r="W39" s="160"/>
      <c r="X39" s="161"/>
      <c r="Y39" s="324"/>
      <c r="Z39" s="325"/>
      <c r="AA39" s="114">
        <f t="shared" si="14"/>
        <v>-383.6504491370838</v>
      </c>
      <c r="AB39" s="155">
        <f t="shared" si="15"/>
        <v>0.89343043079525453</v>
      </c>
      <c r="AC39" s="326">
        <f>AB55</f>
        <v>0.89937874649683036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1221</v>
      </c>
      <c r="G40" s="102">
        <f t="shared" si="16"/>
        <v>22197.78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3215.6418073801174</v>
      </c>
      <c r="N40" s="105">
        <f t="shared" si="10"/>
        <v>1071.8806024600392</v>
      </c>
      <c r="O40" s="107">
        <f t="shared" si="11"/>
        <v>0</v>
      </c>
      <c r="P40" s="108">
        <f t="shared" si="12"/>
        <v>-128.1193975399608</v>
      </c>
      <c r="Q40" s="109">
        <f t="shared" si="13"/>
        <v>0.89323383538336598</v>
      </c>
      <c r="R40" s="322"/>
      <c r="S40" s="46">
        <v>0.2729166666666667</v>
      </c>
      <c r="T40" s="47">
        <v>0.28872685185185187</v>
      </c>
      <c r="U40" s="110">
        <v>15</v>
      </c>
      <c r="V40" s="111">
        <v>22.782388209987598</v>
      </c>
      <c r="W40" s="112"/>
      <c r="X40" s="115"/>
      <c r="Y40" s="331"/>
      <c r="Z40" s="332"/>
      <c r="AA40" s="116">
        <f t="shared" si="14"/>
        <v>-384.35819261988263</v>
      </c>
      <c r="AB40" s="109">
        <f t="shared" si="15"/>
        <v>0.89323383538336598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1321</v>
      </c>
      <c r="G41" s="102">
        <f t="shared" si="16"/>
        <v>32787.22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3216.7601595422807</v>
      </c>
      <c r="N41" s="105">
        <f t="shared" si="10"/>
        <v>643.35203190845618</v>
      </c>
      <c r="O41" s="107">
        <f t="shared" si="11"/>
        <v>0</v>
      </c>
      <c r="P41" s="108">
        <f t="shared" si="12"/>
        <v>-76.647968091543817</v>
      </c>
      <c r="Q41" s="109">
        <f t="shared" si="13"/>
        <v>0.89354448876174475</v>
      </c>
      <c r="R41" s="322"/>
      <c r="S41" s="46">
        <v>0.29861111111111116</v>
      </c>
      <c r="T41" s="47">
        <v>0.31571759259259263</v>
      </c>
      <c r="U41" s="110">
        <v>15</v>
      </c>
      <c r="V41" s="111">
        <v>24.639698351423895</v>
      </c>
      <c r="W41" s="112"/>
      <c r="X41" s="115"/>
      <c r="Y41" s="331"/>
      <c r="Z41" s="332"/>
      <c r="AA41" s="116">
        <f t="shared" si="14"/>
        <v>-383.23984045771931</v>
      </c>
      <c r="AB41" s="109">
        <f t="shared" si="15"/>
        <v>0.89354448876174464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2183</v>
      </c>
      <c r="G42" s="102">
        <f t="shared" si="16"/>
        <v>37263.81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3015.0071831917835</v>
      </c>
      <c r="N42" s="105">
        <f t="shared" si="10"/>
        <v>1005.0023943972611</v>
      </c>
      <c r="O42" s="107">
        <f t="shared" si="11"/>
        <v>0</v>
      </c>
      <c r="P42" s="108">
        <f t="shared" si="12"/>
        <v>-94.997605602738872</v>
      </c>
      <c r="Q42" s="109">
        <f t="shared" si="13"/>
        <v>0.91363854036114645</v>
      </c>
      <c r="R42" s="322"/>
      <c r="S42" s="46">
        <v>0.32569444444444451</v>
      </c>
      <c r="T42" s="47">
        <v>0.35585648148148152</v>
      </c>
      <c r="U42" s="110">
        <v>15</v>
      </c>
      <c r="V42" s="111">
        <v>43.442682568119245</v>
      </c>
      <c r="W42" s="112"/>
      <c r="X42" s="115"/>
      <c r="Y42" s="331"/>
      <c r="Z42" s="332"/>
      <c r="AA42" s="116">
        <f t="shared" si="14"/>
        <v>-284.9928168082165</v>
      </c>
      <c r="AB42" s="109">
        <f t="shared" si="15"/>
        <v>0.91363854036114656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4674</v>
      </c>
      <c r="G43" s="102">
        <f t="shared" si="16"/>
        <v>65576.22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2740.1161146167415</v>
      </c>
      <c r="N43" s="105">
        <f t="shared" si="10"/>
        <v>913.37203820558045</v>
      </c>
      <c r="O43" s="107">
        <f t="shared" si="11"/>
        <v>0</v>
      </c>
      <c r="P43" s="108">
        <f t="shared" si="12"/>
        <v>-86.627961794419548</v>
      </c>
      <c r="Q43" s="109">
        <f t="shared" si="13"/>
        <v>0.91337203820558044</v>
      </c>
      <c r="R43" s="322"/>
      <c r="S43" s="46">
        <v>0.36597222222222231</v>
      </c>
      <c r="T43" s="47">
        <v>0.43703703703703711</v>
      </c>
      <c r="U43" s="110">
        <v>14.566666666666732</v>
      </c>
      <c r="V43" s="111">
        <v>102.34602778474773</v>
      </c>
      <c r="W43" s="112"/>
      <c r="X43" s="115"/>
      <c r="Y43" s="331"/>
      <c r="Z43" s="332"/>
      <c r="AA43" s="116">
        <f t="shared" si="14"/>
        <v>-259.88388538325853</v>
      </c>
      <c r="AB43" s="109">
        <f t="shared" si="15"/>
        <v>0.91337203820558044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6629</v>
      </c>
      <c r="G44" s="120">
        <f t="shared" si="16"/>
        <v>94662.12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3213.2652368905506</v>
      </c>
      <c r="N44" s="105">
        <f t="shared" si="10"/>
        <v>1071.0884122968503</v>
      </c>
      <c r="O44" s="107">
        <f t="shared" si="11"/>
        <v>0</v>
      </c>
      <c r="P44" s="108">
        <f t="shared" si="12"/>
        <v>-128.91158770314973</v>
      </c>
      <c r="Q44" s="109">
        <f t="shared" si="13"/>
        <v>0.89257367691404188</v>
      </c>
      <c r="R44" s="322"/>
      <c r="S44" s="46">
        <v>0.44722222222222235</v>
      </c>
      <c r="T44" s="119">
        <v>0.53317129629629645</v>
      </c>
      <c r="U44" s="110">
        <v>14.666666666666748</v>
      </c>
      <c r="V44" s="111">
        <v>123.78063143797293</v>
      </c>
      <c r="W44" s="112"/>
      <c r="X44" s="115"/>
      <c r="Y44" s="331"/>
      <c r="Z44" s="332"/>
      <c r="AA44" s="116">
        <f t="shared" si="14"/>
        <v>-386.73476310944943</v>
      </c>
      <c r="AB44" s="109">
        <f t="shared" si="15"/>
        <v>0.89257367691404177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3102.8566754140647</v>
      </c>
      <c r="N55" s="137">
        <f t="shared" ref="N55:N62" si="22">M55/L55</f>
        <v>846.23363874929044</v>
      </c>
      <c r="O55" s="138">
        <f t="shared" ref="O55:O62" si="23">L55-I55</f>
        <v>0</v>
      </c>
      <c r="P55" s="139">
        <f t="shared" ref="P55:P62" si="24">N55-K55</f>
        <v>-94.675452159800557</v>
      </c>
      <c r="Q55" s="140">
        <f t="shared" ref="Q55:Q62" si="25">N55/K55</f>
        <v>0.89937874649683036</v>
      </c>
      <c r="R55" s="323"/>
      <c r="S55" s="141">
        <v>0.25</v>
      </c>
      <c r="T55" s="142">
        <v>0.53317129629629645</v>
      </c>
      <c r="U55" s="143"/>
      <c r="V55" s="165"/>
      <c r="W55" s="98"/>
      <c r="X55" s="68"/>
      <c r="Y55" s="353"/>
      <c r="Z55" s="354"/>
      <c r="AA55" s="167">
        <f t="shared" ref="AA55:AA62" si="26">M55-J55</f>
        <v>-347.14332458593526</v>
      </c>
      <c r="AB55" s="140">
        <f t="shared" ref="AB55:AB62" si="27">M55/J55</f>
        <v>0.89937874649683036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1704</v>
      </c>
      <c r="G56" s="147">
        <f t="shared" ref="G56:G62" si="28">E56*F56</f>
        <v>35306.879999999997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3216.5583578594533</v>
      </c>
      <c r="N56" s="151">
        <f t="shared" si="22"/>
        <v>1072.1861192864844</v>
      </c>
      <c r="O56" s="153">
        <f t="shared" si="23"/>
        <v>0</v>
      </c>
      <c r="P56" s="154">
        <f t="shared" si="24"/>
        <v>-127.81388071351557</v>
      </c>
      <c r="Q56" s="155">
        <f t="shared" si="25"/>
        <v>0.89348843273873702</v>
      </c>
      <c r="R56" s="321">
        <f>Q72</f>
        <v>0.89573926176302576</v>
      </c>
      <c r="S56" s="156">
        <v>0.25</v>
      </c>
      <c r="T56" s="157">
        <v>0.27207175925925925</v>
      </c>
      <c r="U56" s="158"/>
      <c r="V56" s="159">
        <v>31.785526213190924</v>
      </c>
      <c r="W56" s="157"/>
      <c r="X56" s="168"/>
      <c r="Y56" s="324"/>
      <c r="Z56" s="325"/>
      <c r="AA56" s="114">
        <f t="shared" si="26"/>
        <v>-383.44164214054672</v>
      </c>
      <c r="AB56" s="155">
        <f t="shared" si="27"/>
        <v>0.89348843273873702</v>
      </c>
      <c r="AC56" s="326">
        <f>AB72</f>
        <v>0.89573926176302576</v>
      </c>
    </row>
    <row r="57" spans="1:29" ht="15.75" customHeight="1">
      <c r="A57" s="356"/>
      <c r="B57" s="99" t="s">
        <v>121</v>
      </c>
      <c r="C57" s="329" t="s">
        <v>232</v>
      </c>
      <c r="D57" s="330"/>
      <c r="E57" s="100">
        <v>23.72</v>
      </c>
      <c r="F57" s="101">
        <v>757</v>
      </c>
      <c r="G57" s="102">
        <f t="shared" si="28"/>
        <v>17956.04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3216.0711494849397</v>
      </c>
      <c r="N57" s="105">
        <f t="shared" si="22"/>
        <v>643.21422989698794</v>
      </c>
      <c r="O57" s="107">
        <f t="shared" si="23"/>
        <v>0</v>
      </c>
      <c r="P57" s="108">
        <f t="shared" si="24"/>
        <v>-76.785770103012055</v>
      </c>
      <c r="Q57" s="109">
        <f t="shared" si="25"/>
        <v>0.89335309707914989</v>
      </c>
      <c r="R57" s="322"/>
      <c r="S57" s="46">
        <v>0.28194444444444444</v>
      </c>
      <c r="T57" s="47">
        <v>0.29174768518518518</v>
      </c>
      <c r="U57" s="110">
        <v>15</v>
      </c>
      <c r="V57" s="111">
        <v>14.122821880751644</v>
      </c>
      <c r="W57" s="112"/>
      <c r="X57" s="13"/>
      <c r="Y57" s="331"/>
      <c r="Z57" s="332"/>
      <c r="AA57" s="116">
        <f t="shared" si="26"/>
        <v>-383.92885051506028</v>
      </c>
      <c r="AB57" s="109">
        <f t="shared" si="27"/>
        <v>0.89335309707914989</v>
      </c>
      <c r="AC57" s="327"/>
    </row>
    <row r="58" spans="1:29" ht="15.75" customHeight="1">
      <c r="A58" s="356"/>
      <c r="B58" s="99" t="s">
        <v>121</v>
      </c>
      <c r="C58" s="329" t="s">
        <v>135</v>
      </c>
      <c r="D58" s="330"/>
      <c r="E58" s="100">
        <v>30</v>
      </c>
      <c r="F58" s="101">
        <v>1934</v>
      </c>
      <c r="G58" s="102">
        <f t="shared" si="28"/>
        <v>58020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3214.9506743701645</v>
      </c>
      <c r="N58" s="105">
        <f t="shared" si="22"/>
        <v>803.73766859254113</v>
      </c>
      <c r="O58" s="107">
        <f t="shared" si="23"/>
        <v>0</v>
      </c>
      <c r="P58" s="108">
        <f t="shared" si="24"/>
        <v>-96.262331407458873</v>
      </c>
      <c r="Q58" s="109">
        <f t="shared" si="25"/>
        <v>0.89304185399171232</v>
      </c>
      <c r="R58" s="322"/>
      <c r="S58" s="46">
        <v>0.30208333333333337</v>
      </c>
      <c r="T58" s="47">
        <v>0.32714120370370375</v>
      </c>
      <c r="U58" s="110">
        <v>14.883333333333395</v>
      </c>
      <c r="V58" s="111">
        <v>36.093866361645873</v>
      </c>
      <c r="W58" s="112"/>
      <c r="X58" s="13"/>
      <c r="Y58" s="331"/>
      <c r="Z58" s="332"/>
      <c r="AA58" s="116">
        <f t="shared" si="26"/>
        <v>-385.04932562983549</v>
      </c>
      <c r="AB58" s="109">
        <f t="shared" si="27"/>
        <v>0.89304185399171232</v>
      </c>
      <c r="AC58" s="327"/>
    </row>
    <row r="59" spans="1:29" ht="15.75" customHeight="1">
      <c r="A59" s="356"/>
      <c r="B59" s="99" t="s">
        <v>121</v>
      </c>
      <c r="C59" s="329" t="s">
        <v>136</v>
      </c>
      <c r="D59" s="330"/>
      <c r="E59" s="100">
        <v>30</v>
      </c>
      <c r="F59" s="101">
        <v>2236</v>
      </c>
      <c r="G59" s="102">
        <f t="shared" si="28"/>
        <v>67080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3015.7809012974694</v>
      </c>
      <c r="N59" s="105">
        <f t="shared" si="22"/>
        <v>753.94522532436736</v>
      </c>
      <c r="O59" s="107">
        <f t="shared" si="23"/>
        <v>0</v>
      </c>
      <c r="P59" s="108">
        <f t="shared" si="24"/>
        <v>-71.054774675632643</v>
      </c>
      <c r="Q59" s="109">
        <f t="shared" si="25"/>
        <v>0.91387300039317254</v>
      </c>
      <c r="R59" s="322"/>
      <c r="S59" s="46">
        <v>0.33750000000000008</v>
      </c>
      <c r="T59" s="47">
        <v>0.36839120370370376</v>
      </c>
      <c r="U59" s="110">
        <v>14.916666666666707</v>
      </c>
      <c r="V59" s="111">
        <v>44.485990325849201</v>
      </c>
      <c r="W59" s="112"/>
      <c r="X59" s="115"/>
      <c r="Y59" s="331"/>
      <c r="Z59" s="332"/>
      <c r="AA59" s="116">
        <f t="shared" si="26"/>
        <v>-284.21909870253057</v>
      </c>
      <c r="AB59" s="109">
        <f t="shared" si="27"/>
        <v>0.91387300039317254</v>
      </c>
      <c r="AC59" s="327"/>
    </row>
    <row r="60" spans="1:29" ht="15.75" customHeight="1">
      <c r="A60" s="357"/>
      <c r="B60" s="99" t="s">
        <v>121</v>
      </c>
      <c r="C60" s="329" t="s">
        <v>137</v>
      </c>
      <c r="D60" s="330"/>
      <c r="E60" s="100">
        <v>27.48</v>
      </c>
      <c r="F60" s="101">
        <v>3518</v>
      </c>
      <c r="G60" s="102">
        <f t="shared" si="28"/>
        <v>96674.64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3215.8858765915911</v>
      </c>
      <c r="N60" s="105">
        <f t="shared" si="22"/>
        <v>643.17717531831818</v>
      </c>
      <c r="O60" s="107">
        <f t="shared" si="23"/>
        <v>0</v>
      </c>
      <c r="P60" s="108">
        <f t="shared" si="24"/>
        <v>-76.822824681681823</v>
      </c>
      <c r="Q60" s="109">
        <f t="shared" si="25"/>
        <v>0.89330163238655302</v>
      </c>
      <c r="R60" s="322"/>
      <c r="S60" s="46">
        <v>0.37847222222222232</v>
      </c>
      <c r="T60" s="47">
        <v>0.42405092592592603</v>
      </c>
      <c r="U60" s="110">
        <v>14.516666666666724</v>
      </c>
      <c r="V60" s="111">
        <v>65.636657549463962</v>
      </c>
      <c r="W60" s="112"/>
      <c r="X60" s="115"/>
      <c r="Y60" s="331"/>
      <c r="Z60" s="332"/>
      <c r="AA60" s="116">
        <f t="shared" si="26"/>
        <v>-384.11412340840889</v>
      </c>
      <c r="AB60" s="109">
        <f t="shared" si="27"/>
        <v>0.89330163238655313</v>
      </c>
      <c r="AC60" s="327"/>
    </row>
    <row r="61" spans="1:29" ht="15.75" customHeight="1">
      <c r="A61" s="357"/>
      <c r="B61" s="99" t="s">
        <v>121</v>
      </c>
      <c r="C61" s="329" t="s">
        <v>138</v>
      </c>
      <c r="D61" s="330"/>
      <c r="E61" s="100">
        <v>18.18</v>
      </c>
      <c r="F61" s="101">
        <v>2201</v>
      </c>
      <c r="G61" s="120">
        <f t="shared" si="28"/>
        <v>40014.18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3211.9262807528698</v>
      </c>
      <c r="N61" s="105">
        <f t="shared" si="22"/>
        <v>1070.64209358429</v>
      </c>
      <c r="O61" s="107">
        <f t="shared" si="23"/>
        <v>0</v>
      </c>
      <c r="P61" s="108">
        <f t="shared" si="24"/>
        <v>-129.35790641570998</v>
      </c>
      <c r="Q61" s="109">
        <f t="shared" si="25"/>
        <v>0.89220174465357505</v>
      </c>
      <c r="R61" s="322"/>
      <c r="S61" s="46">
        <v>0.4340277777777779</v>
      </c>
      <c r="T61" s="119">
        <v>0.46256944444444459</v>
      </c>
      <c r="U61" s="110">
        <v>15</v>
      </c>
      <c r="V61" s="111">
        <v>41.115514011437824</v>
      </c>
      <c r="W61" s="112"/>
      <c r="X61" s="49"/>
      <c r="Y61" s="331"/>
      <c r="Z61" s="332"/>
      <c r="AA61" s="116">
        <f t="shared" si="26"/>
        <v>-388.07371924713016</v>
      </c>
      <c r="AB61" s="109">
        <f t="shared" si="27"/>
        <v>0.89220174465357494</v>
      </c>
      <c r="AC61" s="327"/>
    </row>
    <row r="62" spans="1:29" ht="15.75" customHeight="1">
      <c r="A62" s="357"/>
      <c r="B62" s="99" t="s">
        <v>121</v>
      </c>
      <c r="C62" s="329" t="s">
        <v>139</v>
      </c>
      <c r="D62" s="330"/>
      <c r="E62" s="100">
        <v>16.66</v>
      </c>
      <c r="F62" s="101">
        <v>5366</v>
      </c>
      <c r="G62" s="120">
        <f t="shared" si="28"/>
        <v>89397.56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3212.7343775428581</v>
      </c>
      <c r="N62" s="105">
        <f t="shared" si="22"/>
        <v>642.54687550857159</v>
      </c>
      <c r="O62" s="122">
        <f t="shared" si="23"/>
        <v>0</v>
      </c>
      <c r="P62" s="123">
        <f t="shared" si="24"/>
        <v>-77.453124491428412</v>
      </c>
      <c r="Q62" s="124">
        <f t="shared" si="25"/>
        <v>0.89242621598412719</v>
      </c>
      <c r="R62" s="322"/>
      <c r="S62" s="46">
        <v>0.47291666666666682</v>
      </c>
      <c r="T62" s="119">
        <v>0.5425000000000002</v>
      </c>
      <c r="U62" s="110">
        <v>14.900000000000011</v>
      </c>
      <c r="V62" s="111">
        <v>100.21370028300917</v>
      </c>
      <c r="W62" s="112"/>
      <c r="X62" s="115"/>
      <c r="Y62" s="331"/>
      <c r="Z62" s="332"/>
      <c r="AA62" s="116">
        <f t="shared" si="26"/>
        <v>-387.26562245714194</v>
      </c>
      <c r="AB62" s="109">
        <f t="shared" si="27"/>
        <v>0.89242621598412719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3186.2725168427633</v>
      </c>
      <c r="N72" s="137">
        <f>M72/L72</f>
        <v>769.10026268618412</v>
      </c>
      <c r="O72" s="138">
        <f>L72-I72</f>
        <v>0</v>
      </c>
      <c r="P72" s="139">
        <f>N72-K72</f>
        <v>-89.520426968988204</v>
      </c>
      <c r="Q72" s="140">
        <f>N72/K72</f>
        <v>0.89573926176302576</v>
      </c>
      <c r="R72" s="323"/>
      <c r="S72" s="141">
        <v>0.25</v>
      </c>
      <c r="T72" s="142">
        <v>0.5425000000000002</v>
      </c>
      <c r="U72" s="143"/>
      <c r="V72" s="165"/>
      <c r="W72" s="166"/>
      <c r="X72" s="137"/>
      <c r="Y72" s="353"/>
      <c r="Z72" s="354"/>
      <c r="AA72" s="167">
        <f>M72-J72</f>
        <v>-370.87034030009409</v>
      </c>
      <c r="AB72" s="140">
        <f>M72/J72</f>
        <v>0.89573926176302576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1591</v>
      </c>
      <c r="G73" s="147">
        <f t="shared" ref="G73:G75" si="33">E73*F73</f>
        <v>45454.87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3121.5940871335451</v>
      </c>
      <c r="N73" s="151">
        <f>M73/L73</f>
        <v>260.1328405944621</v>
      </c>
      <c r="O73" s="153">
        <f>L73-I73</f>
        <v>0</v>
      </c>
      <c r="P73" s="154">
        <f>N73-K73</f>
        <v>-39.867159405537905</v>
      </c>
      <c r="Q73" s="155">
        <f>N73/K73</f>
        <v>0.86710946864820704</v>
      </c>
      <c r="R73" s="321">
        <f>Q89</f>
        <v>0.89362269938863403</v>
      </c>
      <c r="S73" s="156">
        <v>0.70833333333333337</v>
      </c>
      <c r="T73" s="157">
        <v>0.72956018518518517</v>
      </c>
      <c r="U73" s="158"/>
      <c r="V73" s="159">
        <v>30.580529478019901</v>
      </c>
      <c r="W73" s="157"/>
      <c r="X73" s="168"/>
      <c r="Y73" s="324"/>
      <c r="Z73" s="325"/>
      <c r="AA73" s="114">
        <f>M73-J73</f>
        <v>-478.40591286645486</v>
      </c>
      <c r="AB73" s="155">
        <f>M73/J73</f>
        <v>0.86710946864820704</v>
      </c>
      <c r="AC73" s="326">
        <f>AB89</f>
        <v>0.89362269938863403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632</v>
      </c>
      <c r="G74" s="102">
        <f t="shared" si="33"/>
        <v>11192.720000000001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3265.3413009844212</v>
      </c>
      <c r="N74" s="105">
        <f>M74/L74</f>
        <v>653.06826019688424</v>
      </c>
      <c r="O74" s="107">
        <f>L74-I74</f>
        <v>0</v>
      </c>
      <c r="P74" s="108">
        <f>N74-K74</f>
        <v>-66.931739803115761</v>
      </c>
      <c r="Q74" s="109">
        <f>N74/K74</f>
        <v>0.90703925027345034</v>
      </c>
      <c r="R74" s="322"/>
      <c r="S74" s="46">
        <v>0.73333333333333339</v>
      </c>
      <c r="T74" s="47">
        <v>0.74138888888888899</v>
      </c>
      <c r="U74" s="110">
        <v>5.4333333333334366</v>
      </c>
      <c r="V74" s="111">
        <v>11.612874889546168</v>
      </c>
      <c r="W74" s="112"/>
      <c r="X74" s="13"/>
      <c r="Y74" s="331"/>
      <c r="Z74" s="332"/>
      <c r="AA74" s="116">
        <f>M74-J74</f>
        <v>-334.6586990155788</v>
      </c>
      <c r="AB74" s="109">
        <f>M74/J74</f>
        <v>0.90703925027345034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1216</v>
      </c>
      <c r="G75" s="102">
        <f t="shared" si="33"/>
        <v>23006.720000000001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3264.1897652792809</v>
      </c>
      <c r="N75" s="105">
        <f>M75/L75</f>
        <v>652.83795305585613</v>
      </c>
      <c r="O75" s="107">
        <f>L75-I75</f>
        <v>0</v>
      </c>
      <c r="P75" s="108">
        <f>N75-K75</f>
        <v>-67.162046944143867</v>
      </c>
      <c r="Q75" s="109">
        <f>N75/K75</f>
        <v>0.90671937924424462</v>
      </c>
      <c r="R75" s="322"/>
      <c r="S75" s="46">
        <v>0.74513888888888891</v>
      </c>
      <c r="T75" s="47">
        <v>0.76065972222222222</v>
      </c>
      <c r="U75" s="110">
        <v>5.3999999999998849</v>
      </c>
      <c r="V75" s="111">
        <v>22.35164167722878</v>
      </c>
      <c r="W75" s="112"/>
      <c r="X75" s="13"/>
      <c r="Y75" s="331"/>
      <c r="Z75" s="332"/>
      <c r="AA75" s="116">
        <f>M75-J75</f>
        <v>-335.81023472071911</v>
      </c>
      <c r="AB75" s="109">
        <f>M75/J75</f>
        <v>0.90671937924424473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3217.0417177990826</v>
      </c>
      <c r="N89" s="137">
        <f t="shared" ref="N89:N94" si="37">M89/L89</f>
        <v>438.68750697260219</v>
      </c>
      <c r="O89" s="138">
        <f t="shared" ref="O89:O94" si="38">L89-I89</f>
        <v>0</v>
      </c>
      <c r="P89" s="139">
        <f t="shared" ref="P89:P94" si="39">N89-K89</f>
        <v>-52.221583936488742</v>
      </c>
      <c r="Q89" s="140">
        <f t="shared" ref="Q89:Q94" si="40">N89/K89</f>
        <v>0.89362269938863403</v>
      </c>
      <c r="R89" s="323"/>
      <c r="S89" s="141">
        <v>0.70833333333333337</v>
      </c>
      <c r="T89" s="142">
        <v>0.76065972222222222</v>
      </c>
      <c r="U89" s="143"/>
      <c r="V89" s="165"/>
      <c r="W89" s="166"/>
      <c r="X89" s="137"/>
      <c r="Y89" s="353"/>
      <c r="Z89" s="354"/>
      <c r="AA89" s="167">
        <f t="shared" ref="AA89:AA94" si="41">M89-J89</f>
        <v>-382.95828220091744</v>
      </c>
      <c r="AB89" s="140">
        <f t="shared" ref="AB89:AB94" si="42">M89/J89</f>
        <v>0.89362269938863403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581</v>
      </c>
      <c r="G90" s="147">
        <f t="shared" ref="G90:G94" si="43">E90*F90</f>
        <v>13519.869999999999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2737.5771411010992</v>
      </c>
      <c r="N90" s="151">
        <f t="shared" si="37"/>
        <v>547.51542822021986</v>
      </c>
      <c r="O90" s="153">
        <f t="shared" si="38"/>
        <v>0</v>
      </c>
      <c r="P90" s="154">
        <f t="shared" si="39"/>
        <v>-52.48457177978014</v>
      </c>
      <c r="Q90" s="155">
        <f t="shared" si="40"/>
        <v>0.91252571370036639</v>
      </c>
      <c r="R90" s="321">
        <f>Q106</f>
        <v>0.91238390985482154</v>
      </c>
      <c r="S90" s="156">
        <v>0.70833333333333337</v>
      </c>
      <c r="T90" s="157">
        <v>0.71717592592592594</v>
      </c>
      <c r="U90" s="158"/>
      <c r="V90" s="159">
        <v>12.733887742056002</v>
      </c>
      <c r="W90" s="160"/>
      <c r="X90" s="161"/>
      <c r="Y90" s="324"/>
      <c r="Z90" s="325"/>
      <c r="AA90" s="114">
        <f t="shared" si="41"/>
        <v>-262.42285889890081</v>
      </c>
      <c r="AB90" s="155">
        <f t="shared" si="42"/>
        <v>0.91252571370036639</v>
      </c>
      <c r="AC90" s="326">
        <f>AB106</f>
        <v>0.91238390985482154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1423</v>
      </c>
      <c r="G91" s="102">
        <f t="shared" si="43"/>
        <v>34920.42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2738.7099097226474</v>
      </c>
      <c r="N91" s="105">
        <f t="shared" si="37"/>
        <v>684.67747743066184</v>
      </c>
      <c r="O91" s="107">
        <f t="shared" si="38"/>
        <v>0</v>
      </c>
      <c r="P91" s="108">
        <f t="shared" si="39"/>
        <v>-65.322522569338162</v>
      </c>
      <c r="Q91" s="109">
        <f t="shared" si="40"/>
        <v>0.91290330324088242</v>
      </c>
      <c r="R91" s="322"/>
      <c r="S91" s="46">
        <v>0.72013888888888888</v>
      </c>
      <c r="T91" s="47">
        <v>0.74178240740740742</v>
      </c>
      <c r="U91" s="110">
        <v>5</v>
      </c>
      <c r="V91" s="111">
        <v>31.175262373314499</v>
      </c>
      <c r="W91" s="112"/>
      <c r="X91" s="115"/>
      <c r="Y91" s="331"/>
      <c r="Z91" s="332"/>
      <c r="AA91" s="116">
        <f t="shared" si="41"/>
        <v>-261.29009027735265</v>
      </c>
      <c r="AB91" s="109">
        <f t="shared" si="42"/>
        <v>0.91290330324088242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1533</v>
      </c>
      <c r="G92" s="102">
        <f t="shared" si="43"/>
        <v>37297.89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2736.6850913032717</v>
      </c>
      <c r="N92" s="105">
        <f t="shared" si="37"/>
        <v>684.17127282581794</v>
      </c>
      <c r="O92" s="107">
        <f t="shared" si="38"/>
        <v>0</v>
      </c>
      <c r="P92" s="108">
        <f t="shared" si="39"/>
        <v>-65.828727174182063</v>
      </c>
      <c r="Q92" s="109">
        <f t="shared" si="40"/>
        <v>0.91222836376775729</v>
      </c>
      <c r="R92" s="322"/>
      <c r="S92" s="46">
        <v>0.74583333333333335</v>
      </c>
      <c r="T92" s="47">
        <v>0.76916666666666667</v>
      </c>
      <c r="U92" s="110">
        <v>5.8333333333333393</v>
      </c>
      <c r="V92" s="111">
        <v>33.610005145384491</v>
      </c>
      <c r="W92" s="112"/>
      <c r="X92" s="115"/>
      <c r="Y92" s="331"/>
      <c r="Z92" s="332"/>
      <c r="AA92" s="116">
        <f t="shared" si="41"/>
        <v>-263.31490869672825</v>
      </c>
      <c r="AB92" s="109">
        <f t="shared" si="42"/>
        <v>0.91222836376775729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1642</v>
      </c>
      <c r="G93" s="102">
        <f t="shared" si="43"/>
        <v>36583.760000000002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3009.9687743904633</v>
      </c>
      <c r="N93" s="105">
        <f t="shared" si="37"/>
        <v>601.99375487809266</v>
      </c>
      <c r="O93" s="107">
        <f t="shared" si="38"/>
        <v>0</v>
      </c>
      <c r="P93" s="108">
        <f t="shared" si="39"/>
        <v>-58.006245121907341</v>
      </c>
      <c r="Q93" s="109">
        <f t="shared" si="40"/>
        <v>0.91211174981529186</v>
      </c>
      <c r="R93" s="322"/>
      <c r="S93" s="46">
        <v>0.77222222222222225</v>
      </c>
      <c r="T93" s="47">
        <v>0.79494212962962962</v>
      </c>
      <c r="U93" s="110">
        <v>5</v>
      </c>
      <c r="V93" s="111">
        <v>32.731236562396198</v>
      </c>
      <c r="W93" s="112"/>
      <c r="X93" s="115"/>
      <c r="Y93" s="331"/>
      <c r="Z93" s="332"/>
      <c r="AA93" s="116">
        <f t="shared" si="41"/>
        <v>-290.0312256095367</v>
      </c>
      <c r="AB93" s="109">
        <f t="shared" si="42"/>
        <v>0.91211174981529186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5389</v>
      </c>
      <c r="G94" s="102">
        <f t="shared" si="43"/>
        <v>96409.21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3010.248077217735</v>
      </c>
      <c r="N94" s="105">
        <f t="shared" si="37"/>
        <v>752.56201930443376</v>
      </c>
      <c r="O94" s="107">
        <f t="shared" si="38"/>
        <v>0</v>
      </c>
      <c r="P94" s="108">
        <f t="shared" si="39"/>
        <v>-72.437980695566239</v>
      </c>
      <c r="Q94" s="109">
        <f t="shared" si="40"/>
        <v>0.91219638703567729</v>
      </c>
      <c r="R94" s="322"/>
      <c r="S94" s="46">
        <v>0.79861111111111116</v>
      </c>
      <c r="T94" s="47">
        <v>0.8731944444444445</v>
      </c>
      <c r="U94" s="110">
        <v>5.2833333333334132</v>
      </c>
      <c r="V94" s="111">
        <v>107.41307417389055</v>
      </c>
      <c r="W94" s="112"/>
      <c r="X94" s="115"/>
      <c r="Y94" s="331"/>
      <c r="Z94" s="332"/>
      <c r="AA94" s="116">
        <f t="shared" si="41"/>
        <v>-289.75192278226496</v>
      </c>
      <c r="AB94" s="109">
        <f t="shared" si="42"/>
        <v>0.91219638703567729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2846.6377987470432</v>
      </c>
      <c r="N106" s="137">
        <f t="shared" ref="N106:N114" si="48">M106/L106</f>
        <v>646.96313607887339</v>
      </c>
      <c r="O106" s="138">
        <f t="shared" ref="O106:O114" si="49">L106-I106</f>
        <v>0</v>
      </c>
      <c r="P106" s="139">
        <f t="shared" ref="P106:P114" si="50">N106-K106</f>
        <v>-62.127773012035618</v>
      </c>
      <c r="Q106" s="140">
        <f t="shared" ref="Q106:Q114" si="51">N106/K106</f>
        <v>0.91238390985482154</v>
      </c>
      <c r="R106" s="323"/>
      <c r="S106" s="141">
        <v>0.70833333333333337</v>
      </c>
      <c r="T106" s="142">
        <v>0.8731944444444445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-273.36220125295677</v>
      </c>
      <c r="AB106" s="140">
        <f t="shared" ref="AB106:AB114" si="53">M106/J106</f>
        <v>0.91238390985482154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688</v>
      </c>
      <c r="G107" s="147">
        <f t="shared" ref="G107:G114" si="54">E107*F107</f>
        <v>12507.84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2740.0541168696368</v>
      </c>
      <c r="N107" s="151">
        <f t="shared" si="48"/>
        <v>913.3513722898789</v>
      </c>
      <c r="O107" s="153">
        <f t="shared" si="49"/>
        <v>0</v>
      </c>
      <c r="P107" s="154">
        <f t="shared" si="50"/>
        <v>-86.648627710121104</v>
      </c>
      <c r="Q107" s="155">
        <f t="shared" si="51"/>
        <v>0.91335137228987895</v>
      </c>
      <c r="R107" s="321">
        <f>Q123</f>
        <v>0.90196681259220857</v>
      </c>
      <c r="S107" s="156">
        <v>0.73263888888888884</v>
      </c>
      <c r="T107" s="157">
        <v>0.7430902777777777</v>
      </c>
      <c r="U107" s="158"/>
      <c r="V107" s="159">
        <v>15.065395878808467</v>
      </c>
      <c r="W107" s="160"/>
      <c r="X107" s="161"/>
      <c r="Y107" s="324"/>
      <c r="Z107" s="325"/>
      <c r="AA107" s="114">
        <f t="shared" si="52"/>
        <v>-259.9458831303632</v>
      </c>
      <c r="AB107" s="155">
        <f t="shared" si="53"/>
        <v>0.91335137228987895</v>
      </c>
      <c r="AC107" s="326">
        <f>AB123</f>
        <v>0.90196681259220857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411</v>
      </c>
      <c r="G108" s="102">
        <f t="shared" si="54"/>
        <v>7471.98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3212.8829425386707</v>
      </c>
      <c r="N108" s="105">
        <f t="shared" si="48"/>
        <v>1070.9609808462235</v>
      </c>
      <c r="O108" s="107">
        <f t="shared" si="49"/>
        <v>0</v>
      </c>
      <c r="P108" s="108">
        <f t="shared" si="50"/>
        <v>-129.03901915377651</v>
      </c>
      <c r="Q108" s="109">
        <f t="shared" si="51"/>
        <v>0.89246748403851961</v>
      </c>
      <c r="R108" s="322"/>
      <c r="S108" s="46">
        <v>0.7534722222222221</v>
      </c>
      <c r="T108" s="47">
        <v>0.75879629629629619</v>
      </c>
      <c r="U108" s="110">
        <v>14.949999999999939</v>
      </c>
      <c r="V108" s="111">
        <v>7.6753496598026745</v>
      </c>
      <c r="W108" s="112"/>
      <c r="X108" s="115"/>
      <c r="Y108" s="331"/>
      <c r="Z108" s="332"/>
      <c r="AA108" s="116">
        <f t="shared" si="52"/>
        <v>-387.1170574613293</v>
      </c>
      <c r="AB108" s="109">
        <f t="shared" si="53"/>
        <v>0.89246748403851961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2252</v>
      </c>
      <c r="G109" s="102">
        <f t="shared" si="54"/>
        <v>31595.559999999998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2739.1401003867818</v>
      </c>
      <c r="N109" s="105">
        <f t="shared" si="48"/>
        <v>913.04670012892723</v>
      </c>
      <c r="O109" s="107">
        <f t="shared" si="49"/>
        <v>0</v>
      </c>
      <c r="P109" s="108">
        <f t="shared" si="50"/>
        <v>-86.953299871072772</v>
      </c>
      <c r="Q109" s="109">
        <f t="shared" si="51"/>
        <v>0.91304670012892719</v>
      </c>
      <c r="R109" s="322"/>
      <c r="S109" s="46">
        <v>0.76874999999999982</v>
      </c>
      <c r="T109" s="47">
        <v>0.802997685185185</v>
      </c>
      <c r="U109" s="110">
        <v>15</v>
      </c>
      <c r="V109" s="111">
        <v>49.329349740424121</v>
      </c>
      <c r="W109" s="112"/>
      <c r="X109" s="115"/>
      <c r="Y109" s="331"/>
      <c r="Z109" s="332"/>
      <c r="AA109" s="116">
        <f t="shared" si="52"/>
        <v>-260.8598996132182</v>
      </c>
      <c r="AB109" s="109">
        <f t="shared" si="53"/>
        <v>0.9130467001289273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2780</v>
      </c>
      <c r="G110" s="102">
        <f t="shared" si="54"/>
        <v>39698.400000000001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3213.8847664220634</v>
      </c>
      <c r="N110" s="105">
        <f t="shared" si="48"/>
        <v>1071.2949221406877</v>
      </c>
      <c r="O110" s="107">
        <f t="shared" si="49"/>
        <v>0</v>
      </c>
      <c r="P110" s="108">
        <f t="shared" si="50"/>
        <v>-128.70507785931227</v>
      </c>
      <c r="Q110" s="109">
        <f t="shared" si="51"/>
        <v>0.89274576845057307</v>
      </c>
      <c r="R110" s="322"/>
      <c r="S110" s="46">
        <v>0.81319444444444422</v>
      </c>
      <c r="T110" s="47">
        <v>0.84922453703703682</v>
      </c>
      <c r="U110" s="110">
        <v>14.683333333333284</v>
      </c>
      <c r="V110" s="111">
        <v>51.899807280798754</v>
      </c>
      <c r="W110" s="112"/>
      <c r="X110" s="115"/>
      <c r="Y110" s="331"/>
      <c r="Z110" s="332"/>
      <c r="AA110" s="116">
        <f t="shared" si="52"/>
        <v>-386.11523357793658</v>
      </c>
      <c r="AB110" s="109">
        <f t="shared" si="53"/>
        <v>0.89274576845057318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1517</v>
      </c>
      <c r="G111" s="102">
        <f t="shared" si="54"/>
        <v>27579.06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2740.0541168696368</v>
      </c>
      <c r="N111" s="105">
        <f t="shared" si="48"/>
        <v>913.3513722898789</v>
      </c>
      <c r="O111" s="107">
        <f t="shared" si="49"/>
        <v>0</v>
      </c>
      <c r="P111" s="108">
        <f t="shared" si="50"/>
        <v>-86.648627710121104</v>
      </c>
      <c r="Q111" s="109">
        <f t="shared" si="51"/>
        <v>0.91335137228987895</v>
      </c>
      <c r="R111" s="322"/>
      <c r="S111" s="46">
        <v>0.8590277777777775</v>
      </c>
      <c r="T111" s="47">
        <v>0.88209490740740715</v>
      </c>
      <c r="U111" s="110">
        <v>15</v>
      </c>
      <c r="V111" s="111">
        <v>33.218322017663439</v>
      </c>
      <c r="W111" s="112"/>
      <c r="X111" s="115"/>
      <c r="Y111" s="331"/>
      <c r="Z111" s="332"/>
      <c r="AA111" s="116">
        <f t="shared" si="52"/>
        <v>-259.9458831303632</v>
      </c>
      <c r="AB111" s="109">
        <f t="shared" si="53"/>
        <v>0.91335137228987895</v>
      </c>
      <c r="AC111" s="327"/>
    </row>
    <row r="112" spans="1:29" ht="15.75" customHeight="1">
      <c r="A112" s="317"/>
      <c r="B112" s="99" t="s">
        <v>121</v>
      </c>
      <c r="C112" s="329" t="s">
        <v>152</v>
      </c>
      <c r="D112" s="330"/>
      <c r="E112" s="100">
        <v>18.18</v>
      </c>
      <c r="F112" s="101">
        <v>905</v>
      </c>
      <c r="G112" s="120">
        <f t="shared" si="54"/>
        <v>16452.900000000001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3212.8829425386702</v>
      </c>
      <c r="N112" s="105">
        <f t="shared" si="48"/>
        <v>1070.9609808462235</v>
      </c>
      <c r="O112" s="107">
        <f t="shared" si="49"/>
        <v>0</v>
      </c>
      <c r="P112" s="108">
        <f t="shared" si="50"/>
        <v>-129.03901915377651</v>
      </c>
      <c r="Q112" s="109">
        <f t="shared" si="51"/>
        <v>0.89246748403851961</v>
      </c>
      <c r="R112" s="322"/>
      <c r="S112" s="46">
        <v>0.89236111111111083</v>
      </c>
      <c r="T112" s="119">
        <v>0.90409722222222189</v>
      </c>
      <c r="U112" s="110">
        <v>14.783333333333299</v>
      </c>
      <c r="V112" s="111">
        <v>16.900709104918299</v>
      </c>
      <c r="W112" s="112"/>
      <c r="X112" s="115"/>
      <c r="Y112" s="331"/>
      <c r="Z112" s="332"/>
      <c r="AA112" s="116">
        <f t="shared" si="52"/>
        <v>-387.11705746132975</v>
      </c>
      <c r="AB112" s="109">
        <f t="shared" si="53"/>
        <v>0.8924674840385195</v>
      </c>
      <c r="AC112" s="327"/>
    </row>
    <row r="113" spans="1:29" ht="15.75" customHeight="1">
      <c r="A113" s="317"/>
      <c r="B113" s="99" t="s">
        <v>121</v>
      </c>
      <c r="C113" s="329" t="s">
        <v>153</v>
      </c>
      <c r="D113" s="330"/>
      <c r="E113" s="100">
        <v>14.03</v>
      </c>
      <c r="F113" s="101">
        <v>5791</v>
      </c>
      <c r="G113" s="120">
        <f t="shared" si="54"/>
        <v>81247.73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2739.1401003867818</v>
      </c>
      <c r="N113" s="105">
        <f t="shared" si="48"/>
        <v>913.04670012892723</v>
      </c>
      <c r="O113" s="122">
        <f t="shared" si="49"/>
        <v>0</v>
      </c>
      <c r="P113" s="123">
        <f t="shared" si="50"/>
        <v>-86.953299871072772</v>
      </c>
      <c r="Q113" s="124">
        <f t="shared" si="51"/>
        <v>0.91304670012892719</v>
      </c>
      <c r="R113" s="322"/>
      <c r="S113" s="46">
        <v>0.91388888888888853</v>
      </c>
      <c r="T113" s="119">
        <v>1.0019791666666662</v>
      </c>
      <c r="U113" s="110">
        <v>15</v>
      </c>
      <c r="V113" s="111">
        <v>126.85002857317767</v>
      </c>
      <c r="W113" s="112"/>
      <c r="X113" s="115"/>
      <c r="Y113" s="331"/>
      <c r="Z113" s="332"/>
      <c r="AA113" s="116">
        <f t="shared" si="52"/>
        <v>-260.8598996132182</v>
      </c>
      <c r="AB113" s="109">
        <f t="shared" si="53"/>
        <v>0.9130467001289273</v>
      </c>
      <c r="AC113" s="327"/>
    </row>
    <row r="114" spans="1:29" ht="15.75" customHeight="1">
      <c r="A114" s="317"/>
      <c r="B114" s="99" t="s">
        <v>121</v>
      </c>
      <c r="C114" s="329" t="s">
        <v>154</v>
      </c>
      <c r="D114" s="330"/>
      <c r="E114" s="100">
        <v>14.28</v>
      </c>
      <c r="F114" s="101">
        <v>7448</v>
      </c>
      <c r="G114" s="120">
        <f t="shared" si="54"/>
        <v>106357.44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3213.884766422063</v>
      </c>
      <c r="N114" s="105">
        <f t="shared" si="48"/>
        <v>1071.2949221406877</v>
      </c>
      <c r="O114" s="122">
        <f t="shared" si="49"/>
        <v>0</v>
      </c>
      <c r="P114" s="123">
        <f t="shared" si="50"/>
        <v>-128.70507785931227</v>
      </c>
      <c r="Q114" s="124">
        <f t="shared" si="51"/>
        <v>0.89274576845057307</v>
      </c>
      <c r="R114" s="322"/>
      <c r="S114" s="46">
        <v>1.0118055555555552</v>
      </c>
      <c r="T114" s="119">
        <v>1.108356481481481</v>
      </c>
      <c r="U114" s="110">
        <v>15</v>
      </c>
      <c r="V114" s="111">
        <v>139.04667792352129</v>
      </c>
      <c r="W114" s="112"/>
      <c r="X114" s="115"/>
      <c r="Y114" s="331"/>
      <c r="Z114" s="332"/>
      <c r="AA114" s="116">
        <f t="shared" si="52"/>
        <v>-386.11523357793703</v>
      </c>
      <c r="AB114" s="109">
        <f t="shared" si="53"/>
        <v>0.89274576845057307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2976.4904815542882</v>
      </c>
      <c r="N123" s="137">
        <f t="shared" ref="N123:N135" si="59">M123/L123</f>
        <v>992.16349385142939</v>
      </c>
      <c r="O123" s="138">
        <f t="shared" ref="O123:O135" si="60">L123-I123</f>
        <v>0</v>
      </c>
      <c r="P123" s="139">
        <f t="shared" ref="P123:P135" si="61">N123-K123</f>
        <v>-107.83650614857061</v>
      </c>
      <c r="Q123" s="140">
        <f t="shared" ref="Q123:Q135" si="62">N123/K123</f>
        <v>0.90196681259220857</v>
      </c>
      <c r="R123" s="323"/>
      <c r="S123" s="141">
        <v>0.73263888888888884</v>
      </c>
      <c r="T123" s="142">
        <v>1.108356481481481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-323.50951844571182</v>
      </c>
      <c r="AB123" s="140">
        <f t="shared" ref="AB123:AB135" si="64">M123/J123</f>
        <v>0.90196681259220857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492</v>
      </c>
      <c r="G124" s="147">
        <f t="shared" ref="G124:G135" si="65">E124*F124</f>
        <v>12314.76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3213.4687436999588</v>
      </c>
      <c r="N124" s="151">
        <f t="shared" si="59"/>
        <v>642.69374873999175</v>
      </c>
      <c r="O124" s="153">
        <f t="shared" si="60"/>
        <v>0</v>
      </c>
      <c r="P124" s="154">
        <f t="shared" si="61"/>
        <v>-77.306251260008253</v>
      </c>
      <c r="Q124" s="155">
        <f t="shared" si="62"/>
        <v>0.89263020658332182</v>
      </c>
      <c r="R124" s="321">
        <f>Q140</f>
        <v>0.89292486548958105</v>
      </c>
      <c r="S124" s="156">
        <v>0.74236111111111125</v>
      </c>
      <c r="T124" s="157">
        <v>0.7487384259259261</v>
      </c>
      <c r="U124" s="158"/>
      <c r="V124" s="159">
        <v>9.1863348781201886</v>
      </c>
      <c r="W124" s="157"/>
      <c r="X124" s="168"/>
      <c r="Y124" s="324"/>
      <c r="Z124" s="325"/>
      <c r="AA124" s="170">
        <f t="shared" si="63"/>
        <v>-386.53125630004115</v>
      </c>
      <c r="AB124" s="155">
        <f t="shared" si="64"/>
        <v>0.89263020658332193</v>
      </c>
      <c r="AC124" s="326">
        <f>AB140</f>
        <v>0.89292486548958105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455</v>
      </c>
      <c r="G125" s="102">
        <f t="shared" si="65"/>
        <v>7598.5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3217.6438854278294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22"/>
      <c r="S125" s="46">
        <v>0.75902777777777786</v>
      </c>
      <c r="T125" s="47">
        <v>0.76491898148148152</v>
      </c>
      <c r="U125" s="110">
        <v>14.816666666666531</v>
      </c>
      <c r="V125" s="111">
        <v>8.4844690624829955</v>
      </c>
      <c r="W125" s="112"/>
      <c r="X125" s="13"/>
      <c r="Y125" s="331"/>
      <c r="Z125" s="332"/>
      <c r="AA125" s="171">
        <f t="shared" si="63"/>
        <v>-382.35611457217055</v>
      </c>
      <c r="AB125" s="109">
        <f t="shared" si="64"/>
        <v>0.89378996817439704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724</v>
      </c>
      <c r="G126" s="102">
        <f t="shared" si="65"/>
        <v>21720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3212.0400309830334</v>
      </c>
      <c r="N126" s="105">
        <f t="shared" si="59"/>
        <v>803.01000774575834</v>
      </c>
      <c r="O126" s="107">
        <f t="shared" si="60"/>
        <v>0</v>
      </c>
      <c r="P126" s="108">
        <f t="shared" si="61"/>
        <v>-96.989992254241656</v>
      </c>
      <c r="Q126" s="109">
        <f t="shared" si="62"/>
        <v>0.89223334193973147</v>
      </c>
      <c r="R126" s="322"/>
      <c r="S126" s="46">
        <v>0.77500000000000002</v>
      </c>
      <c r="T126" s="47">
        <v>0.78438657407407408</v>
      </c>
      <c r="U126" s="110">
        <v>14.516666666666644</v>
      </c>
      <c r="V126" s="111">
        <v>13.524115384921073</v>
      </c>
      <c r="W126" s="112"/>
      <c r="X126" s="13"/>
      <c r="Y126" s="331"/>
      <c r="Z126" s="332"/>
      <c r="AA126" s="171">
        <f t="shared" si="63"/>
        <v>-387.95996901696662</v>
      </c>
      <c r="AB126" s="109">
        <f t="shared" si="64"/>
        <v>0.89223334193973147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723</v>
      </c>
      <c r="G127" s="102">
        <f t="shared" si="65"/>
        <v>17944.86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3214.1131506730576</v>
      </c>
      <c r="N127" s="105">
        <f t="shared" si="59"/>
        <v>642.82263013461147</v>
      </c>
      <c r="O127" s="107">
        <f t="shared" si="60"/>
        <v>0</v>
      </c>
      <c r="P127" s="108">
        <f t="shared" si="61"/>
        <v>-77.177369865388528</v>
      </c>
      <c r="Q127" s="109">
        <f t="shared" si="62"/>
        <v>0.89280920852029366</v>
      </c>
      <c r="R127" s="322"/>
      <c r="S127" s="46">
        <v>0.7944444444444444</v>
      </c>
      <c r="T127" s="47">
        <v>0.80380787037037027</v>
      </c>
      <c r="U127" s="110">
        <v>15</v>
      </c>
      <c r="V127" s="111">
        <v>13.496724591328071</v>
      </c>
      <c r="W127" s="112"/>
      <c r="X127" s="13"/>
      <c r="Y127" s="331"/>
      <c r="Z127" s="332"/>
      <c r="AA127" s="171">
        <f t="shared" si="63"/>
        <v>-385.88684932694241</v>
      </c>
      <c r="AB127" s="109">
        <f t="shared" si="64"/>
        <v>0.89280920852029377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1050</v>
      </c>
      <c r="G128" s="102">
        <f t="shared" si="65"/>
        <v>19089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3214.2834114390853</v>
      </c>
      <c r="N128" s="105">
        <f t="shared" si="59"/>
        <v>1071.4278038130285</v>
      </c>
      <c r="O128" s="107">
        <f t="shared" si="60"/>
        <v>0</v>
      </c>
      <c r="P128" s="108">
        <f t="shared" si="61"/>
        <v>-128.5721961869715</v>
      </c>
      <c r="Q128" s="109">
        <f t="shared" si="62"/>
        <v>0.89285650317752374</v>
      </c>
      <c r="R128" s="322"/>
      <c r="S128" s="46">
        <v>0.81388888888888877</v>
      </c>
      <c r="T128" s="47">
        <v>0.8274999999999999</v>
      </c>
      <c r="U128" s="110">
        <v>14.516666666666644</v>
      </c>
      <c r="V128" s="111">
        <v>19.600014042257062</v>
      </c>
      <c r="W128" s="112"/>
      <c r="X128" s="115"/>
      <c r="Y128" s="331"/>
      <c r="Z128" s="332"/>
      <c r="AA128" s="171">
        <f t="shared" si="63"/>
        <v>-385.71658856091472</v>
      </c>
      <c r="AB128" s="109">
        <f t="shared" si="64"/>
        <v>0.89285650317752374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2313</v>
      </c>
      <c r="G129" s="120">
        <f t="shared" si="65"/>
        <v>38534.58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3215.6278723519899</v>
      </c>
      <c r="N129" s="105">
        <f t="shared" si="59"/>
        <v>643.12557447039796</v>
      </c>
      <c r="O129" s="107">
        <f t="shared" si="60"/>
        <v>0</v>
      </c>
      <c r="P129" s="108">
        <f t="shared" si="61"/>
        <v>-76.874425529602036</v>
      </c>
      <c r="Q129" s="109">
        <f t="shared" si="62"/>
        <v>0.89322996454221937</v>
      </c>
      <c r="R129" s="322"/>
      <c r="S129" s="46">
        <v>0.8374999999999998</v>
      </c>
      <c r="T129" s="119">
        <v>0.8674652777777776</v>
      </c>
      <c r="U129" s="110">
        <v>15</v>
      </c>
      <c r="V129" s="111">
        <v>43.157978941914344</v>
      </c>
      <c r="W129" s="112"/>
      <c r="X129" s="49"/>
      <c r="Y129" s="331"/>
      <c r="Z129" s="332"/>
      <c r="AA129" s="171">
        <f t="shared" si="63"/>
        <v>-384.37212764801006</v>
      </c>
      <c r="AB129" s="109">
        <f t="shared" si="64"/>
        <v>0.89322996454221948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1069</v>
      </c>
      <c r="G130" s="120">
        <f t="shared" si="65"/>
        <v>26757.07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3213.4687436999593</v>
      </c>
      <c r="N130" s="105">
        <f t="shared" si="59"/>
        <v>642.69374873999186</v>
      </c>
      <c r="O130" s="122">
        <f t="shared" si="60"/>
        <v>0</v>
      </c>
      <c r="P130" s="123">
        <f t="shared" si="61"/>
        <v>-77.306251260008139</v>
      </c>
      <c r="Q130" s="124">
        <f t="shared" si="62"/>
        <v>0.89263020658332204</v>
      </c>
      <c r="R130" s="322"/>
      <c r="S130" s="46">
        <v>0.87777777777777755</v>
      </c>
      <c r="T130" s="119">
        <v>0.89163194444444427</v>
      </c>
      <c r="U130" s="110">
        <v>14.849999999999923</v>
      </c>
      <c r="V130" s="111">
        <v>19.959739806322116</v>
      </c>
      <c r="W130" s="112"/>
      <c r="X130" s="115"/>
      <c r="Y130" s="331"/>
      <c r="Z130" s="332"/>
      <c r="AA130" s="171">
        <f t="shared" si="63"/>
        <v>-386.5312563000407</v>
      </c>
      <c r="AB130" s="109">
        <f t="shared" si="64"/>
        <v>0.89263020658332204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1016</v>
      </c>
      <c r="G131" s="120">
        <f t="shared" si="65"/>
        <v>16967.2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3217.6438854278294</v>
      </c>
      <c r="N131" s="105">
        <f t="shared" si="59"/>
        <v>1072.5479618092766</v>
      </c>
      <c r="O131" s="122">
        <f t="shared" si="60"/>
        <v>0</v>
      </c>
      <c r="P131" s="123">
        <f t="shared" si="61"/>
        <v>-127.45203819072344</v>
      </c>
      <c r="Q131" s="124">
        <f t="shared" si="62"/>
        <v>0.89378996817439715</v>
      </c>
      <c r="R131" s="322"/>
      <c r="S131" s="46">
        <v>0.90138888888888857</v>
      </c>
      <c r="T131" s="119">
        <v>0.9145370370370367</v>
      </c>
      <c r="U131" s="110">
        <v>15</v>
      </c>
      <c r="V131" s="111">
        <v>18.945539708753238</v>
      </c>
      <c r="W131" s="112"/>
      <c r="X131" s="115"/>
      <c r="Y131" s="331"/>
      <c r="Z131" s="332"/>
      <c r="AA131" s="171">
        <f t="shared" si="63"/>
        <v>-382.35611457217055</v>
      </c>
      <c r="AB131" s="109">
        <f t="shared" si="64"/>
        <v>0.89378996817439704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1755</v>
      </c>
      <c r="G132" s="120">
        <f t="shared" si="65"/>
        <v>52650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3212.0400309830334</v>
      </c>
      <c r="N132" s="105">
        <f t="shared" si="59"/>
        <v>803.01000774575834</v>
      </c>
      <c r="O132" s="122">
        <f t="shared" si="60"/>
        <v>0</v>
      </c>
      <c r="P132" s="123">
        <f t="shared" si="61"/>
        <v>-96.989992254241656</v>
      </c>
      <c r="Q132" s="124">
        <f t="shared" si="62"/>
        <v>0.89223334193973147</v>
      </c>
      <c r="R132" s="322"/>
      <c r="S132" s="46">
        <v>0.92430555555555516</v>
      </c>
      <c r="T132" s="119">
        <v>0.94706018518518476</v>
      </c>
      <c r="U132" s="110">
        <v>15</v>
      </c>
      <c r="V132" s="111">
        <v>32.782904006265859</v>
      </c>
      <c r="W132" s="125"/>
      <c r="X132" s="126"/>
      <c r="Y132" s="331"/>
      <c r="Z132" s="332"/>
      <c r="AA132" s="171">
        <f t="shared" si="63"/>
        <v>-387.95996901696662</v>
      </c>
      <c r="AB132" s="109">
        <f t="shared" si="64"/>
        <v>0.89223334193973147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1675</v>
      </c>
      <c r="G133" s="120">
        <f t="shared" si="65"/>
        <v>41573.5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3214.1131506730576</v>
      </c>
      <c r="N133" s="105">
        <f t="shared" si="59"/>
        <v>642.82263013461147</v>
      </c>
      <c r="O133" s="122">
        <f t="shared" si="60"/>
        <v>0</v>
      </c>
      <c r="P133" s="123">
        <f t="shared" si="61"/>
        <v>-77.177369865388528</v>
      </c>
      <c r="Q133" s="124">
        <f t="shared" si="62"/>
        <v>0.89280920852029366</v>
      </c>
      <c r="R133" s="322"/>
      <c r="S133" s="46">
        <v>0.95694444444444404</v>
      </c>
      <c r="T133" s="119">
        <v>0.97865740740740703</v>
      </c>
      <c r="U133" s="110">
        <v>15</v>
      </c>
      <c r="V133" s="111">
        <v>31.268345353353414</v>
      </c>
      <c r="W133" s="125"/>
      <c r="X133" s="126"/>
      <c r="Y133" s="331"/>
      <c r="Z133" s="332"/>
      <c r="AA133" s="171">
        <f t="shared" si="63"/>
        <v>-385.88684932694241</v>
      </c>
      <c r="AB133" s="109">
        <f t="shared" si="64"/>
        <v>0.89280920852029377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2614</v>
      </c>
      <c r="G134" s="120">
        <f t="shared" si="65"/>
        <v>47522.52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3214.2834114390848</v>
      </c>
      <c r="N134" s="105">
        <f t="shared" si="59"/>
        <v>1071.4278038130283</v>
      </c>
      <c r="O134" s="122">
        <f t="shared" si="60"/>
        <v>0</v>
      </c>
      <c r="P134" s="123">
        <f t="shared" si="61"/>
        <v>-128.57219618697172</v>
      </c>
      <c r="Q134" s="124">
        <f t="shared" si="62"/>
        <v>0.89285650317752352</v>
      </c>
      <c r="R134" s="322"/>
      <c r="S134" s="46">
        <v>0.98888888888888848</v>
      </c>
      <c r="T134" s="119">
        <v>1.0227662037037033</v>
      </c>
      <c r="U134" s="110">
        <v>14.733333333333292</v>
      </c>
      <c r="V134" s="111">
        <v>48.794701625199963</v>
      </c>
      <c r="W134" s="125"/>
      <c r="X134" s="126"/>
      <c r="Y134" s="331"/>
      <c r="Z134" s="332"/>
      <c r="AA134" s="171">
        <f t="shared" si="63"/>
        <v>-385.71658856091517</v>
      </c>
      <c r="AB134" s="109">
        <f t="shared" si="64"/>
        <v>0.89285650317752352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5906</v>
      </c>
      <c r="G135" s="120">
        <f t="shared" si="65"/>
        <v>98393.96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3215.6278723519899</v>
      </c>
      <c r="N135" s="105">
        <f t="shared" si="59"/>
        <v>643.12557447039796</v>
      </c>
      <c r="O135" s="122">
        <f t="shared" si="60"/>
        <v>0</v>
      </c>
      <c r="P135" s="123">
        <f t="shared" si="61"/>
        <v>-76.874425529602036</v>
      </c>
      <c r="Q135" s="124">
        <f t="shared" si="62"/>
        <v>0.89322996454221937</v>
      </c>
      <c r="R135" s="322"/>
      <c r="S135" s="46">
        <v>1.0326388888888887</v>
      </c>
      <c r="T135" s="119">
        <v>1.1091550925925924</v>
      </c>
      <c r="U135" s="110">
        <v>15</v>
      </c>
      <c r="V135" s="111">
        <v>110.19931847425252</v>
      </c>
      <c r="W135" s="125"/>
      <c r="X135" s="126"/>
      <c r="Y135" s="331"/>
      <c r="Z135" s="332"/>
      <c r="AA135" s="171">
        <f t="shared" si="63"/>
        <v>-384.37212764801006</v>
      </c>
      <c r="AB135" s="109">
        <f t="shared" si="64"/>
        <v>0.89322996454221948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3214.5295157624919</v>
      </c>
      <c r="N140" s="137">
        <f>M140/L140</f>
        <v>771.48708378299796</v>
      </c>
      <c r="O140" s="138">
        <f>L140-I140</f>
        <v>0</v>
      </c>
      <c r="P140" s="139">
        <f>N140-K140</f>
        <v>-92.51291621700193</v>
      </c>
      <c r="Q140" s="140">
        <f>N140/K140</f>
        <v>0.89292486548958105</v>
      </c>
      <c r="R140" s="323"/>
      <c r="S140" s="141">
        <v>0.74236111111111125</v>
      </c>
      <c r="T140" s="142">
        <v>1.1091550925925924</v>
      </c>
      <c r="U140" s="143"/>
      <c r="V140" s="165"/>
      <c r="W140" s="166"/>
      <c r="X140" s="137"/>
      <c r="Y140" s="353"/>
      <c r="Z140" s="354"/>
      <c r="AA140" s="173">
        <f>M140-J140</f>
        <v>-385.47048423750812</v>
      </c>
      <c r="AB140" s="140">
        <f>M140/J140</f>
        <v>0.89292486548958105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5081FAB5-2B8C-44F2-A2A9-7AEEB86028B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71BE-F23D-4124-824E-F1267587E541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94753</v>
      </c>
      <c r="E1" s="87" t="s">
        <v>4</v>
      </c>
      <c r="F1" s="88">
        <f>SUM(G5:G140)</f>
        <v>4181683.2199999997</v>
      </c>
      <c r="G1" s="89" t="s">
        <v>85</v>
      </c>
      <c r="H1" s="90">
        <f>L21+L38+L55+L72+L89+L106+L123+L140</f>
        <v>136.23333333333335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46239</v>
      </c>
      <c r="B2" s="294"/>
      <c r="C2" s="91" t="s">
        <v>41</v>
      </c>
      <c r="D2" s="92">
        <f>AVERAGE(N21,N38,N55,N72,N89,N106,N123,N140)</f>
        <v>201.85486937299888</v>
      </c>
      <c r="E2" s="92" t="s">
        <v>92</v>
      </c>
      <c r="F2" s="93">
        <f>F1/D1</f>
        <v>44.132462507783394</v>
      </c>
      <c r="G2" s="94" t="s">
        <v>93</v>
      </c>
      <c r="H2" s="95">
        <f>COUNT(H5:H140)</f>
        <v>1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3753</v>
      </c>
      <c r="G5" s="147">
        <f t="shared" ref="G5:G9" si="0">E5*F5</f>
        <v>73934.099999999991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1082.6072881768491</v>
      </c>
      <c r="N5" s="151">
        <f>M5/L5</f>
        <v>83.277483705911465</v>
      </c>
      <c r="O5" s="153">
        <f>L5-I5</f>
        <v>0</v>
      </c>
      <c r="P5" s="154">
        <f>N5-K5</f>
        <v>-9.0302086017808421</v>
      </c>
      <c r="Q5" s="155">
        <f>N5/K5</f>
        <v>0.90217274014737425</v>
      </c>
      <c r="R5" s="321">
        <f>Q21</f>
        <v>0.90139571176706523</v>
      </c>
      <c r="S5" s="156">
        <v>0.16666666666666666</v>
      </c>
      <c r="T5" s="157">
        <v>0.31109953703703702</v>
      </c>
      <c r="U5" s="158"/>
      <c r="V5" s="159">
        <v>207.99786077480735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-117.39271182315088</v>
      </c>
      <c r="AF5" s="131">
        <f>M5/J5</f>
        <v>0.90217274014737425</v>
      </c>
      <c r="AG5" s="367">
        <f>AF21</f>
        <v>0.90139571176706523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3920</v>
      </c>
      <c r="G6" s="102">
        <f t="shared" si="0"/>
        <v>221205.6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1803.5548219448356</v>
      </c>
      <c r="N6" s="105">
        <f>M6/L6</f>
        <v>75.148117581034811</v>
      </c>
      <c r="O6" s="107">
        <f>L6-I6</f>
        <v>0</v>
      </c>
      <c r="P6" s="108">
        <f>N6-K6</f>
        <v>-8.1852157522985181</v>
      </c>
      <c r="Q6" s="109">
        <f>N6/K6</f>
        <v>0.90177741097241781</v>
      </c>
      <c r="R6" s="322"/>
      <c r="S6" s="46">
        <v>0.31388888888888888</v>
      </c>
      <c r="T6" s="47">
        <v>0.40444444444444444</v>
      </c>
      <c r="U6" s="110">
        <v>5</v>
      </c>
      <c r="V6" s="111">
        <v>130.409121551612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-196.44517805516443</v>
      </c>
      <c r="AF6" s="109">
        <f>M6/J6</f>
        <v>0.90177741097241781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701</v>
      </c>
      <c r="G7" s="102">
        <f t="shared" si="0"/>
        <v>54222.35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1801.8216040393497</v>
      </c>
      <c r="N7" s="105">
        <f>M7/L7</f>
        <v>72.072864161573989</v>
      </c>
      <c r="O7" s="107">
        <f>L7-I7</f>
        <v>0</v>
      </c>
      <c r="P7" s="108">
        <f>N7-K7</f>
        <v>-7.9271358384260111</v>
      </c>
      <c r="Q7" s="109">
        <f>N7/K7</f>
        <v>0.90091080201967488</v>
      </c>
      <c r="R7" s="322"/>
      <c r="S7" s="46">
        <v>0.40833333333333333</v>
      </c>
      <c r="T7" s="47">
        <v>0.42453703703703705</v>
      </c>
      <c r="U7" s="110">
        <v>5.5999999999999961</v>
      </c>
      <c r="V7" s="111">
        <v>23.343043454307178</v>
      </c>
      <c r="W7" s="112"/>
      <c r="X7" s="115"/>
      <c r="Y7" s="12"/>
      <c r="Z7" s="197"/>
      <c r="AA7" s="331"/>
      <c r="AB7" s="332"/>
      <c r="AC7" s="12"/>
      <c r="AD7" s="197"/>
      <c r="AE7" s="116">
        <f>M7-J7</f>
        <v>-198.17839596065028</v>
      </c>
      <c r="AF7" s="109">
        <f>M7/J7</f>
        <v>0.90091080201967488</v>
      </c>
      <c r="AG7" s="368"/>
    </row>
    <row r="8" spans="1:33" ht="15.75" customHeight="1">
      <c r="A8" s="317"/>
      <c r="B8" s="99" t="s">
        <v>188</v>
      </c>
      <c r="C8" s="370" t="s">
        <v>239</v>
      </c>
      <c r="D8" s="370"/>
      <c r="E8" s="100">
        <v>77.34</v>
      </c>
      <c r="F8" s="101">
        <v>1798</v>
      </c>
      <c r="G8" s="102">
        <f t="shared" si="0"/>
        <v>139057.32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1802.3464639501817</v>
      </c>
      <c r="N8" s="105">
        <f>M8/L8</f>
        <v>78.362889736964419</v>
      </c>
      <c r="O8" s="107">
        <f>L8-I8</f>
        <v>0</v>
      </c>
      <c r="P8" s="108">
        <f>N8-K8</f>
        <v>-8.593632002166018</v>
      </c>
      <c r="Q8" s="109">
        <f>N8/K8</f>
        <v>0.9011732319750908</v>
      </c>
      <c r="R8" s="322"/>
      <c r="S8" s="46">
        <v>0.4284722222222222</v>
      </c>
      <c r="T8" s="47">
        <v>0.4700347222222222</v>
      </c>
      <c r="U8" s="110">
        <v>5.6666666666666199</v>
      </c>
      <c r="V8" s="111">
        <v>59.855306489497401</v>
      </c>
      <c r="W8" s="112">
        <v>0.4700347222222222</v>
      </c>
      <c r="X8" s="115">
        <v>0.50763888888888886</v>
      </c>
      <c r="Y8" s="12"/>
      <c r="Z8" s="197"/>
      <c r="AA8" s="331"/>
      <c r="AB8" s="332"/>
      <c r="AC8" s="12"/>
      <c r="AD8" s="197"/>
      <c r="AE8" s="116">
        <f>M8-J8</f>
        <v>-197.65353604981829</v>
      </c>
      <c r="AF8" s="109">
        <f>M8/J8</f>
        <v>0.9011732319750908</v>
      </c>
      <c r="AG8" s="368"/>
    </row>
    <row r="9" spans="1:33" ht="15.75" customHeight="1">
      <c r="A9" s="317"/>
      <c r="B9" s="99" t="s">
        <v>188</v>
      </c>
      <c r="C9" s="370" t="s">
        <v>190</v>
      </c>
      <c r="D9" s="370"/>
      <c r="E9" s="100">
        <v>59.52</v>
      </c>
      <c r="F9" s="101">
        <v>4464</v>
      </c>
      <c r="G9" s="102">
        <f t="shared" si="0"/>
        <v>265697.28000000003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1802.510370145784</v>
      </c>
      <c r="N9" s="105">
        <f>M9/L9</f>
        <v>75.104598756074338</v>
      </c>
      <c r="O9" s="107">
        <f>L9-I9</f>
        <v>0</v>
      </c>
      <c r="P9" s="108">
        <f>N9-K9</f>
        <v>-8.2287345772589902</v>
      </c>
      <c r="Q9" s="109">
        <f>N9/K9</f>
        <v>0.90125518507289215</v>
      </c>
      <c r="R9" s="322"/>
      <c r="S9" s="46">
        <v>0.50763888888888886</v>
      </c>
      <c r="T9" s="47">
        <v>0.61082175925925919</v>
      </c>
      <c r="U9" s="110">
        <v>55</v>
      </c>
      <c r="V9" s="111">
        <v>148.59276508813514</v>
      </c>
      <c r="W9" s="112"/>
      <c r="X9" s="115"/>
      <c r="Y9" s="12"/>
      <c r="Z9" s="197"/>
      <c r="AA9" s="331"/>
      <c r="AB9" s="332"/>
      <c r="AC9" s="12"/>
      <c r="AD9" s="197"/>
      <c r="AE9" s="116">
        <f>M9-J9</f>
        <v>-197.48962985421599</v>
      </c>
      <c r="AF9" s="109">
        <f>M9/J9</f>
        <v>0.90125518507289204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1658.5681096513999</v>
      </c>
      <c r="N21" s="137">
        <f t="shared" ref="N21:N28" si="5">M21/L21</f>
        <v>76.081105947311926</v>
      </c>
      <c r="O21" s="138">
        <f t="shared" ref="O21:O28" si="6">L21-I21</f>
        <v>0</v>
      </c>
      <c r="P21" s="139">
        <f t="shared" ref="P21:P28" si="7">N21-K21</f>
        <v>-8.3225637774587113</v>
      </c>
      <c r="Q21" s="140">
        <f t="shared" ref="Q21:Q28" si="8">N21/K21</f>
        <v>0.90139571176706523</v>
      </c>
      <c r="R21" s="323"/>
      <c r="S21" s="141">
        <v>0.16666666666666666</v>
      </c>
      <c r="T21" s="142">
        <v>0.61082175925925919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8" si="9">M21-J21</f>
        <v>-181.43189034860006</v>
      </c>
      <c r="AF21" s="140">
        <f t="shared" ref="AF21:AF28" si="10">M21/J21</f>
        <v>0.90139571176706523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2348</v>
      </c>
      <c r="G22" s="147">
        <f t="shared" ref="G22:G28" si="11">E22*F22</f>
        <v>85584.6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1893.0683422374964</v>
      </c>
      <c r="N22" s="151">
        <f t="shared" si="5"/>
        <v>94.653417111874816</v>
      </c>
      <c r="O22" s="153">
        <f t="shared" si="6"/>
        <v>0</v>
      </c>
      <c r="P22" s="154">
        <f t="shared" si="7"/>
        <v>-10.346582888125184</v>
      </c>
      <c r="Q22" s="155">
        <f t="shared" si="8"/>
        <v>0.90146111535118878</v>
      </c>
      <c r="R22" s="321">
        <f>Q38</f>
        <v>0.90267410245333457</v>
      </c>
      <c r="S22" s="156">
        <v>0.16666666666666666</v>
      </c>
      <c r="T22" s="157">
        <v>0.21834490740740739</v>
      </c>
      <c r="U22" s="158"/>
      <c r="V22" s="159">
        <v>74.418866375150543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-206.93165776250362</v>
      </c>
      <c r="AF22" s="155">
        <f t="shared" si="10"/>
        <v>0.90146111535118878</v>
      </c>
      <c r="AG22" s="375">
        <f>AF38</f>
        <v>0.90989549527296132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1483</v>
      </c>
      <c r="G23" s="102">
        <f t="shared" si="11"/>
        <v>47040.759999999995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1803.2275142827241</v>
      </c>
      <c r="N23" s="105">
        <f t="shared" si="5"/>
        <v>81.964887012851094</v>
      </c>
      <c r="O23" s="107">
        <f t="shared" si="6"/>
        <v>0</v>
      </c>
      <c r="P23" s="108">
        <f t="shared" si="7"/>
        <v>-8.9442038962398129</v>
      </c>
      <c r="Q23" s="109">
        <f t="shared" si="8"/>
        <v>0.90161375714136205</v>
      </c>
      <c r="R23" s="322"/>
      <c r="S23" s="46">
        <v>0.22152777777777777</v>
      </c>
      <c r="T23" s="47">
        <v>0.25578703703703703</v>
      </c>
      <c r="U23" s="110">
        <v>4.5833333333333437</v>
      </c>
      <c r="V23" s="111">
        <v>49.344854875616669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-196.77248571727591</v>
      </c>
      <c r="AF23" s="109">
        <f t="shared" si="10"/>
        <v>0.90161375714136205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1527</v>
      </c>
      <c r="G24" s="102">
        <f t="shared" si="11"/>
        <v>53124.33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1809.1279954925201</v>
      </c>
      <c r="N24" s="105">
        <f t="shared" si="5"/>
        <v>164.4661814084109</v>
      </c>
      <c r="O24" s="107">
        <f t="shared" si="6"/>
        <v>0</v>
      </c>
      <c r="P24" s="108">
        <f t="shared" si="7"/>
        <v>-17.352000409770909</v>
      </c>
      <c r="Q24" s="109">
        <f t="shared" si="8"/>
        <v>0.90456399774625995</v>
      </c>
      <c r="R24" s="322"/>
      <c r="S24" s="46">
        <v>0.25902777777777775</v>
      </c>
      <c r="T24" s="47">
        <v>0.29418981481481477</v>
      </c>
      <c r="U24" s="110">
        <v>4.6666666666666234</v>
      </c>
      <c r="V24" s="111">
        <v>50.643182919214745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-190.87200450747991</v>
      </c>
      <c r="AF24" s="109">
        <f t="shared" si="10"/>
        <v>0.90456399774626006</v>
      </c>
      <c r="AG24" s="368"/>
    </row>
    <row r="25" spans="1:33" ht="15.75" customHeight="1">
      <c r="A25" s="356"/>
      <c r="B25" s="162" t="s">
        <v>184</v>
      </c>
      <c r="C25" s="329" t="s">
        <v>235</v>
      </c>
      <c r="D25" s="330"/>
      <c r="E25" s="100">
        <v>33.200000000000003</v>
      </c>
      <c r="F25" s="110">
        <v>2662</v>
      </c>
      <c r="G25" s="102">
        <f t="shared" si="11"/>
        <v>88378.400000000009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1807.7993312037147</v>
      </c>
      <c r="N25" s="105">
        <f t="shared" si="5"/>
        <v>164.34539374579225</v>
      </c>
      <c r="O25" s="107">
        <f t="shared" si="6"/>
        <v>0</v>
      </c>
      <c r="P25" s="108">
        <f t="shared" si="7"/>
        <v>-17.472788072389562</v>
      </c>
      <c r="Q25" s="109">
        <f t="shared" si="8"/>
        <v>0.90389966560185742</v>
      </c>
      <c r="R25" s="322"/>
      <c r="S25" s="46">
        <v>0.29722222222222217</v>
      </c>
      <c r="T25" s="47">
        <v>0.35857638888888882</v>
      </c>
      <c r="U25" s="110">
        <v>5</v>
      </c>
      <c r="V25" s="111">
        <v>88.350513933231298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-192.2006687962853</v>
      </c>
      <c r="AF25" s="109">
        <f t="shared" si="10"/>
        <v>0.90389966560185731</v>
      </c>
      <c r="AG25" s="368"/>
    </row>
    <row r="26" spans="1:33" ht="15.75" customHeight="1">
      <c r="A26" s="357"/>
      <c r="B26" s="162" t="s">
        <v>184</v>
      </c>
      <c r="C26" s="329" t="s">
        <v>196</v>
      </c>
      <c r="D26" s="330"/>
      <c r="E26" s="100">
        <v>51.44</v>
      </c>
      <c r="F26" s="110">
        <v>1620</v>
      </c>
      <c r="G26" s="102">
        <f t="shared" si="11"/>
        <v>83332.800000000003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1803.7709154418083</v>
      </c>
      <c r="N26" s="105">
        <f t="shared" si="5"/>
        <v>94.935311339042542</v>
      </c>
      <c r="O26" s="107">
        <f t="shared" si="6"/>
        <v>0</v>
      </c>
      <c r="P26" s="108">
        <f t="shared" si="7"/>
        <v>-10.327846555694293</v>
      </c>
      <c r="Q26" s="109">
        <f t="shared" si="8"/>
        <v>0.90188545772090423</v>
      </c>
      <c r="R26" s="322"/>
      <c r="S26" s="46">
        <v>0.36249999999999993</v>
      </c>
      <c r="T26" s="47">
        <v>0.39991898148148142</v>
      </c>
      <c r="U26" s="110">
        <v>5.6500000000000039</v>
      </c>
      <c r="V26" s="111">
        <v>53.887109038007871</v>
      </c>
      <c r="W26" s="112"/>
      <c r="X26" s="115"/>
      <c r="Y26" s="12"/>
      <c r="Z26" s="197"/>
      <c r="AA26" s="331"/>
      <c r="AB26" s="332"/>
      <c r="AC26" s="12"/>
      <c r="AD26" s="197"/>
      <c r="AE26" s="116">
        <f t="shared" si="9"/>
        <v>-196.22908455819174</v>
      </c>
      <c r="AF26" s="109">
        <f t="shared" si="10"/>
        <v>0.90188545772090412</v>
      </c>
      <c r="AG26" s="368"/>
    </row>
    <row r="27" spans="1:33" ht="15.75" customHeight="1">
      <c r="A27" s="357"/>
      <c r="B27" s="162" t="s">
        <v>186</v>
      </c>
      <c r="C27" s="329" t="s">
        <v>197</v>
      </c>
      <c r="D27" s="330"/>
      <c r="E27" s="100">
        <v>46.34</v>
      </c>
      <c r="F27" s="110">
        <v>2344</v>
      </c>
      <c r="G27" s="120">
        <f t="shared" si="11"/>
        <v>108620.96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1622.7361115169215</v>
      </c>
      <c r="N27" s="105">
        <f t="shared" si="5"/>
        <v>77.273148167472456</v>
      </c>
      <c r="O27" s="107">
        <f t="shared" si="6"/>
        <v>0</v>
      </c>
      <c r="P27" s="108">
        <f t="shared" si="7"/>
        <v>-8.4411375468132519</v>
      </c>
      <c r="Q27" s="109">
        <f t="shared" si="8"/>
        <v>0.90152006195384538</v>
      </c>
      <c r="R27" s="322"/>
      <c r="S27" s="46">
        <v>0.40277777777777768</v>
      </c>
      <c r="T27" s="119">
        <v>0.46296296296296285</v>
      </c>
      <c r="U27" s="110">
        <v>5</v>
      </c>
      <c r="V27" s="111">
        <v>86.668435491048996</v>
      </c>
      <c r="W27" s="112">
        <v>0.46296296296296285</v>
      </c>
      <c r="X27" s="115">
        <v>0.50069444444444433</v>
      </c>
      <c r="Y27" s="12"/>
      <c r="Z27" s="197"/>
      <c r="AA27" s="331"/>
      <c r="AB27" s="332"/>
      <c r="AC27" s="12"/>
      <c r="AD27" s="197"/>
      <c r="AE27" s="116">
        <f t="shared" si="9"/>
        <v>-177.26388848307852</v>
      </c>
      <c r="AF27" s="109">
        <f t="shared" si="10"/>
        <v>0.90152006195384526</v>
      </c>
      <c r="AG27" s="368"/>
    </row>
    <row r="28" spans="1:33" ht="15.75" customHeight="1">
      <c r="A28" s="357"/>
      <c r="B28" s="162" t="s">
        <v>198</v>
      </c>
      <c r="C28" s="329" t="s">
        <v>199</v>
      </c>
      <c r="D28" s="330"/>
      <c r="E28" s="100">
        <v>29.97</v>
      </c>
      <c r="F28" s="110">
        <v>2107</v>
      </c>
      <c r="G28" s="120">
        <f t="shared" si="11"/>
        <v>63146.79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0.50069444444444433</v>
      </c>
      <c r="T28" s="119">
        <v>0.53410879629629615</v>
      </c>
      <c r="U28" s="110">
        <v>55</v>
      </c>
      <c r="V28" s="111">
        <v>48.130028919720317</v>
      </c>
      <c r="W28" s="112"/>
      <c r="X28" s="115"/>
      <c r="Y28" s="12"/>
      <c r="Z28" s="197"/>
      <c r="AA28" s="331"/>
      <c r="AB28" s="332"/>
      <c r="AC28" s="12"/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06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1909.4806893656857</v>
      </c>
      <c r="N38" s="137">
        <f t="shared" ref="N38:N44" si="16">M38/L38</f>
        <v>106.08226052031587</v>
      </c>
      <c r="O38" s="138">
        <f t="shared" ref="O38:O44" si="17">L38-I38</f>
        <v>0.14285714285714235</v>
      </c>
      <c r="P38" s="139">
        <f t="shared" ref="P38:P44" si="18">N38-K38</f>
        <v>-11.437739479684126</v>
      </c>
      <c r="Q38" s="140">
        <f t="shared" ref="Q38:Q44" si="19">N38/K38</f>
        <v>0.90267410245333457</v>
      </c>
      <c r="R38" s="323"/>
      <c r="S38" s="141">
        <v>0.16666666666666666</v>
      </c>
      <c r="T38" s="142">
        <v>0.53410879629629615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4" si="20">M38-J38</f>
        <v>-189.09073920574269</v>
      </c>
      <c r="AF38" s="140">
        <f t="shared" ref="AF38:AF44" si="21">M38/J38</f>
        <v>0.90989549527296132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3122</v>
      </c>
      <c r="G39" s="147">
        <f t="shared" ref="G39:G44" si="22">E39*F39</f>
        <v>167838.72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1801.1482139012244</v>
      </c>
      <c r="N39" s="151">
        <f t="shared" si="16"/>
        <v>90.057410695061222</v>
      </c>
      <c r="O39" s="153">
        <f t="shared" si="17"/>
        <v>0</v>
      </c>
      <c r="P39" s="154">
        <f t="shared" si="18"/>
        <v>-9.9425893049387781</v>
      </c>
      <c r="Q39" s="155">
        <f t="shared" si="19"/>
        <v>0.90057410695061224</v>
      </c>
      <c r="R39" s="321">
        <f>Q55</f>
        <v>0.90081246211962618</v>
      </c>
      <c r="S39" s="156">
        <v>0.16666666666666666</v>
      </c>
      <c r="T39" s="157">
        <v>0.23888888888888887</v>
      </c>
      <c r="U39" s="158"/>
      <c r="V39" s="159">
        <v>104.000325211589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-198.85178609877562</v>
      </c>
      <c r="AF39" s="155">
        <f t="shared" si="21"/>
        <v>0.90057410695061224</v>
      </c>
      <c r="AG39" s="326">
        <f>AF55</f>
        <v>0.90081246211962618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2112</v>
      </c>
      <c r="G40" s="102">
        <f t="shared" si="22"/>
        <v>151113.60000000001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1801.6138067243453</v>
      </c>
      <c r="N40" s="105">
        <f t="shared" si="16"/>
        <v>81.891536669288428</v>
      </c>
      <c r="O40" s="107">
        <f t="shared" si="17"/>
        <v>0</v>
      </c>
      <c r="P40" s="108">
        <f t="shared" si="18"/>
        <v>-9.0175542398024788</v>
      </c>
      <c r="Q40" s="109">
        <f t="shared" si="19"/>
        <v>0.90080690336217273</v>
      </c>
      <c r="R40" s="322"/>
      <c r="S40" s="46">
        <v>0.24305555555555555</v>
      </c>
      <c r="T40" s="47">
        <v>0.29189814814814813</v>
      </c>
      <c r="U40" s="110">
        <v>6.0000000000000187</v>
      </c>
      <c r="V40" s="111">
        <v>70.336938764029298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-198.3861932756547</v>
      </c>
      <c r="AF40" s="109">
        <f t="shared" si="21"/>
        <v>0.90080690336217262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1609</v>
      </c>
      <c r="G41" s="102">
        <f t="shared" si="22"/>
        <v>102847.28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1803.1665741879888</v>
      </c>
      <c r="N41" s="105">
        <f t="shared" si="16"/>
        <v>75.131940591166199</v>
      </c>
      <c r="O41" s="107">
        <f t="shared" si="17"/>
        <v>0</v>
      </c>
      <c r="P41" s="108">
        <f t="shared" si="18"/>
        <v>-8.2013927421671298</v>
      </c>
      <c r="Q41" s="109">
        <f t="shared" si="19"/>
        <v>0.90158328709399449</v>
      </c>
      <c r="R41" s="322"/>
      <c r="S41" s="46">
        <v>0.29583333333333334</v>
      </c>
      <c r="T41" s="47">
        <v>0.33300925925925928</v>
      </c>
      <c r="U41" s="110">
        <v>5.6666666666666998</v>
      </c>
      <c r="V41" s="111">
        <v>53.539146844197901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-196.83342581201123</v>
      </c>
      <c r="AF41" s="109">
        <f t="shared" si="21"/>
        <v>0.90158328709399438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3571</v>
      </c>
      <c r="G42" s="102">
        <f t="shared" si="22"/>
        <v>209510.57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1801.2615804078914</v>
      </c>
      <c r="N42" s="105">
        <f t="shared" si="16"/>
        <v>78.315720887299634</v>
      </c>
      <c r="O42" s="107">
        <f t="shared" si="17"/>
        <v>0</v>
      </c>
      <c r="P42" s="108">
        <f t="shared" si="18"/>
        <v>-8.6408008518308037</v>
      </c>
      <c r="Q42" s="109">
        <f t="shared" si="19"/>
        <v>0.90063079020394576</v>
      </c>
      <c r="R42" s="322"/>
      <c r="S42" s="46">
        <v>0.33611111111111108</v>
      </c>
      <c r="T42" s="47">
        <v>0.41870370370370369</v>
      </c>
      <c r="U42" s="110">
        <v>5</v>
      </c>
      <c r="V42" s="111">
        <v>118.94996391999952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-198.73841959210858</v>
      </c>
      <c r="AF42" s="109">
        <f t="shared" si="21"/>
        <v>0.90063079020394565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2691</v>
      </c>
      <c r="G43" s="102">
        <f t="shared" si="22"/>
        <v>160222.13999999998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1801.3796769384905</v>
      </c>
      <c r="N43" s="105">
        <f t="shared" si="16"/>
        <v>78.320855519064807</v>
      </c>
      <c r="O43" s="107">
        <f t="shared" si="17"/>
        <v>0</v>
      </c>
      <c r="P43" s="108">
        <f t="shared" si="18"/>
        <v>-8.6356662200656302</v>
      </c>
      <c r="Q43" s="109">
        <f t="shared" si="19"/>
        <v>0.90068983846924522</v>
      </c>
      <c r="R43" s="322"/>
      <c r="S43" s="46">
        <v>0.42152777777777772</v>
      </c>
      <c r="T43" s="47">
        <v>0.483761574074074</v>
      </c>
      <c r="U43" s="110">
        <v>5</v>
      </c>
      <c r="V43" s="111">
        <v>89.631298757853799</v>
      </c>
      <c r="W43" s="112">
        <v>0.483761574074074</v>
      </c>
      <c r="X43" s="115">
        <v>0.52222222222222214</v>
      </c>
      <c r="Y43" s="12"/>
      <c r="Z43" s="197"/>
      <c r="AA43" s="331"/>
      <c r="AB43" s="332"/>
      <c r="AC43" s="12"/>
      <c r="AD43" s="197"/>
      <c r="AE43" s="116">
        <f t="shared" si="20"/>
        <v>-198.62032306150945</v>
      </c>
      <c r="AF43" s="109">
        <f t="shared" si="21"/>
        <v>0.90068983846924522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3038</v>
      </c>
      <c r="G44" s="120">
        <f t="shared" si="22"/>
        <v>185591.42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1801.1796932755731</v>
      </c>
      <c r="N44" s="105">
        <f t="shared" si="16"/>
        <v>90.058984663778659</v>
      </c>
      <c r="O44" s="107">
        <f t="shared" si="17"/>
        <v>0</v>
      </c>
      <c r="P44" s="108">
        <f t="shared" si="18"/>
        <v>-9.9410153362213407</v>
      </c>
      <c r="Q44" s="109">
        <f t="shared" si="19"/>
        <v>0.90058984663778663</v>
      </c>
      <c r="R44" s="322"/>
      <c r="S44" s="46">
        <v>0.52222222222222214</v>
      </c>
      <c r="T44" s="119">
        <v>0.59249999999999992</v>
      </c>
      <c r="U44" s="110">
        <v>55.383333333333333</v>
      </c>
      <c r="V44" s="111">
        <v>101.200341465382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-198.82030672442693</v>
      </c>
      <c r="AF44" s="109">
        <f t="shared" si="21"/>
        <v>0.90058984663778652</v>
      </c>
      <c r="AG44" s="327"/>
    </row>
    <row r="45" spans="1:33" ht="15.75" customHeight="1">
      <c r="A45" s="317"/>
      <c r="B45" s="162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118"/>
      <c r="T45" s="119"/>
      <c r="U45" s="110"/>
      <c r="V45" s="111"/>
      <c r="W45" s="119"/>
      <c r="X45" s="188"/>
      <c r="Y45" s="12"/>
      <c r="Z45" s="197"/>
      <c r="AA45" s="331"/>
      <c r="AB45" s="332"/>
      <c r="AC45" s="12"/>
      <c r="AD45" s="197"/>
      <c r="AE45" s="116"/>
      <c r="AF45" s="109"/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1801.6249242392523</v>
      </c>
      <c r="N55" s="137">
        <f t="shared" ref="N55:N65" si="27">M55/L55</f>
        <v>81.892042010875102</v>
      </c>
      <c r="O55" s="138">
        <f t="shared" ref="O55:O65" si="28">L55-I55</f>
        <v>0</v>
      </c>
      <c r="P55" s="139">
        <f t="shared" ref="P55:P65" si="29">N55-K55</f>
        <v>-9.0170488982158048</v>
      </c>
      <c r="Q55" s="140">
        <f t="shared" ref="Q55:Q65" si="30">N55/K55</f>
        <v>0.90081246211962618</v>
      </c>
      <c r="R55" s="323"/>
      <c r="S55" s="141">
        <v>0.16666666666666666</v>
      </c>
      <c r="T55" s="142">
        <v>0.59249999999999992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5" si="31">M55-J55</f>
        <v>-198.37507576074768</v>
      </c>
      <c r="AF55" s="140">
        <f t="shared" ref="AF55:AF65" si="32">M55/J55</f>
        <v>0.90081246211962618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2268</v>
      </c>
      <c r="G56" s="147">
        <f t="shared" ref="G56:G65" si="33">E56*F56</f>
        <v>65454.479999999996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3194.5087377304626</v>
      </c>
      <c r="N56" s="151">
        <f t="shared" si="27"/>
        <v>168.13203882791908</v>
      </c>
      <c r="O56" s="153">
        <f t="shared" si="28"/>
        <v>0</v>
      </c>
      <c r="P56" s="154">
        <f t="shared" si="29"/>
        <v>-21.341645382607254</v>
      </c>
      <c r="Q56" s="155">
        <f t="shared" si="30"/>
        <v>0.8873635382584617</v>
      </c>
      <c r="R56" s="321">
        <f>Q72</f>
        <v>0.89612619962109219</v>
      </c>
      <c r="S56" s="156">
        <v>0.16666666666666666</v>
      </c>
      <c r="T56" s="157">
        <v>0.19623842592592591</v>
      </c>
      <c r="U56" s="158"/>
      <c r="V56" s="159">
        <v>42.598099167096969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-405.4912622695374</v>
      </c>
      <c r="AF56" s="155">
        <f t="shared" si="32"/>
        <v>0.88736353825846181</v>
      </c>
      <c r="AG56" s="326">
        <f>AF72</f>
        <v>0.89612619962109219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2887</v>
      </c>
      <c r="G57" s="102">
        <f t="shared" si="33"/>
        <v>103614.43000000001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3191.4877585405857</v>
      </c>
      <c r="N57" s="105">
        <f t="shared" si="27"/>
        <v>167.97303992318871</v>
      </c>
      <c r="O57" s="107">
        <f t="shared" si="28"/>
        <v>0</v>
      </c>
      <c r="P57" s="108">
        <f t="shared" si="29"/>
        <v>-21.500644287337622</v>
      </c>
      <c r="Q57" s="109">
        <f t="shared" si="30"/>
        <v>0.88652437737238476</v>
      </c>
      <c r="R57" s="322"/>
      <c r="S57" s="46">
        <v>0.19930555555555554</v>
      </c>
      <c r="T57" s="47">
        <v>0.23699074074074072</v>
      </c>
      <c r="U57" s="110">
        <v>5</v>
      </c>
      <c r="V57" s="111">
        <v>54.275627263947463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-408.51224145941433</v>
      </c>
      <c r="AF57" s="109">
        <f t="shared" si="32"/>
        <v>0.88652437737238488</v>
      </c>
      <c r="AG57" s="327"/>
    </row>
    <row r="58" spans="1:33" ht="15.75" customHeight="1">
      <c r="A58" s="356"/>
      <c r="B58" s="99" t="s">
        <v>208</v>
      </c>
      <c r="C58" s="370" t="s">
        <v>211</v>
      </c>
      <c r="D58" s="370"/>
      <c r="E58" s="100">
        <v>36.729999999999997</v>
      </c>
      <c r="F58" s="101">
        <v>4264</v>
      </c>
      <c r="G58" s="102">
        <f t="shared" si="33"/>
        <v>156616.72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3005.9439703381481</v>
      </c>
      <c r="N58" s="105">
        <f t="shared" si="27"/>
        <v>143.14018906372135</v>
      </c>
      <c r="O58" s="107">
        <f t="shared" si="28"/>
        <v>0</v>
      </c>
      <c r="P58" s="108">
        <f t="shared" si="29"/>
        <v>-28.288382364850065</v>
      </c>
      <c r="Q58" s="109">
        <f t="shared" si="30"/>
        <v>0.83498443620504126</v>
      </c>
      <c r="R58" s="322"/>
      <c r="S58" s="46">
        <v>0.24097222222222223</v>
      </c>
      <c r="T58" s="47">
        <v>0.30006944444444444</v>
      </c>
      <c r="U58" s="110">
        <v>5.7333333333333636</v>
      </c>
      <c r="V58" s="111">
        <v>85.111366853328192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-594.05602966185188</v>
      </c>
      <c r="AF58" s="109">
        <f t="shared" si="32"/>
        <v>0.83498443620504115</v>
      </c>
      <c r="AG58" s="327"/>
    </row>
    <row r="59" spans="1:33" ht="15.75" customHeight="1">
      <c r="A59" s="356"/>
      <c r="B59" s="99" t="s">
        <v>208</v>
      </c>
      <c r="C59" s="370" t="s">
        <v>212</v>
      </c>
      <c r="D59" s="370"/>
      <c r="E59" s="100">
        <v>43.96</v>
      </c>
      <c r="F59" s="101">
        <v>1698</v>
      </c>
      <c r="G59" s="102">
        <f t="shared" si="33"/>
        <v>74644.08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3269.0683112263391</v>
      </c>
      <c r="N59" s="105">
        <f t="shared" si="27"/>
        <v>136.21117963443081</v>
      </c>
      <c r="O59" s="107">
        <f t="shared" si="28"/>
        <v>0</v>
      </c>
      <c r="P59" s="108">
        <f t="shared" si="29"/>
        <v>-13.788820365569194</v>
      </c>
      <c r="Q59" s="109">
        <f t="shared" si="30"/>
        <v>0.90807453089620538</v>
      </c>
      <c r="R59" s="322"/>
      <c r="S59" s="46">
        <v>0.30416666666666664</v>
      </c>
      <c r="T59" s="47">
        <v>0.32579861111111108</v>
      </c>
      <c r="U59" s="110">
        <v>5.8999999999999631</v>
      </c>
      <c r="V59" s="111">
        <v>31.164842793322155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-330.93168877366088</v>
      </c>
      <c r="AF59" s="199">
        <f t="shared" si="32"/>
        <v>0.90807453089620527</v>
      </c>
      <c r="AG59" s="327"/>
    </row>
    <row r="60" spans="1:33" ht="15.75" customHeight="1">
      <c r="A60" s="357"/>
      <c r="B60" s="99" t="s">
        <v>208</v>
      </c>
      <c r="C60" s="370" t="s">
        <v>213</v>
      </c>
      <c r="D60" s="370"/>
      <c r="E60" s="100">
        <v>46.93</v>
      </c>
      <c r="F60" s="104">
        <v>1246</v>
      </c>
      <c r="G60" s="102">
        <f t="shared" si="33"/>
        <v>58474.78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3268.4642866123495</v>
      </c>
      <c r="N60" s="105">
        <f t="shared" si="27"/>
        <v>136.18601194218124</v>
      </c>
      <c r="O60" s="107">
        <f t="shared" si="28"/>
        <v>0</v>
      </c>
      <c r="P60" s="108">
        <f t="shared" si="29"/>
        <v>-13.813988057818761</v>
      </c>
      <c r="Q60" s="109">
        <f t="shared" si="30"/>
        <v>0.90790674628120827</v>
      </c>
      <c r="R60" s="322"/>
      <c r="S60" s="46">
        <v>0.32986111111111105</v>
      </c>
      <c r="T60" s="47">
        <v>0.34574074074074068</v>
      </c>
      <c r="U60" s="110">
        <v>5.8499999999999552</v>
      </c>
      <c r="V60" s="111">
        <v>22.873127390810858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-331.5357133876505</v>
      </c>
      <c r="AF60" s="199">
        <f t="shared" si="32"/>
        <v>0.90790674628120815</v>
      </c>
      <c r="AG60" s="327"/>
    </row>
    <row r="61" spans="1:33" ht="15.75" customHeight="1">
      <c r="A61" s="357"/>
      <c r="B61" s="99" t="s">
        <v>208</v>
      </c>
      <c r="C61" s="370" t="s">
        <v>214</v>
      </c>
      <c r="D61" s="370"/>
      <c r="E61" s="100">
        <v>36.729999999999997</v>
      </c>
      <c r="F61" s="104">
        <v>3663</v>
      </c>
      <c r="G61" s="120">
        <f t="shared" si="33"/>
        <v>134541.99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3261.8967104351827</v>
      </c>
      <c r="N61" s="105">
        <f t="shared" si="27"/>
        <v>163.09483552175914</v>
      </c>
      <c r="O61" s="107">
        <f t="shared" si="28"/>
        <v>0</v>
      </c>
      <c r="P61" s="108">
        <f t="shared" si="29"/>
        <v>-16.905164478240863</v>
      </c>
      <c r="Q61" s="109">
        <f t="shared" si="30"/>
        <v>0.90608241956532853</v>
      </c>
      <c r="R61" s="322"/>
      <c r="S61" s="46">
        <v>0.34861111111111104</v>
      </c>
      <c r="T61" s="119">
        <v>0.39539351851851845</v>
      </c>
      <c r="U61" s="110">
        <v>5</v>
      </c>
      <c r="V61" s="111">
        <v>67.377976530310875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-338.10328956481726</v>
      </c>
      <c r="AF61" s="199">
        <f t="shared" si="32"/>
        <v>0.90608241956532853</v>
      </c>
      <c r="AG61" s="327"/>
    </row>
    <row r="62" spans="1:33" ht="15.75" customHeight="1">
      <c r="A62" s="357"/>
      <c r="B62" s="99" t="s">
        <v>208</v>
      </c>
      <c r="C62" s="370" t="s">
        <v>233</v>
      </c>
      <c r="D62" s="370"/>
      <c r="E62" s="100">
        <v>48.4</v>
      </c>
      <c r="F62" s="104">
        <v>2828</v>
      </c>
      <c r="G62" s="120">
        <f t="shared" si="33"/>
        <v>136875.19999999998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3261.9052091536041</v>
      </c>
      <c r="N62" s="105">
        <f t="shared" si="27"/>
        <v>148.2684185978911</v>
      </c>
      <c r="O62" s="122">
        <f t="shared" si="28"/>
        <v>0</v>
      </c>
      <c r="P62" s="123">
        <f t="shared" si="29"/>
        <v>-15.367945038472527</v>
      </c>
      <c r="Q62" s="124">
        <f t="shared" si="30"/>
        <v>0.9060847803204457</v>
      </c>
      <c r="R62" s="322"/>
      <c r="S62" s="46">
        <v>0.39930555555555547</v>
      </c>
      <c r="T62" s="119">
        <v>0.43542824074074066</v>
      </c>
      <c r="U62" s="110">
        <v>5.633333333333308</v>
      </c>
      <c r="V62" s="111">
        <v>52.018678998960979</v>
      </c>
      <c r="W62" s="112"/>
      <c r="X62" s="115"/>
      <c r="Y62" s="12"/>
      <c r="Z62" s="197"/>
      <c r="AA62" s="331"/>
      <c r="AB62" s="332"/>
      <c r="AC62" s="12"/>
      <c r="AD62" s="197"/>
      <c r="AE62" s="198">
        <f t="shared" si="31"/>
        <v>-338.09479084639588</v>
      </c>
      <c r="AF62" s="199">
        <f t="shared" si="32"/>
        <v>0.90608478032044559</v>
      </c>
      <c r="AG62" s="327"/>
    </row>
    <row r="63" spans="1:33" ht="15.75" customHeight="1">
      <c r="A63" s="357"/>
      <c r="B63" s="99" t="s">
        <v>208</v>
      </c>
      <c r="C63" s="370" t="s">
        <v>215</v>
      </c>
      <c r="D63" s="370"/>
      <c r="E63" s="100">
        <v>37.799999999999997</v>
      </c>
      <c r="F63" s="104">
        <v>1986</v>
      </c>
      <c r="G63" s="120">
        <f t="shared" si="33"/>
        <v>75070.799999999988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3270.0120400560036</v>
      </c>
      <c r="N63" s="105">
        <f t="shared" si="27"/>
        <v>155.7148590502859</v>
      </c>
      <c r="O63" s="122">
        <f t="shared" si="28"/>
        <v>0</v>
      </c>
      <c r="P63" s="123">
        <f t="shared" si="29"/>
        <v>-15.713712378285521</v>
      </c>
      <c r="Q63" s="124">
        <f t="shared" si="30"/>
        <v>0.90833667779333449</v>
      </c>
      <c r="R63" s="322"/>
      <c r="S63" s="46">
        <v>0.43958333333333321</v>
      </c>
      <c r="T63" s="119">
        <v>0.46488425925925914</v>
      </c>
      <c r="U63" s="110">
        <v>5.9833333333332828</v>
      </c>
      <c r="V63" s="111">
        <v>36.440232800475933</v>
      </c>
      <c r="W63" s="112">
        <v>0.46488425925925914</v>
      </c>
      <c r="X63" s="115">
        <v>0.50416666666666654</v>
      </c>
      <c r="Y63" s="12"/>
      <c r="Z63" s="197"/>
      <c r="AA63" s="331"/>
      <c r="AB63" s="332"/>
      <c r="AC63" s="12"/>
      <c r="AD63" s="197"/>
      <c r="AE63" s="198">
        <f t="shared" si="31"/>
        <v>-329.98795994399643</v>
      </c>
      <c r="AF63" s="199">
        <f t="shared" si="32"/>
        <v>0.90833667779333438</v>
      </c>
      <c r="AG63" s="327"/>
    </row>
    <row r="64" spans="1:33" ht="15.75" customHeight="1">
      <c r="A64" s="357"/>
      <c r="B64" s="99" t="s">
        <v>208</v>
      </c>
      <c r="C64" s="370" t="s">
        <v>216</v>
      </c>
      <c r="D64" s="370"/>
      <c r="E64" s="100">
        <v>38.479999999999997</v>
      </c>
      <c r="F64" s="104">
        <v>5530</v>
      </c>
      <c r="G64" s="120">
        <f t="shared" si="33"/>
        <v>212794.4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3267.2441222106395</v>
      </c>
      <c r="N64" s="105">
        <f t="shared" si="27"/>
        <v>163.36220611053199</v>
      </c>
      <c r="O64" s="122">
        <f t="shared" si="28"/>
        <v>0</v>
      </c>
      <c r="P64" s="123">
        <f t="shared" si="29"/>
        <v>-16.637793889468014</v>
      </c>
      <c r="Q64" s="124">
        <f t="shared" si="30"/>
        <v>0.90756781172517775</v>
      </c>
      <c r="R64" s="322"/>
      <c r="S64" s="46">
        <v>0.50416666666666654</v>
      </c>
      <c r="T64" s="119">
        <v>0.57468749999999991</v>
      </c>
      <c r="U64" s="110">
        <v>56.566666666666663</v>
      </c>
      <c r="V64" s="111">
        <v>101.55347674954325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-332.75587778936051</v>
      </c>
      <c r="AF64" s="199">
        <f t="shared" si="32"/>
        <v>0.90756781172517764</v>
      </c>
      <c r="AG64" s="327"/>
    </row>
    <row r="65" spans="1:33" ht="15.75" customHeight="1">
      <c r="A65" s="357"/>
      <c r="B65" s="99" t="s">
        <v>208</v>
      </c>
      <c r="C65" s="370" t="s">
        <v>215</v>
      </c>
      <c r="D65" s="370"/>
      <c r="E65" s="100">
        <v>37.799999999999997</v>
      </c>
      <c r="F65" s="104">
        <v>4943</v>
      </c>
      <c r="G65" s="120">
        <f t="shared" si="33"/>
        <v>186845.4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3270.0120400560036</v>
      </c>
      <c r="N65" s="105">
        <f t="shared" si="27"/>
        <v>155.7148590502859</v>
      </c>
      <c r="O65" s="122">
        <f t="shared" si="28"/>
        <v>0</v>
      </c>
      <c r="P65" s="123">
        <f t="shared" si="29"/>
        <v>-15.713712378285521</v>
      </c>
      <c r="Q65" s="124">
        <f t="shared" si="30"/>
        <v>0.90833667779333449</v>
      </c>
      <c r="R65" s="322"/>
      <c r="S65" s="46">
        <v>0.57777777777777761</v>
      </c>
      <c r="T65" s="119">
        <v>0.64075231481481465</v>
      </c>
      <c r="U65" s="110">
        <v>5</v>
      </c>
      <c r="V65" s="111">
        <v>90.696913762715269</v>
      </c>
      <c r="W65" s="112"/>
      <c r="X65" s="115"/>
      <c r="Y65" s="12"/>
      <c r="Z65" s="197"/>
      <c r="AA65" s="331"/>
      <c r="AB65" s="332"/>
      <c r="AC65" s="12"/>
      <c r="AD65" s="197"/>
      <c r="AE65" s="198">
        <f t="shared" si="31"/>
        <v>-329.98795994399643</v>
      </c>
      <c r="AF65" s="199">
        <f t="shared" si="32"/>
        <v>0.90833667779333438</v>
      </c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3226.0543186359318</v>
      </c>
      <c r="N72" s="137">
        <f>M72/L72</f>
        <v>152.89356960359865</v>
      </c>
      <c r="O72" s="138">
        <f>L72-I72</f>
        <v>0</v>
      </c>
      <c r="P72" s="139">
        <f>N72-K72</f>
        <v>-17.722544140477169</v>
      </c>
      <c r="Q72" s="140">
        <f>N72/K72</f>
        <v>0.89612619962109219</v>
      </c>
      <c r="R72" s="323"/>
      <c r="S72" s="141">
        <v>0.16666666666666666</v>
      </c>
      <c r="T72" s="142">
        <v>0.64075231481481465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-373.94568136406815</v>
      </c>
      <c r="AF72" s="140">
        <f>M72/J72</f>
        <v>0.89612619962109219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2468</v>
      </c>
      <c r="G73" s="120">
        <f t="shared" ref="G73:G75" si="39">E73*F73</f>
        <v>58121.4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2257.5793326791172</v>
      </c>
      <c r="N73" s="105">
        <f>M73/L73</f>
        <v>376.2632221131862</v>
      </c>
      <c r="O73" s="107">
        <f>L73-I73</f>
        <v>0</v>
      </c>
      <c r="P73" s="108">
        <f>N73-K73</f>
        <v>-40.403444553480483</v>
      </c>
      <c r="Q73" s="109">
        <f>N73/K73</f>
        <v>0.90303173307164686</v>
      </c>
      <c r="R73" s="321">
        <f>Q89</f>
        <v>0.8513102375642394</v>
      </c>
      <c r="S73" s="46">
        <v>0.34444444444444433</v>
      </c>
      <c r="T73" s="119">
        <v>0.38998842592592581</v>
      </c>
      <c r="U73" s="110">
        <v>4.5833333333333037</v>
      </c>
      <c r="V73" s="111">
        <v>65.592379349198907</v>
      </c>
      <c r="W73" s="112"/>
      <c r="X73" s="161"/>
      <c r="Y73" s="12"/>
      <c r="Z73" s="197"/>
      <c r="AA73" s="324"/>
      <c r="AB73" s="325"/>
      <c r="AC73" s="12"/>
      <c r="AD73" s="197"/>
      <c r="AE73" s="114">
        <f>M73-J73</f>
        <v>-242.42066732088279</v>
      </c>
      <c r="AF73" s="155">
        <f>M73/J73</f>
        <v>0.90303173307164686</v>
      </c>
      <c r="AG73" s="326">
        <f>AF89</f>
        <v>0.90451712741200463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723</v>
      </c>
      <c r="G74" s="120">
        <f t="shared" si="39"/>
        <v>19557.150000000001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2961.6418775921866</v>
      </c>
      <c r="N74" s="105">
        <f>M74/L74</f>
        <v>493.60697959869776</v>
      </c>
      <c r="O74" s="122">
        <f>L74-I74</f>
        <v>1</v>
      </c>
      <c r="P74" s="123">
        <f>N74-K74</f>
        <v>-160.99302040130226</v>
      </c>
      <c r="Q74" s="124">
        <f>N74/K74</f>
        <v>0.75405893614222086</v>
      </c>
      <c r="R74" s="322"/>
      <c r="S74" s="46">
        <v>0.39374999999999988</v>
      </c>
      <c r="T74" s="119">
        <v>0.40391203703703693</v>
      </c>
      <c r="U74" s="110">
        <v>5.4166666666666607</v>
      </c>
      <c r="V74" s="111">
        <v>14.647280729048822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-311.35812240781343</v>
      </c>
      <c r="AF74" s="109">
        <f>M74/J74</f>
        <v>0.90487072337066499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907</v>
      </c>
      <c r="G75" s="120">
        <f t="shared" si="39"/>
        <v>24534.350000000002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2963.0407242976912</v>
      </c>
      <c r="N75" s="105">
        <f>M75/L75</f>
        <v>592.60814485953824</v>
      </c>
      <c r="O75" s="122">
        <f>L75-I75</f>
        <v>0</v>
      </c>
      <c r="P75" s="123">
        <f>N75-K75</f>
        <v>-61.99185514046178</v>
      </c>
      <c r="Q75" s="124">
        <f>N75/K75</f>
        <v>0.90529811313708863</v>
      </c>
      <c r="R75" s="322"/>
      <c r="S75" s="46">
        <v>0.40763888888888877</v>
      </c>
      <c r="T75" s="119">
        <v>0.42038194444444432</v>
      </c>
      <c r="U75" s="110">
        <v>5.3666666666666529</v>
      </c>
      <c r="V75" s="111">
        <v>18.366267987389474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-309.95927570230879</v>
      </c>
      <c r="AF75" s="109">
        <f>M75/J75</f>
        <v>0.90529811313708863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2727.4206448563314</v>
      </c>
      <c r="N89" s="137">
        <f>M89/L89</f>
        <v>481.30952556288196</v>
      </c>
      <c r="O89" s="138">
        <f>L89-I89</f>
        <v>0.33333333333333393</v>
      </c>
      <c r="P89" s="139">
        <f>N89-K89</f>
        <v>-84.065474437118155</v>
      </c>
      <c r="Q89" s="140">
        <f>N89/K89</f>
        <v>0.8513102375642394</v>
      </c>
      <c r="R89" s="323"/>
      <c r="S89" s="141">
        <v>0.16666666666666666</v>
      </c>
      <c r="T89" s="142">
        <v>0.42038194444444432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-287.91268847700212</v>
      </c>
      <c r="AF89" s="140">
        <f>M89/J89</f>
        <v>0.90451712741200463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2149</v>
      </c>
      <c r="G90" s="147">
        <f t="shared" ref="G90:G91" si="43">E90*F90</f>
        <v>33330.99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3250.8000000000011</v>
      </c>
      <c r="N90" s="151">
        <f>M90/L90</f>
        <v>541.80000000000018</v>
      </c>
      <c r="O90" s="153">
        <f>L90-I90</f>
        <v>0</v>
      </c>
      <c r="P90" s="154">
        <f>N90-K90</f>
        <v>-58.199999999999818</v>
      </c>
      <c r="Q90" s="155">
        <f>N90/K90</f>
        <v>0.90300000000000036</v>
      </c>
      <c r="R90" s="321">
        <f>Q106</f>
        <v>0.90277324647550339</v>
      </c>
      <c r="S90" s="156">
        <v>0.25</v>
      </c>
      <c r="T90" s="157">
        <v>0.2775347222222222</v>
      </c>
      <c r="U90" s="158"/>
      <c r="V90" s="159">
        <v>39.664082687338485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-349.19999999999891</v>
      </c>
      <c r="AF90" s="155">
        <f>M90/J90</f>
        <v>0.90300000000000036</v>
      </c>
      <c r="AG90" s="326">
        <f>AF106</f>
        <v>0.90277324647550328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2309</v>
      </c>
      <c r="G91" s="102">
        <f t="shared" si="43"/>
        <v>34658.089999999997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3249.1673746236229</v>
      </c>
      <c r="N91" s="105">
        <f>M91/L91</f>
        <v>541.52789577060378</v>
      </c>
      <c r="O91" s="107">
        <f>L91-I91</f>
        <v>0</v>
      </c>
      <c r="P91" s="108">
        <f>N91-K91</f>
        <v>-58.472104229396223</v>
      </c>
      <c r="Q91" s="109">
        <f>N91/K91</f>
        <v>0.90254649295100631</v>
      </c>
      <c r="R91" s="322"/>
      <c r="S91" s="46">
        <v>0.28125</v>
      </c>
      <c r="T91" s="47">
        <v>0.31085648148148148</v>
      </c>
      <c r="U91" s="110">
        <v>5.3500000000000369</v>
      </c>
      <c r="V91" s="111">
        <v>42.638615998059564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-350.83262537637711</v>
      </c>
      <c r="AF91" s="109">
        <f>M91/J91</f>
        <v>0.90254649295100631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3249.983687311812</v>
      </c>
      <c r="N106" s="137">
        <f>M106/L106</f>
        <v>541.66394788530204</v>
      </c>
      <c r="O106" s="138">
        <f>L106-I106</f>
        <v>0</v>
      </c>
      <c r="P106" s="139">
        <f>N106-K106</f>
        <v>-58.336052114697964</v>
      </c>
      <c r="Q106" s="140">
        <f>N106/K106</f>
        <v>0.90277324647550339</v>
      </c>
      <c r="R106" s="323"/>
      <c r="S106" s="141">
        <v>0.25</v>
      </c>
      <c r="T106" s="142">
        <v>0.31085648148148148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-350.01631268818801</v>
      </c>
      <c r="AF106" s="140">
        <f>M106/J106</f>
        <v>0.90277324647550328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1652</v>
      </c>
      <c r="G107" s="147">
        <f t="shared" ref="G107:G109" si="47">E107*F107</f>
        <v>96096.84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1802.3443045235954</v>
      </c>
      <c r="N107" s="151">
        <f>M107/L107</f>
        <v>106.02025320727031</v>
      </c>
      <c r="O107" s="153">
        <f>L107-I107</f>
        <v>-1</v>
      </c>
      <c r="P107" s="154">
        <f>N107-K107</f>
        <v>-5.0908579038407993</v>
      </c>
      <c r="Q107" s="155">
        <f>N107/K107</f>
        <v>0.95418227886543283</v>
      </c>
      <c r="R107" s="321">
        <f>Q123</f>
        <v>0.94943367252051214</v>
      </c>
      <c r="S107" s="156">
        <v>0.70833333333333337</v>
      </c>
      <c r="T107" s="157">
        <v>0.74651620370370375</v>
      </c>
      <c r="U107" s="158"/>
      <c r="V107" s="159">
        <v>54.995041597337803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-197.65569547640462</v>
      </c>
      <c r="AF107" s="155">
        <f>M107/J107</f>
        <v>0.9011721522617977</v>
      </c>
      <c r="AG107" s="326">
        <f>AF123</f>
        <v>0.90115738408726576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1476</v>
      </c>
      <c r="G108" s="102">
        <f t="shared" si="47"/>
        <v>74788.92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1802.1999999999998</v>
      </c>
      <c r="N108" s="105">
        <f>M108/L108</f>
        <v>94.852631578947353</v>
      </c>
      <c r="O108" s="107">
        <f>L108-I108</f>
        <v>-1</v>
      </c>
      <c r="P108" s="108">
        <f>N108-K108</f>
        <v>-5.1473684210526471</v>
      </c>
      <c r="Q108" s="109">
        <f>N108/K108</f>
        <v>0.94852631578947355</v>
      </c>
      <c r="R108" s="322"/>
      <c r="S108" s="46">
        <v>0.74930555555555556</v>
      </c>
      <c r="T108" s="47">
        <v>0.78342592592592597</v>
      </c>
      <c r="U108" s="110">
        <v>5</v>
      </c>
      <c r="V108" s="111">
        <v>49.139940073243814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-197.80000000000018</v>
      </c>
      <c r="AF108" s="109">
        <f>M108/J108</f>
        <v>0.9010999999999999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1667</v>
      </c>
      <c r="G109" s="102">
        <f t="shared" si="47"/>
        <v>95519.099999999991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1802.4</v>
      </c>
      <c r="N109" s="105">
        <f>M109/L109</f>
        <v>90.12</v>
      </c>
      <c r="O109" s="107">
        <f>L109-I109</f>
        <v>-1</v>
      </c>
      <c r="P109" s="108">
        <f>N109-K109</f>
        <v>-5.1180952380952363</v>
      </c>
      <c r="Q109" s="109">
        <f>N109/K109</f>
        <v>0.94625999999999999</v>
      </c>
      <c r="R109" s="322"/>
      <c r="S109" s="46">
        <v>0.78680555555555554</v>
      </c>
      <c r="T109" s="47">
        <v>0.82533564814814808</v>
      </c>
      <c r="U109" s="110">
        <v>4.8666666666665748</v>
      </c>
      <c r="V109" s="111">
        <v>55.492676431424762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-197.59999999999991</v>
      </c>
      <c r="AF109" s="109">
        <f>M109/J109</f>
        <v>0.9012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1802.3147681745315</v>
      </c>
      <c r="N123" s="137">
        <f>M123/L123</f>
        <v>96.552576866492757</v>
      </c>
      <c r="O123" s="138">
        <f>L123-I123</f>
        <v>-1</v>
      </c>
      <c r="P123" s="139">
        <f>N123-K123</f>
        <v>-5.1423383877445303</v>
      </c>
      <c r="Q123" s="140">
        <f>N123/K123</f>
        <v>0.94943367252051214</v>
      </c>
      <c r="R123" s="323"/>
      <c r="S123" s="141">
        <v>0.70833333333333337</v>
      </c>
      <c r="T123" s="142">
        <v>0.82533564814814808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-197.68523182546846</v>
      </c>
      <c r="AF123" s="140">
        <f>M123/J123</f>
        <v>0.90115738408726576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1831</v>
      </c>
      <c r="G124" s="147">
        <f t="shared" ref="G124:G126" si="54">E124*F124</f>
        <v>87155.6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1803.8014667902771</v>
      </c>
      <c r="N124" s="151">
        <f>M124/L124</f>
        <v>78.426150730012054</v>
      </c>
      <c r="O124" s="153">
        <f>L124-I124</f>
        <v>0</v>
      </c>
      <c r="P124" s="154">
        <f>N124-K124</f>
        <v>-8.5303710091183831</v>
      </c>
      <c r="Q124" s="155">
        <f>N124/K124</f>
        <v>0.90190073339513854</v>
      </c>
      <c r="R124" s="321">
        <f>Q140</f>
        <v>0.901185155752947</v>
      </c>
      <c r="S124" s="156">
        <v>0.70833333333333337</v>
      </c>
      <c r="T124" s="157">
        <v>0.75062499999999999</v>
      </c>
      <c r="U124" s="158"/>
      <c r="V124" s="159">
        <v>60.904707099217099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-196.19853320972288</v>
      </c>
      <c r="AF124" s="155">
        <f>M124/J124</f>
        <v>0.90190073339513854</v>
      </c>
      <c r="AG124" s="375">
        <f>AF140</f>
        <v>0.901185155752947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1437</v>
      </c>
      <c r="G125" s="102">
        <f t="shared" si="54"/>
        <v>81722.19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1801.8791094481865</v>
      </c>
      <c r="N125" s="105">
        <f>M125/L125</f>
        <v>78.342569976008107</v>
      </c>
      <c r="O125" s="107">
        <f>L125-I125</f>
        <v>0</v>
      </c>
      <c r="P125" s="108">
        <f>N125-K125</f>
        <v>-8.6139517631223299</v>
      </c>
      <c r="Q125" s="109">
        <f>N125/K125</f>
        <v>0.90093955472409326</v>
      </c>
      <c r="R125" s="322"/>
      <c r="S125" s="46">
        <v>0.75416666666666665</v>
      </c>
      <c r="T125" s="47">
        <v>0.78739583333333329</v>
      </c>
      <c r="U125" s="110">
        <v>5.0999999999999979</v>
      </c>
      <c r="V125" s="111">
        <v>47.850046958147097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-198.12089055181355</v>
      </c>
      <c r="AF125" s="109">
        <f>M125/J125</f>
        <v>0.90093955472409326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1951</v>
      </c>
      <c r="G126" s="102">
        <f t="shared" si="54"/>
        <v>110797.29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1801.4303582792184</v>
      </c>
      <c r="N126" s="105">
        <f>M126/L126</f>
        <v>78.323059055618188</v>
      </c>
      <c r="O126" s="107">
        <f>L126-I126</f>
        <v>0</v>
      </c>
      <c r="P126" s="108">
        <f>N126-K126</f>
        <v>-8.6334626835122492</v>
      </c>
      <c r="Q126" s="109">
        <f>N126/K126</f>
        <v>0.90071517913960919</v>
      </c>
      <c r="R126" s="322"/>
      <c r="S126" s="46">
        <v>0.79097222222222219</v>
      </c>
      <c r="T126" s="47">
        <v>0.83608796296296295</v>
      </c>
      <c r="U126" s="110">
        <v>5.1500000000000057</v>
      </c>
      <c r="V126" s="111">
        <v>64.981696051697114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-198.56964172078165</v>
      </c>
      <c r="AF126" s="109">
        <f>M126/J126</f>
        <v>0.90071517913960919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1802.3703115058941</v>
      </c>
      <c r="N140" s="137">
        <f>M140/L140</f>
        <v>78.363926587212788</v>
      </c>
      <c r="O140" s="138">
        <f>L140-I140</f>
        <v>0</v>
      </c>
      <c r="P140" s="139">
        <f>N140-K140</f>
        <v>-8.5925951519176493</v>
      </c>
      <c r="Q140" s="140">
        <f>N140/K140</f>
        <v>0.901185155752947</v>
      </c>
      <c r="R140" s="323"/>
      <c r="S140" s="141">
        <v>0.70833333333333337</v>
      </c>
      <c r="T140" s="142">
        <v>0.83608796296296295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-197.62968849410595</v>
      </c>
      <c r="AF140" s="140">
        <f>M140/J140</f>
        <v>0.901185155752947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3A514C55-4C56-4020-A1DB-7F5E938407A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F8A1-579B-4A76-B8BD-42FFFF36D971}">
  <sheetPr>
    <tabColor theme="9" tint="0.59999389629810485"/>
  </sheetPr>
  <dimension ref="B1:AR42"/>
  <sheetViews>
    <sheetView zoomScale="70" zoomScaleNormal="70" workbookViewId="0">
      <selection activeCell="C9" sqref="C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240</v>
      </c>
      <c r="D3" s="208"/>
      <c r="E3" s="3" t="s">
        <v>3</v>
      </c>
      <c r="F3" s="209">
        <f>'0804(18度C)'!D1+'0804(4度C)'!D1</f>
        <v>211425</v>
      </c>
      <c r="G3" s="210"/>
      <c r="H3" s="3" t="s">
        <v>4</v>
      </c>
      <c r="I3" s="211">
        <f>'0804(18度C)'!F1+'0804(4度C)'!F1</f>
        <v>6631265.1099999994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495.79320680902288</v>
      </c>
      <c r="F6" s="245" t="e">
        <f>AVERAGE(#REF!,D14:K14)</f>
        <v>#REF!</v>
      </c>
      <c r="G6" s="246">
        <f>AVERAGE(D14:K14)</f>
        <v>271.37289401900131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791</v>
      </c>
      <c r="N6" s="247"/>
      <c r="O6" s="235">
        <f>'0804(4度C)'!Y2</f>
        <v>0</v>
      </c>
      <c r="P6" s="235">
        <f>'0804(4度C)'!Z2</f>
        <v>0</v>
      </c>
      <c r="Q6" s="235">
        <f>'0804(4度C)'!AC2</f>
        <v>0</v>
      </c>
      <c r="R6" s="235">
        <f>'0804(4度C)'!AD2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444.8745339433334</v>
      </c>
      <c r="F7" s="241" t="e">
        <f>AVERAGE(#REF!,D15:K15)</f>
        <v>#REF!</v>
      </c>
      <c r="G7" s="242">
        <f>AVERAGE(D15:K15)</f>
        <v>239.88332908170233</v>
      </c>
      <c r="H7" s="243"/>
      <c r="I7" s="242">
        <f>AVERAGE(L15:O15)</f>
        <v>87.374161119124039</v>
      </c>
      <c r="J7" s="243"/>
      <c r="K7" s="242">
        <f>AVERAGE(D33:O33)</f>
        <v>663.73929567992855</v>
      </c>
      <c r="L7" s="243"/>
      <c r="M7" s="242">
        <f>AVERAGE(P33:X33)</f>
        <v>712.24676591128946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0.89920520471201182</v>
      </c>
      <c r="F8" s="260" t="e">
        <f>AVERAGE(D16:K16,#REF!)</f>
        <v>#REF!</v>
      </c>
      <c r="G8" s="248">
        <f>AVERAGE(D16:K16)</f>
        <v>0.89204922387348773</v>
      </c>
      <c r="H8" s="249"/>
      <c r="I8" s="248">
        <f>AVERAGE(L16:O16)</f>
        <v>0.92443082906040264</v>
      </c>
      <c r="J8" s="249"/>
      <c r="K8" s="248">
        <f>AVERAGE(D34:O34)</f>
        <v>0.89636484499678448</v>
      </c>
      <c r="L8" s="249"/>
      <c r="M8" s="248">
        <f>AVERAGE(P34:X34)</f>
        <v>0.90016672351082971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117.52</v>
      </c>
      <c r="G14" s="28">
        <v>90.322580645161295</v>
      </c>
      <c r="H14" s="28">
        <v>170.61611374407582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76.023692193798141</v>
      </c>
      <c r="F15" s="28">
        <v>106.07006316156843</v>
      </c>
      <c r="G15" s="28">
        <v>81.308082329527736</v>
      </c>
      <c r="H15" s="28">
        <v>152.54256335713563</v>
      </c>
      <c r="I15" s="28">
        <v>481.54162556288202</v>
      </c>
      <c r="J15" s="28">
        <v>541.81394788530213</v>
      </c>
      <c r="K15" s="36" t="s">
        <v>43</v>
      </c>
      <c r="L15" s="34" t="s">
        <v>43</v>
      </c>
      <c r="M15" s="30">
        <v>96.446428571428555</v>
      </c>
      <c r="N15" s="28">
        <v>78.301893666819524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0.90071548360043452</v>
      </c>
      <c r="F16" s="42">
        <f t="shared" si="0"/>
        <v>0.90257031281116773</v>
      </c>
      <c r="G16" s="42">
        <f t="shared" si="0"/>
        <v>0.90019662579119986</v>
      </c>
      <c r="H16" s="42">
        <f t="shared" si="0"/>
        <v>0.89406891300987834</v>
      </c>
      <c r="I16" s="42">
        <f t="shared" si="0"/>
        <v>0.85172076155274268</v>
      </c>
      <c r="J16" s="42">
        <f t="shared" si="0"/>
        <v>0.90302324647550358</v>
      </c>
      <c r="K16" s="43" t="s">
        <v>43</v>
      </c>
      <c r="L16" s="41" t="s">
        <v>43</v>
      </c>
      <c r="M16" s="44">
        <f>M15/M14</f>
        <v>0.94838988095238075</v>
      </c>
      <c r="N16" s="42">
        <f>N15/N14</f>
        <v>0.90047177716842453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0.6270486111111111</v>
      </c>
      <c r="F18" s="47">
        <v>0.55740740740740735</v>
      </c>
      <c r="G18" s="47">
        <v>0.62165509259259255</v>
      </c>
      <c r="H18" s="47">
        <v>0.66142361111111103</v>
      </c>
      <c r="I18" s="47">
        <v>0.41563657407407401</v>
      </c>
      <c r="J18" s="47">
        <v>0.31218750000000001</v>
      </c>
      <c r="K18" s="47" t="s">
        <v>43</v>
      </c>
      <c r="L18" s="46" t="s">
        <v>43</v>
      </c>
      <c r="M18" s="48">
        <v>0.82250000000000001</v>
      </c>
      <c r="N18" s="47">
        <v>0.84648148148148139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</v>
      </c>
      <c r="G23" s="57">
        <v>22.142857142857142</v>
      </c>
      <c r="H23" s="57">
        <v>21.1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287.57086838204248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752.77885044136872</v>
      </c>
      <c r="N33" s="28">
        <v>845.84636602201783</v>
      </c>
      <c r="O33" s="28">
        <v>768.76109787428504</v>
      </c>
      <c r="P33" s="27">
        <v>438.76138615662643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646.98349985410391</v>
      </c>
      <c r="W33" s="28">
        <v>991.91349385142939</v>
      </c>
      <c r="X33" s="31">
        <v>771.32868378299827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0.87868876450068545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0.91245921265620455</v>
      </c>
      <c r="N34" s="42">
        <f>N33/N32</f>
        <v>0.89896715229393187</v>
      </c>
      <c r="O34" s="42">
        <f>O33/O32</f>
        <v>0.89534425053631606</v>
      </c>
      <c r="P34" s="41">
        <f>P33/P32</f>
        <v>0.89377319402275746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0.91241262799937739</v>
      </c>
      <c r="W34" s="42">
        <f>W33/W32</f>
        <v>0.90173953986493582</v>
      </c>
      <c r="X34" s="45">
        <f>X33/X32</f>
        <v>0.89274153215624807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0.32916666666666666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0.41563657407407401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0.42410879629629628</v>
      </c>
      <c r="N36" s="47">
        <v>0.53924768518518529</v>
      </c>
      <c r="O36" s="47">
        <v>0.54622685185185205</v>
      </c>
      <c r="P36" s="46">
        <v>0.76097222222222227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0.87981481481481483</v>
      </c>
      <c r="W36" s="47">
        <v>1.1248263888888885</v>
      </c>
      <c r="X36" s="49">
        <v>1.1200115740740737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D6AE-4237-44F8-A50F-BD8A925D913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1" sqref="N41"/>
      <selection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112377</v>
      </c>
      <c r="E1" s="87" t="s">
        <v>4</v>
      </c>
      <c r="F1" s="88">
        <f>SUM(G5:G140)</f>
        <v>2239285.5499999993</v>
      </c>
      <c r="G1" s="89" t="s">
        <v>85</v>
      </c>
      <c r="H1" s="90">
        <f>L21+L38+L55+L72+L89+L106+L123+L140</f>
        <v>41.709523809523809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46238</v>
      </c>
      <c r="B2" s="294"/>
      <c r="C2" s="91" t="s">
        <v>41</v>
      </c>
      <c r="D2" s="92">
        <f>AVERAGE(N21,N38,N55,N72,N89,N106,N123,N140)</f>
        <v>687.993030795609</v>
      </c>
      <c r="E2" s="92" t="s">
        <v>92</v>
      </c>
      <c r="F2" s="93">
        <f>F1/D1</f>
        <v>19.926546802281599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1906</v>
      </c>
      <c r="G5" s="147">
        <f t="shared" ref="G5:G9" si="0">E5*F5</f>
        <v>48869.840000000004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3217.969551153185</v>
      </c>
      <c r="N5" s="151">
        <f>M5/L5</f>
        <v>321.7969551153185</v>
      </c>
      <c r="O5" s="153">
        <f>L5-I5</f>
        <v>0</v>
      </c>
      <c r="P5" s="154">
        <f>N5-K5</f>
        <v>-38.203044884681503</v>
      </c>
      <c r="Q5" s="155">
        <f>N5/K5</f>
        <v>0.89388043087588476</v>
      </c>
      <c r="R5" s="321">
        <f>Q21</f>
        <v>0.87868876450068545</v>
      </c>
      <c r="S5" s="156">
        <v>0.16666666666666666</v>
      </c>
      <c r="T5" s="157">
        <v>0.19134259259259259</v>
      </c>
      <c r="U5" s="158"/>
      <c r="V5" s="159">
        <v>35.537937255813432</v>
      </c>
      <c r="W5" s="160"/>
      <c r="X5" s="161"/>
      <c r="Y5" s="324"/>
      <c r="Z5" s="325"/>
      <c r="AA5" s="114">
        <f>M5-J5</f>
        <v>-382.03044884681503</v>
      </c>
      <c r="AB5" s="155">
        <f>M5/J5</f>
        <v>0.89388043087588476</v>
      </c>
      <c r="AC5" s="326">
        <f>AB21</f>
        <v>0.87868876450068534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2909</v>
      </c>
      <c r="G6" s="102">
        <f t="shared" si="0"/>
        <v>85873.68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3159.9627399099654</v>
      </c>
      <c r="N6" s="105">
        <f>M6/L6</f>
        <v>287.26933999181506</v>
      </c>
      <c r="O6" s="107">
        <f>L6-I6</f>
        <v>0</v>
      </c>
      <c r="P6" s="108">
        <f>N6-K6</f>
        <v>-40.003387280912193</v>
      </c>
      <c r="Q6" s="109">
        <f>N6/K6</f>
        <v>0.87776742775276828</v>
      </c>
      <c r="R6" s="322"/>
      <c r="S6" s="46">
        <v>0.19513888888888889</v>
      </c>
      <c r="T6" s="47">
        <v>0.23349537037037038</v>
      </c>
      <c r="U6" s="110">
        <v>5.4666666666666686</v>
      </c>
      <c r="V6" s="111">
        <v>55.23482849831737</v>
      </c>
      <c r="W6" s="112"/>
      <c r="X6" s="115"/>
      <c r="Y6" s="331"/>
      <c r="Z6" s="332"/>
      <c r="AA6" s="116">
        <f>M6-J6</f>
        <v>-440.03726009003458</v>
      </c>
      <c r="AB6" s="109">
        <f>M6/J6</f>
        <v>0.87776742775276817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3413</v>
      </c>
      <c r="G7" s="102">
        <f t="shared" si="0"/>
        <v>101878.05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3156.2119051520076</v>
      </c>
      <c r="N7" s="105">
        <f>M7/L7</f>
        <v>286.92835501381887</v>
      </c>
      <c r="O7" s="107">
        <f>L7-I7</f>
        <v>0</v>
      </c>
      <c r="P7" s="108">
        <f>N7-K7</f>
        <v>-40.344372258908379</v>
      </c>
      <c r="Q7" s="109">
        <f>N7/K7</f>
        <v>0.87672552920889102</v>
      </c>
      <c r="R7" s="322"/>
      <c r="S7" s="46">
        <v>0.23680555555555555</v>
      </c>
      <c r="T7" s="47">
        <v>0.28185185185185185</v>
      </c>
      <c r="U7" s="110">
        <v>4.7666666666666391</v>
      </c>
      <c r="V7" s="111">
        <v>64.881575177423812</v>
      </c>
      <c r="W7" s="112"/>
      <c r="X7" s="115"/>
      <c r="Y7" s="331"/>
      <c r="Z7" s="332"/>
      <c r="AA7" s="116">
        <f>M7-J7</f>
        <v>-443.7880948479924</v>
      </c>
      <c r="AB7" s="109">
        <f>M7/J7</f>
        <v>0.87672552920889102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2575</v>
      </c>
      <c r="G8" s="102">
        <f t="shared" si="0"/>
        <v>77250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3159.3512524265075</v>
      </c>
      <c r="N8" s="105">
        <f>M8/L8</f>
        <v>287.21375022059158</v>
      </c>
      <c r="O8" s="107">
        <f>L8-I8</f>
        <v>0</v>
      </c>
      <c r="P8" s="108">
        <f>N8-K8</f>
        <v>-40.058977052135674</v>
      </c>
      <c r="Q8" s="109">
        <f>N8/K8</f>
        <v>0.87759757011847428</v>
      </c>
      <c r="R8" s="322"/>
      <c r="S8" s="46">
        <v>0.28472222222222221</v>
      </c>
      <c r="T8" s="47">
        <v>0.31868055555555552</v>
      </c>
      <c r="U8" s="110">
        <v>5</v>
      </c>
      <c r="V8" s="111">
        <v>48.902444728593522</v>
      </c>
      <c r="W8" s="112"/>
      <c r="X8" s="115"/>
      <c r="Y8" s="331"/>
      <c r="Z8" s="332"/>
      <c r="AA8" s="116">
        <f>M8-J8</f>
        <v>-440.64874757349253</v>
      </c>
      <c r="AB8" s="109">
        <f>M8/J8</f>
        <v>0.87759757011847428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1492</v>
      </c>
      <c r="G9" s="102">
        <f t="shared" si="0"/>
        <v>42626.44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3122.9023123706702</v>
      </c>
      <c r="N9" s="105">
        <f>M9/L9</f>
        <v>260.24185936422253</v>
      </c>
      <c r="O9" s="107">
        <f>L9-I9</f>
        <v>0</v>
      </c>
      <c r="P9" s="108">
        <f>N9-K9</f>
        <v>-39.758140635777465</v>
      </c>
      <c r="Q9" s="109">
        <f>N9/K9</f>
        <v>0.86747286454740846</v>
      </c>
      <c r="R9" s="322"/>
      <c r="S9" s="46">
        <v>0.32152777777777775</v>
      </c>
      <c r="T9" s="47">
        <v>0.34142361111111108</v>
      </c>
      <c r="U9" s="110">
        <v>5</v>
      </c>
      <c r="V9" s="111">
        <v>28.665642100102456</v>
      </c>
      <c r="W9" s="112"/>
      <c r="X9" s="115"/>
      <c r="Y9" s="331"/>
      <c r="Z9" s="332"/>
      <c r="AA9" s="116">
        <f>M9-J9</f>
        <v>-477.09768762932981</v>
      </c>
      <c r="AB9" s="109">
        <f>M9/J9</f>
        <v>0.86747286454740835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3163.2795522024671</v>
      </c>
      <c r="N21" s="137">
        <f>M21/L21</f>
        <v>287.57086838204248</v>
      </c>
      <c r="O21" s="138">
        <f>L21-I21</f>
        <v>0</v>
      </c>
      <c r="P21" s="139">
        <f>N21-K21</f>
        <v>-39.701858890684775</v>
      </c>
      <c r="Q21" s="140">
        <f>N21/K21</f>
        <v>0.87868876450068545</v>
      </c>
      <c r="R21" s="323"/>
      <c r="S21" s="141">
        <v>0.16666666666666666</v>
      </c>
      <c r="T21" s="142">
        <v>0.41563657407407401</v>
      </c>
      <c r="U21" s="143"/>
      <c r="V21" s="165"/>
      <c r="W21" s="166"/>
      <c r="X21" s="137"/>
      <c r="Y21" s="353"/>
      <c r="Z21" s="354"/>
      <c r="AA21" s="167">
        <f>M21-J21</f>
        <v>-436.72044779753287</v>
      </c>
      <c r="AB21" s="140">
        <f>M21/J21</f>
        <v>0.87868876450068534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2493</v>
      </c>
      <c r="G22" s="147">
        <f t="shared" ref="G22:G24" si="5">E22*F22</f>
        <v>46195.29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3010.1234405697478</v>
      </c>
      <c r="N22" s="151">
        <f>M22/L22</f>
        <v>1003.374480189916</v>
      </c>
      <c r="O22" s="153">
        <f>L22-I22</f>
        <v>0</v>
      </c>
      <c r="P22" s="154">
        <f>N22-K22</f>
        <v>-96.625519810084029</v>
      </c>
      <c r="Q22" s="155">
        <f>N22/K22</f>
        <v>0.9121586183544691</v>
      </c>
      <c r="R22" s="321">
        <f>Q38</f>
        <v>0.91245921265620455</v>
      </c>
      <c r="S22" s="156">
        <v>0.32916666666666666</v>
      </c>
      <c r="T22" s="157">
        <v>0.36366898148148147</v>
      </c>
      <c r="U22" s="158"/>
      <c r="V22" s="111">
        <v>49.692314269905125</v>
      </c>
      <c r="W22" s="160"/>
      <c r="X22" s="161"/>
      <c r="Y22" s="324"/>
      <c r="Z22" s="325"/>
      <c r="AA22" s="114">
        <f>M22-J22</f>
        <v>-289.8765594302522</v>
      </c>
      <c r="AB22" s="155">
        <f>M22/J22</f>
        <v>0.91215861835446899</v>
      </c>
      <c r="AC22" s="326">
        <f>AB38</f>
        <v>0.91245921265620455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807</v>
      </c>
      <c r="G23" s="102">
        <f t="shared" si="5"/>
        <v>17979.96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3013.3998070850175</v>
      </c>
      <c r="N23" s="105">
        <f>M23/L23</f>
        <v>602.67996141700348</v>
      </c>
      <c r="O23" s="107">
        <f>L23-I23</f>
        <v>0</v>
      </c>
      <c r="P23" s="108">
        <f>N23-K23</f>
        <v>-57.320038582996517</v>
      </c>
      <c r="Q23" s="109">
        <f>N23/K23</f>
        <v>0.91315145669242948</v>
      </c>
      <c r="R23" s="322"/>
      <c r="S23" s="46">
        <v>0.36666666666666664</v>
      </c>
      <c r="T23" s="47">
        <v>0.37782407407407403</v>
      </c>
      <c r="U23" s="110">
        <v>5</v>
      </c>
      <c r="V23" s="111">
        <v>16.068229607686412</v>
      </c>
      <c r="W23" s="112"/>
      <c r="X23" s="115"/>
      <c r="Y23" s="331"/>
      <c r="Z23" s="332"/>
      <c r="AA23" s="116">
        <f>M23-J23</f>
        <v>-286.60019291498247</v>
      </c>
      <c r="AB23" s="109">
        <f>M23/J23</f>
        <v>0.91315145669242959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3046</v>
      </c>
      <c r="G24" s="102">
        <f t="shared" si="5"/>
        <v>54492.94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3009.8229576416597</v>
      </c>
      <c r="N24" s="105">
        <f>M24/L24</f>
        <v>752.45573941041494</v>
      </c>
      <c r="O24" s="107">
        <f>L24-I24</f>
        <v>0</v>
      </c>
      <c r="P24" s="108">
        <f>N24-K24</f>
        <v>-72.544260589585065</v>
      </c>
      <c r="Q24" s="109">
        <f>N24/K24</f>
        <v>0.91206756292171509</v>
      </c>
      <c r="R24" s="322"/>
      <c r="S24" s="46">
        <v>0.38194444444444442</v>
      </c>
      <c r="T24" s="47">
        <v>0.42410879629629628</v>
      </c>
      <c r="U24" s="110">
        <v>5.9333333333333549</v>
      </c>
      <c r="V24" s="111">
        <v>60.721179475353999</v>
      </c>
      <c r="W24" s="112"/>
      <c r="X24" s="115"/>
      <c r="Y24" s="331"/>
      <c r="Z24" s="332"/>
      <c r="AA24" s="116">
        <f>M24-J24</f>
        <v>-290.17704235834026</v>
      </c>
      <c r="AB24" s="109">
        <f>M24/J24</f>
        <v>0.91206756292171509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3011.1154017654749</v>
      </c>
      <c r="N38" s="137">
        <f t="shared" ref="N38:N44" si="10">M38/L38</f>
        <v>752.77885044136872</v>
      </c>
      <c r="O38" s="138">
        <f t="shared" ref="O38:O44" si="11">L38-I38</f>
        <v>0</v>
      </c>
      <c r="P38" s="139">
        <f t="shared" ref="P38:P44" si="12">N38-K38</f>
        <v>-72.221149558631282</v>
      </c>
      <c r="Q38" s="140">
        <f t="shared" ref="Q38:Q44" si="13">N38/K38</f>
        <v>0.91245921265620455</v>
      </c>
      <c r="R38" s="323"/>
      <c r="S38" s="141">
        <v>0.32916666666666666</v>
      </c>
      <c r="T38" s="142">
        <v>0.42410879629629628</v>
      </c>
      <c r="U38" s="143"/>
      <c r="V38" s="165"/>
      <c r="W38" s="98"/>
      <c r="X38" s="68"/>
      <c r="Y38" s="353"/>
      <c r="Z38" s="354"/>
      <c r="AA38" s="167">
        <f t="shared" ref="AA38:AA44" si="14">M38-J38</f>
        <v>-288.88459823452513</v>
      </c>
      <c r="AB38" s="140">
        <f t="shared" ref="AB38:AB44" si="15">M38/J38</f>
        <v>0.91245921265620455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1024</v>
      </c>
      <c r="G39" s="147">
        <f t="shared" ref="G39:G44" si="16">E39*F39</f>
        <v>25630.720000000001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3215.9895508629165</v>
      </c>
      <c r="N39" s="151">
        <f t="shared" si="10"/>
        <v>643.19791017258331</v>
      </c>
      <c r="O39" s="153">
        <f t="shared" si="11"/>
        <v>0</v>
      </c>
      <c r="P39" s="154">
        <f t="shared" si="12"/>
        <v>-76.802089827416694</v>
      </c>
      <c r="Q39" s="155">
        <f t="shared" si="13"/>
        <v>0.89333043079525454</v>
      </c>
      <c r="R39" s="321">
        <f>Q55</f>
        <v>0.89896715229393187</v>
      </c>
      <c r="S39" s="156">
        <v>0.25</v>
      </c>
      <c r="T39" s="157">
        <v>0.26326388888888891</v>
      </c>
      <c r="U39" s="158"/>
      <c r="V39" s="159">
        <v>19.104539684687214</v>
      </c>
      <c r="W39" s="160"/>
      <c r="X39" s="161"/>
      <c r="Y39" s="324"/>
      <c r="Z39" s="325"/>
      <c r="AA39" s="114">
        <f t="shared" si="14"/>
        <v>-384.01044913708347</v>
      </c>
      <c r="AB39" s="155">
        <f t="shared" si="15"/>
        <v>0.89333043079525454</v>
      </c>
      <c r="AC39" s="326">
        <f>AB55</f>
        <v>0.89896715229393187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1314</v>
      </c>
      <c r="G40" s="102">
        <f t="shared" si="16"/>
        <v>23888.52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3214.2018073801178</v>
      </c>
      <c r="N40" s="105">
        <f t="shared" si="10"/>
        <v>1071.4006024600392</v>
      </c>
      <c r="O40" s="107">
        <f t="shared" si="11"/>
        <v>0</v>
      </c>
      <c r="P40" s="108">
        <f t="shared" si="12"/>
        <v>-128.59939753996082</v>
      </c>
      <c r="Q40" s="109">
        <f t="shared" si="13"/>
        <v>0.89283383538336603</v>
      </c>
      <c r="R40" s="322"/>
      <c r="S40" s="46">
        <v>0.27361111111111114</v>
      </c>
      <c r="T40" s="47">
        <v>0.29063657407407412</v>
      </c>
      <c r="U40" s="110">
        <v>14.900000000000011</v>
      </c>
      <c r="V40" s="111">
        <v>24.528640304717566</v>
      </c>
      <c r="W40" s="112"/>
      <c r="X40" s="115"/>
      <c r="Y40" s="331"/>
      <c r="Z40" s="332"/>
      <c r="AA40" s="116">
        <f t="shared" si="14"/>
        <v>-385.79819261988223</v>
      </c>
      <c r="AB40" s="109">
        <f t="shared" si="15"/>
        <v>0.89283383538336603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1328</v>
      </c>
      <c r="G41" s="102">
        <f t="shared" si="16"/>
        <v>32960.959999999999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3214.960159542281</v>
      </c>
      <c r="N41" s="105">
        <f t="shared" si="10"/>
        <v>642.99203190845617</v>
      </c>
      <c r="O41" s="107">
        <f t="shared" si="11"/>
        <v>0</v>
      </c>
      <c r="P41" s="108">
        <f t="shared" si="12"/>
        <v>-77.00796809154383</v>
      </c>
      <c r="Q41" s="109">
        <f t="shared" si="13"/>
        <v>0.89304448876174469</v>
      </c>
      <c r="R41" s="322"/>
      <c r="S41" s="46">
        <v>0.30069444444444449</v>
      </c>
      <c r="T41" s="47">
        <v>0.31790509259259264</v>
      </c>
      <c r="U41" s="110">
        <v>15</v>
      </c>
      <c r="V41" s="111">
        <v>24.78413294283067</v>
      </c>
      <c r="W41" s="112"/>
      <c r="X41" s="115"/>
      <c r="Y41" s="331"/>
      <c r="Z41" s="332"/>
      <c r="AA41" s="116">
        <f t="shared" si="14"/>
        <v>-385.03984045771904</v>
      </c>
      <c r="AB41" s="109">
        <f t="shared" si="15"/>
        <v>0.89304448876174469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2151</v>
      </c>
      <c r="G42" s="102">
        <f t="shared" si="16"/>
        <v>36717.57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3013.6871831917838</v>
      </c>
      <c r="N42" s="105">
        <f t="shared" si="10"/>
        <v>1004.5623943972613</v>
      </c>
      <c r="O42" s="107">
        <f t="shared" si="11"/>
        <v>0</v>
      </c>
      <c r="P42" s="108">
        <f t="shared" si="12"/>
        <v>-95.437605602738699</v>
      </c>
      <c r="Q42" s="109">
        <f t="shared" si="13"/>
        <v>0.9132385403611466</v>
      </c>
      <c r="R42" s="322"/>
      <c r="S42" s="46">
        <v>0.32777777777777783</v>
      </c>
      <c r="T42" s="47">
        <v>0.35751157407407413</v>
      </c>
      <c r="U42" s="110">
        <v>15</v>
      </c>
      <c r="V42" s="111">
        <v>42.824617206392695</v>
      </c>
      <c r="W42" s="112"/>
      <c r="X42" s="115"/>
      <c r="Y42" s="331"/>
      <c r="Z42" s="332"/>
      <c r="AA42" s="116">
        <f t="shared" si="14"/>
        <v>-286.31281680821621</v>
      </c>
      <c r="AB42" s="109">
        <f t="shared" si="15"/>
        <v>0.9132385403611466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4881</v>
      </c>
      <c r="G43" s="102">
        <f t="shared" si="16"/>
        <v>68480.429999999993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2738.3161146167413</v>
      </c>
      <c r="N43" s="105">
        <f t="shared" si="10"/>
        <v>912.77203820558043</v>
      </c>
      <c r="O43" s="107">
        <f t="shared" si="11"/>
        <v>0</v>
      </c>
      <c r="P43" s="108">
        <f t="shared" si="12"/>
        <v>-87.227961794419571</v>
      </c>
      <c r="Q43" s="109">
        <f t="shared" si="13"/>
        <v>0.91277203820558039</v>
      </c>
      <c r="R43" s="322"/>
      <c r="S43" s="46">
        <v>0.36736111111111119</v>
      </c>
      <c r="T43" s="47">
        <v>0.44162037037037044</v>
      </c>
      <c r="U43" s="110">
        <v>15</v>
      </c>
      <c r="V43" s="111">
        <v>106.94893786614155</v>
      </c>
      <c r="W43" s="112"/>
      <c r="X43" s="115"/>
      <c r="Y43" s="331"/>
      <c r="Z43" s="332"/>
      <c r="AA43" s="116">
        <f t="shared" si="14"/>
        <v>-261.68388538325871</v>
      </c>
      <c r="AB43" s="109">
        <f t="shared" si="15"/>
        <v>0.91277203820558039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6772</v>
      </c>
      <c r="G44" s="120">
        <f t="shared" si="16"/>
        <v>96704.159999999989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3211.4652368905504</v>
      </c>
      <c r="N44" s="105">
        <f t="shared" si="10"/>
        <v>1070.4884122968501</v>
      </c>
      <c r="O44" s="107">
        <f t="shared" si="11"/>
        <v>0</v>
      </c>
      <c r="P44" s="108">
        <f t="shared" si="12"/>
        <v>-129.51158770314987</v>
      </c>
      <c r="Q44" s="109">
        <f t="shared" si="13"/>
        <v>0.89207367691404182</v>
      </c>
      <c r="R44" s="322"/>
      <c r="S44" s="46">
        <v>0.45138888888888901</v>
      </c>
      <c r="T44" s="119">
        <v>0.53924768518518529</v>
      </c>
      <c r="U44" s="110">
        <v>15</v>
      </c>
      <c r="V44" s="111">
        <v>126.52168715156725</v>
      </c>
      <c r="W44" s="112"/>
      <c r="X44" s="115"/>
      <c r="Y44" s="331"/>
      <c r="Z44" s="332"/>
      <c r="AA44" s="116">
        <f t="shared" si="14"/>
        <v>-388.53476310944961</v>
      </c>
      <c r="AB44" s="109">
        <f t="shared" si="15"/>
        <v>0.89207367691404182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3101.4366754140651</v>
      </c>
      <c r="N55" s="137">
        <f t="shared" ref="N55:N62" si="22">M55/L55</f>
        <v>845.84636602201783</v>
      </c>
      <c r="O55" s="138">
        <f t="shared" ref="O55:O62" si="23">L55-I55</f>
        <v>0</v>
      </c>
      <c r="P55" s="139">
        <f t="shared" ref="P55:P62" si="24">N55-K55</f>
        <v>-95.062724887073159</v>
      </c>
      <c r="Q55" s="140">
        <f t="shared" ref="Q55:Q62" si="25">N55/K55</f>
        <v>0.89896715229393187</v>
      </c>
      <c r="R55" s="323"/>
      <c r="S55" s="141">
        <v>0.25</v>
      </c>
      <c r="T55" s="142">
        <v>0.53924768518518529</v>
      </c>
      <c r="U55" s="143"/>
      <c r="V55" s="165"/>
      <c r="W55" s="98"/>
      <c r="X55" s="68"/>
      <c r="Y55" s="353"/>
      <c r="Z55" s="354"/>
      <c r="AA55" s="167">
        <f t="shared" ref="AA55:AA62" si="26">M55-J55</f>
        <v>-348.56332458593488</v>
      </c>
      <c r="AB55" s="140">
        <f t="shared" ref="AB55:AB62" si="27">M55/J55</f>
        <v>0.89896715229393187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1672</v>
      </c>
      <c r="G56" s="147">
        <f t="shared" ref="G56:G62" si="28">E56*F56</f>
        <v>34643.839999999997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3214.7583578594536</v>
      </c>
      <c r="N56" s="151">
        <f t="shared" si="22"/>
        <v>1071.5861192864845</v>
      </c>
      <c r="O56" s="153">
        <f t="shared" si="23"/>
        <v>0</v>
      </c>
      <c r="P56" s="154">
        <f t="shared" si="24"/>
        <v>-128.41388071351548</v>
      </c>
      <c r="Q56" s="155">
        <f t="shared" si="25"/>
        <v>0.89298843273873707</v>
      </c>
      <c r="R56" s="321">
        <f>Q72</f>
        <v>0.89534425053631606</v>
      </c>
      <c r="S56" s="156">
        <v>0.25</v>
      </c>
      <c r="T56" s="157">
        <v>0.27166666666666667</v>
      </c>
      <c r="U56" s="158"/>
      <c r="V56" s="159">
        <v>31.206077979309789</v>
      </c>
      <c r="W56" s="157"/>
      <c r="X56" s="168"/>
      <c r="Y56" s="324"/>
      <c r="Z56" s="325"/>
      <c r="AA56" s="114">
        <f t="shared" si="26"/>
        <v>-385.24164214054645</v>
      </c>
      <c r="AB56" s="155">
        <f t="shared" si="27"/>
        <v>0.89298843273873707</v>
      </c>
      <c r="AC56" s="326">
        <f>AB72</f>
        <v>0.89534425053631594</v>
      </c>
    </row>
    <row r="57" spans="1:29" ht="15.75" customHeight="1">
      <c r="A57" s="356"/>
      <c r="B57" s="99" t="s">
        <v>121</v>
      </c>
      <c r="C57" s="329" t="s">
        <v>232</v>
      </c>
      <c r="D57" s="330"/>
      <c r="E57" s="100">
        <v>23.72</v>
      </c>
      <c r="F57" s="101">
        <v>727</v>
      </c>
      <c r="G57" s="102">
        <f t="shared" si="28"/>
        <v>17244.439999999999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3213.9111494849394</v>
      </c>
      <c r="N57" s="105">
        <f t="shared" si="22"/>
        <v>642.78222989698793</v>
      </c>
      <c r="O57" s="107">
        <f t="shared" si="23"/>
        <v>0</v>
      </c>
      <c r="P57" s="108">
        <f t="shared" si="24"/>
        <v>-77.217770103012072</v>
      </c>
      <c r="Q57" s="109">
        <f t="shared" si="25"/>
        <v>0.89275309707914985</v>
      </c>
      <c r="R57" s="322"/>
      <c r="S57" s="46">
        <v>0.28194444444444444</v>
      </c>
      <c r="T57" s="47">
        <v>0.29136574074074073</v>
      </c>
      <c r="U57" s="110">
        <v>14.799999999999995</v>
      </c>
      <c r="V57" s="111">
        <v>13.572248258011282</v>
      </c>
      <c r="W57" s="112"/>
      <c r="X57" s="13"/>
      <c r="Y57" s="331"/>
      <c r="Z57" s="332"/>
      <c r="AA57" s="116">
        <f t="shared" si="26"/>
        <v>-386.08885051506059</v>
      </c>
      <c r="AB57" s="109">
        <f t="shared" si="27"/>
        <v>0.89275309707914985</v>
      </c>
      <c r="AC57" s="327"/>
    </row>
    <row r="58" spans="1:29" ht="15.75" customHeight="1">
      <c r="A58" s="356"/>
      <c r="B58" s="99" t="s">
        <v>121</v>
      </c>
      <c r="C58" s="329" t="s">
        <v>135</v>
      </c>
      <c r="D58" s="330"/>
      <c r="E58" s="100">
        <v>30</v>
      </c>
      <c r="F58" s="101">
        <v>1958</v>
      </c>
      <c r="G58" s="102">
        <f t="shared" si="28"/>
        <v>58740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3214.5906743701644</v>
      </c>
      <c r="N58" s="105">
        <f t="shared" si="22"/>
        <v>803.64766859254109</v>
      </c>
      <c r="O58" s="107">
        <f t="shared" si="23"/>
        <v>0</v>
      </c>
      <c r="P58" s="108">
        <f t="shared" si="24"/>
        <v>-96.352331407458905</v>
      </c>
      <c r="Q58" s="109">
        <f t="shared" si="25"/>
        <v>0.89294185399171233</v>
      </c>
      <c r="R58" s="322"/>
      <c r="S58" s="46">
        <v>0.30138888888888893</v>
      </c>
      <c r="T58" s="47">
        <v>0.3267592592592593</v>
      </c>
      <c r="U58" s="110">
        <v>15</v>
      </c>
      <c r="V58" s="111">
        <v>36.545865990548826</v>
      </c>
      <c r="W58" s="112"/>
      <c r="X58" s="13"/>
      <c r="Y58" s="331"/>
      <c r="Z58" s="332"/>
      <c r="AA58" s="116">
        <f t="shared" si="26"/>
        <v>-385.40932562983562</v>
      </c>
      <c r="AB58" s="109">
        <f t="shared" si="27"/>
        <v>0.89294185399171233</v>
      </c>
      <c r="AC58" s="327"/>
    </row>
    <row r="59" spans="1:29" ht="15.75" customHeight="1">
      <c r="A59" s="356"/>
      <c r="B59" s="99" t="s">
        <v>121</v>
      </c>
      <c r="C59" s="329" t="s">
        <v>136</v>
      </c>
      <c r="D59" s="330"/>
      <c r="E59" s="100">
        <v>30</v>
      </c>
      <c r="F59" s="101">
        <v>2281</v>
      </c>
      <c r="G59" s="102">
        <f t="shared" si="28"/>
        <v>68430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3012.0651217523928</v>
      </c>
      <c r="N59" s="105">
        <f t="shared" si="22"/>
        <v>753.01628043809819</v>
      </c>
      <c r="O59" s="107">
        <f t="shared" si="23"/>
        <v>0</v>
      </c>
      <c r="P59" s="108">
        <f t="shared" si="24"/>
        <v>-71.983719561901808</v>
      </c>
      <c r="Q59" s="109">
        <f t="shared" si="25"/>
        <v>0.91274700659163421</v>
      </c>
      <c r="R59" s="322"/>
      <c r="S59" s="46">
        <v>0.33680555555555564</v>
      </c>
      <c r="T59" s="47">
        <v>0.36835648148148159</v>
      </c>
      <c r="U59" s="110">
        <v>15</v>
      </c>
      <c r="V59" s="111">
        <v>45.437264623407636</v>
      </c>
      <c r="W59" s="112"/>
      <c r="X59" s="115"/>
      <c r="Y59" s="331"/>
      <c r="Z59" s="332"/>
      <c r="AA59" s="116">
        <f t="shared" si="26"/>
        <v>-287.93487824760723</v>
      </c>
      <c r="AB59" s="109">
        <f t="shared" si="27"/>
        <v>0.91274700659163421</v>
      </c>
      <c r="AC59" s="327"/>
    </row>
    <row r="60" spans="1:29" ht="15.75" customHeight="1">
      <c r="A60" s="357"/>
      <c r="B60" s="99" t="s">
        <v>121</v>
      </c>
      <c r="C60" s="329" t="s">
        <v>137</v>
      </c>
      <c r="D60" s="330"/>
      <c r="E60" s="100">
        <v>27.48</v>
      </c>
      <c r="F60" s="101">
        <v>3668</v>
      </c>
      <c r="G60" s="102">
        <f t="shared" si="28"/>
        <v>100796.64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3214.8058765915907</v>
      </c>
      <c r="N60" s="105">
        <f t="shared" si="22"/>
        <v>642.96117531831817</v>
      </c>
      <c r="O60" s="107">
        <f t="shared" si="23"/>
        <v>0</v>
      </c>
      <c r="P60" s="108">
        <f t="shared" si="24"/>
        <v>-77.038824681681831</v>
      </c>
      <c r="Q60" s="109">
        <f t="shared" si="25"/>
        <v>0.89300163238655306</v>
      </c>
      <c r="R60" s="322"/>
      <c r="S60" s="46">
        <v>0.37847222222222232</v>
      </c>
      <c r="T60" s="47">
        <v>0.42600694444444454</v>
      </c>
      <c r="U60" s="110">
        <v>14.566666666666652</v>
      </c>
      <c r="V60" s="111">
        <v>68.458254852182165</v>
      </c>
      <c r="W60" s="112"/>
      <c r="X60" s="115"/>
      <c r="Y60" s="331"/>
      <c r="Z60" s="332"/>
      <c r="AA60" s="116">
        <f t="shared" si="26"/>
        <v>-385.19412340840927</v>
      </c>
      <c r="AB60" s="109">
        <f t="shared" si="27"/>
        <v>0.89300163238655295</v>
      </c>
      <c r="AC60" s="327"/>
    </row>
    <row r="61" spans="1:29" ht="15.75" customHeight="1">
      <c r="A61" s="357"/>
      <c r="B61" s="99" t="s">
        <v>121</v>
      </c>
      <c r="C61" s="329" t="s">
        <v>138</v>
      </c>
      <c r="D61" s="330"/>
      <c r="E61" s="100">
        <v>18.18</v>
      </c>
      <c r="F61" s="101">
        <v>2203</v>
      </c>
      <c r="G61" s="120">
        <f t="shared" si="28"/>
        <v>40050.54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3211.5662807528697</v>
      </c>
      <c r="N61" s="105">
        <f t="shared" si="22"/>
        <v>1070.5220935842899</v>
      </c>
      <c r="O61" s="107">
        <f t="shared" si="23"/>
        <v>0</v>
      </c>
      <c r="P61" s="108">
        <f t="shared" si="24"/>
        <v>-129.47790641571009</v>
      </c>
      <c r="Q61" s="109">
        <f t="shared" si="25"/>
        <v>0.89210174465357495</v>
      </c>
      <c r="R61" s="322"/>
      <c r="S61" s="46">
        <v>0.43611111111111123</v>
      </c>
      <c r="T61" s="119">
        <v>0.46468750000000014</v>
      </c>
      <c r="U61" s="110">
        <v>14.550000000000036</v>
      </c>
      <c r="V61" s="111">
        <v>41.157487794090855</v>
      </c>
      <c r="W61" s="112"/>
      <c r="X61" s="49"/>
      <c r="Y61" s="331"/>
      <c r="Z61" s="332"/>
      <c r="AA61" s="116">
        <f t="shared" si="26"/>
        <v>-388.43371924713028</v>
      </c>
      <c r="AB61" s="109">
        <f t="shared" si="27"/>
        <v>0.89210174465357495</v>
      </c>
      <c r="AC61" s="327"/>
    </row>
    <row r="62" spans="1:29" ht="15.75" customHeight="1">
      <c r="A62" s="357"/>
      <c r="B62" s="99" t="s">
        <v>121</v>
      </c>
      <c r="C62" s="329" t="s">
        <v>139</v>
      </c>
      <c r="D62" s="330"/>
      <c r="E62" s="100">
        <v>16.66</v>
      </c>
      <c r="F62" s="101">
        <v>5492</v>
      </c>
      <c r="G62" s="120">
        <f t="shared" si="28"/>
        <v>91496.72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3212.3743775428579</v>
      </c>
      <c r="N62" s="105">
        <f t="shared" si="22"/>
        <v>642.47487550857159</v>
      </c>
      <c r="O62" s="122">
        <f t="shared" si="23"/>
        <v>0</v>
      </c>
      <c r="P62" s="123">
        <f t="shared" si="24"/>
        <v>-77.525124491428414</v>
      </c>
      <c r="Q62" s="124">
        <f t="shared" si="25"/>
        <v>0.8923262159841272</v>
      </c>
      <c r="R62" s="322"/>
      <c r="S62" s="46">
        <v>0.47500000000000014</v>
      </c>
      <c r="T62" s="119">
        <v>0.54622685185185205</v>
      </c>
      <c r="U62" s="110">
        <v>14.850000000000003</v>
      </c>
      <c r="V62" s="111">
        <v>102.57833031654596</v>
      </c>
      <c r="W62" s="112"/>
      <c r="X62" s="115"/>
      <c r="Y62" s="331"/>
      <c r="Z62" s="332"/>
      <c r="AA62" s="116">
        <f t="shared" si="26"/>
        <v>-387.62562245714207</v>
      </c>
      <c r="AB62" s="109">
        <f t="shared" si="27"/>
        <v>0.8923262159841272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3184.8674054791813</v>
      </c>
      <c r="N72" s="137">
        <f>M72/L72</f>
        <v>768.76109787428504</v>
      </c>
      <c r="O72" s="138">
        <f>L72-I72</f>
        <v>0</v>
      </c>
      <c r="P72" s="139">
        <f>N72-K72</f>
        <v>-89.859591780887285</v>
      </c>
      <c r="Q72" s="140">
        <f>N72/K72</f>
        <v>0.89534425053631606</v>
      </c>
      <c r="R72" s="323"/>
      <c r="S72" s="141">
        <v>0.25</v>
      </c>
      <c r="T72" s="142">
        <v>0.54622685185185205</v>
      </c>
      <c r="U72" s="143"/>
      <c r="V72" s="165"/>
      <c r="W72" s="166"/>
      <c r="X72" s="137"/>
      <c r="Y72" s="353"/>
      <c r="Z72" s="354"/>
      <c r="AA72" s="167">
        <f>M72-J72</f>
        <v>-372.27545166367599</v>
      </c>
      <c r="AB72" s="140">
        <f>M72/J72</f>
        <v>0.89534425053631594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1627</v>
      </c>
      <c r="G73" s="147">
        <f t="shared" ref="G73:G75" si="33">E73*F73</f>
        <v>46483.39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3123.5794291820803</v>
      </c>
      <c r="N73" s="151">
        <f>M73/L73</f>
        <v>260.29828576517338</v>
      </c>
      <c r="O73" s="153">
        <f>L73-I73</f>
        <v>0</v>
      </c>
      <c r="P73" s="154">
        <f>N73-K73</f>
        <v>-39.701714234826625</v>
      </c>
      <c r="Q73" s="155">
        <f>N73/K73</f>
        <v>0.86766095255057796</v>
      </c>
      <c r="R73" s="321">
        <f>Q89</f>
        <v>0.89377319402275746</v>
      </c>
      <c r="S73" s="156">
        <v>0.70833333333333337</v>
      </c>
      <c r="T73" s="157">
        <v>0.73003472222222221</v>
      </c>
      <c r="U73" s="158"/>
      <c r="V73" s="159">
        <v>31.252606893227661</v>
      </c>
      <c r="W73" s="157"/>
      <c r="X73" s="168"/>
      <c r="Y73" s="324"/>
      <c r="Z73" s="325"/>
      <c r="AA73" s="114">
        <f>M73-J73</f>
        <v>-476.42057081791972</v>
      </c>
      <c r="AB73" s="155">
        <f>M73/J73</f>
        <v>0.86766095255057785</v>
      </c>
      <c r="AC73" s="326">
        <f>AB89</f>
        <v>0.89377319402275757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667</v>
      </c>
      <c r="G74" s="102">
        <f t="shared" si="33"/>
        <v>11812.57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3264.9813009844211</v>
      </c>
      <c r="N74" s="105">
        <f>M74/L74</f>
        <v>652.99626019688424</v>
      </c>
      <c r="O74" s="107">
        <f>L74-I74</f>
        <v>0</v>
      </c>
      <c r="P74" s="108">
        <f>N74-K74</f>
        <v>-67.003739803115764</v>
      </c>
      <c r="Q74" s="109">
        <f>N74/K74</f>
        <v>0.90693925027345035</v>
      </c>
      <c r="R74" s="322"/>
      <c r="S74" s="46">
        <v>0.73333333333333339</v>
      </c>
      <c r="T74" s="47">
        <v>0.74184027777777783</v>
      </c>
      <c r="U74" s="110">
        <v>4.750000000000103</v>
      </c>
      <c r="V74" s="111">
        <v>12.257344318613283</v>
      </c>
      <c r="W74" s="112"/>
      <c r="X74" s="13"/>
      <c r="Y74" s="331"/>
      <c r="Z74" s="332"/>
      <c r="AA74" s="116">
        <f>M74-J74</f>
        <v>-335.01869901557893</v>
      </c>
      <c r="AB74" s="109">
        <f>M74/J74</f>
        <v>0.90693925027345035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1241</v>
      </c>
      <c r="G75" s="102">
        <f t="shared" si="33"/>
        <v>23479.72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3264.1897652792809</v>
      </c>
      <c r="N75" s="105">
        <f>M75/L75</f>
        <v>652.83795305585613</v>
      </c>
      <c r="O75" s="107">
        <f>L75-I75</f>
        <v>0</v>
      </c>
      <c r="P75" s="108">
        <f>N75-K75</f>
        <v>-67.162046944143867</v>
      </c>
      <c r="Q75" s="109">
        <f>N75/K75</f>
        <v>0.90671937924424462</v>
      </c>
      <c r="R75" s="322"/>
      <c r="S75" s="46">
        <v>0.74513888888888891</v>
      </c>
      <c r="T75" s="47">
        <v>0.76097222222222227</v>
      </c>
      <c r="U75" s="110">
        <v>4.7499999999999432</v>
      </c>
      <c r="V75" s="111">
        <v>22.811173784079699</v>
      </c>
      <c r="W75" s="112"/>
      <c r="X75" s="13"/>
      <c r="Y75" s="331"/>
      <c r="Z75" s="332"/>
      <c r="AA75" s="116">
        <f>M75-J75</f>
        <v>-335.81023472071911</v>
      </c>
      <c r="AB75" s="109">
        <f>M75/J75</f>
        <v>0.90671937924424473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3217.5834984819271</v>
      </c>
      <c r="N89" s="137">
        <f t="shared" ref="N89:N94" si="37">M89/L89</f>
        <v>438.76138615662643</v>
      </c>
      <c r="O89" s="138">
        <f t="shared" ref="O89:O94" si="38">L89-I89</f>
        <v>0</v>
      </c>
      <c r="P89" s="139">
        <f t="shared" ref="P89:P94" si="39">N89-K89</f>
        <v>-52.147704752464506</v>
      </c>
      <c r="Q89" s="140">
        <f t="shared" ref="Q89:Q94" si="40">N89/K89</f>
        <v>0.89377319402275746</v>
      </c>
      <c r="R89" s="323"/>
      <c r="S89" s="141">
        <v>0.70833333333333337</v>
      </c>
      <c r="T89" s="142">
        <v>0.76097222222222227</v>
      </c>
      <c r="U89" s="143"/>
      <c r="V89" s="165"/>
      <c r="W89" s="166"/>
      <c r="X89" s="137"/>
      <c r="Y89" s="353"/>
      <c r="Z89" s="354"/>
      <c r="AA89" s="167">
        <f t="shared" ref="AA89:AA94" si="41">M89-J89</f>
        <v>-382.41650151807289</v>
      </c>
      <c r="AB89" s="140">
        <f t="shared" ref="AB89:AB94" si="42">M89/J89</f>
        <v>0.89377319402275757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607</v>
      </c>
      <c r="G90" s="147">
        <f t="shared" ref="G90:G94" si="43">E90*F90</f>
        <v>14124.89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2737.5771411010992</v>
      </c>
      <c r="N90" s="151">
        <f t="shared" si="37"/>
        <v>547.51542822021986</v>
      </c>
      <c r="O90" s="153">
        <f t="shared" si="38"/>
        <v>0</v>
      </c>
      <c r="P90" s="154">
        <f t="shared" si="39"/>
        <v>-52.48457177978014</v>
      </c>
      <c r="Q90" s="155">
        <f t="shared" si="40"/>
        <v>0.91252571370036639</v>
      </c>
      <c r="R90" s="321">
        <f>Q106</f>
        <v>0.91241262799937739</v>
      </c>
      <c r="S90" s="156">
        <v>0.70833333333333337</v>
      </c>
      <c r="T90" s="157">
        <v>0.71756944444444448</v>
      </c>
      <c r="U90" s="158"/>
      <c r="V90" s="159">
        <v>13.303734697810659</v>
      </c>
      <c r="W90" s="160"/>
      <c r="X90" s="161"/>
      <c r="Y90" s="324"/>
      <c r="Z90" s="325"/>
      <c r="AA90" s="114">
        <f t="shared" si="41"/>
        <v>-262.42285889890081</v>
      </c>
      <c r="AB90" s="155">
        <f t="shared" si="42"/>
        <v>0.91252571370036639</v>
      </c>
      <c r="AC90" s="326">
        <f>AB106</f>
        <v>0.91241262799937739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1469</v>
      </c>
      <c r="G91" s="102">
        <f t="shared" si="43"/>
        <v>36049.26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2740.4479127777176</v>
      </c>
      <c r="N91" s="105">
        <f t="shared" si="37"/>
        <v>685.11197819442941</v>
      </c>
      <c r="O91" s="107">
        <f t="shared" si="38"/>
        <v>0</v>
      </c>
      <c r="P91" s="108">
        <f t="shared" si="39"/>
        <v>-64.888021805570588</v>
      </c>
      <c r="Q91" s="109">
        <f t="shared" si="40"/>
        <v>0.91348263759257253</v>
      </c>
      <c r="R91" s="322"/>
      <c r="S91" s="46">
        <v>0.72083333333333333</v>
      </c>
      <c r="T91" s="47">
        <v>0.74315972222222226</v>
      </c>
      <c r="U91" s="110">
        <v>4.6999999999999353</v>
      </c>
      <c r="V91" s="111">
        <v>32.162625528854264</v>
      </c>
      <c r="W91" s="112"/>
      <c r="X91" s="115"/>
      <c r="Y91" s="331"/>
      <c r="Z91" s="332"/>
      <c r="AA91" s="116">
        <f t="shared" si="41"/>
        <v>-259.55208722228235</v>
      </c>
      <c r="AB91" s="109">
        <f t="shared" si="42"/>
        <v>0.91348263759257253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1540</v>
      </c>
      <c r="G92" s="102">
        <f t="shared" si="43"/>
        <v>37468.199999999997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2736.3850913032716</v>
      </c>
      <c r="N92" s="105">
        <f t="shared" si="37"/>
        <v>684.09627282581789</v>
      </c>
      <c r="O92" s="107">
        <f t="shared" si="38"/>
        <v>0</v>
      </c>
      <c r="P92" s="108">
        <f t="shared" si="39"/>
        <v>-65.903727174182109</v>
      </c>
      <c r="Q92" s="109">
        <f t="shared" si="40"/>
        <v>0.91212836376775719</v>
      </c>
      <c r="R92" s="322"/>
      <c r="S92" s="46">
        <v>0.74722222222222223</v>
      </c>
      <c r="T92" s="47">
        <v>0.77067129629629627</v>
      </c>
      <c r="U92" s="110">
        <v>5.8499999999999552</v>
      </c>
      <c r="V92" s="111">
        <v>33.767177102983048</v>
      </c>
      <c r="W92" s="112"/>
      <c r="X92" s="115"/>
      <c r="Y92" s="331"/>
      <c r="Z92" s="332"/>
      <c r="AA92" s="116">
        <f t="shared" si="41"/>
        <v>-263.61490869672843</v>
      </c>
      <c r="AB92" s="109">
        <f t="shared" si="42"/>
        <v>0.91212836376775719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1672</v>
      </c>
      <c r="G93" s="102">
        <f t="shared" si="43"/>
        <v>37252.160000000003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3009.6387743904629</v>
      </c>
      <c r="N93" s="105">
        <f t="shared" si="37"/>
        <v>601.92775487809263</v>
      </c>
      <c r="O93" s="107">
        <f t="shared" si="38"/>
        <v>0</v>
      </c>
      <c r="P93" s="108">
        <f t="shared" si="39"/>
        <v>-58.072245121907372</v>
      </c>
      <c r="Q93" s="109">
        <f t="shared" si="40"/>
        <v>0.91201174981529187</v>
      </c>
      <c r="R93" s="322"/>
      <c r="S93" s="46">
        <v>0.77430555555555558</v>
      </c>
      <c r="T93" s="47">
        <v>0.79744212962962968</v>
      </c>
      <c r="U93" s="110">
        <v>5.2333333333334053</v>
      </c>
      <c r="V93" s="111">
        <v>33.332903886552842</v>
      </c>
      <c r="W93" s="112"/>
      <c r="X93" s="115"/>
      <c r="Y93" s="331"/>
      <c r="Z93" s="332"/>
      <c r="AA93" s="116">
        <f t="shared" si="41"/>
        <v>-290.36122560953709</v>
      </c>
      <c r="AB93" s="109">
        <f t="shared" si="42"/>
        <v>0.91201174981529176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5715</v>
      </c>
      <c r="G94" s="102">
        <f t="shared" si="43"/>
        <v>102241.35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3009.5880772177352</v>
      </c>
      <c r="N94" s="105">
        <f t="shared" si="37"/>
        <v>752.3970193044338</v>
      </c>
      <c r="O94" s="107">
        <f t="shared" si="38"/>
        <v>0</v>
      </c>
      <c r="P94" s="108">
        <f t="shared" si="39"/>
        <v>-72.602980695566202</v>
      </c>
      <c r="Q94" s="109">
        <f t="shared" si="40"/>
        <v>0.91199638703567731</v>
      </c>
      <c r="R94" s="322"/>
      <c r="S94" s="46">
        <v>0.80069444444444449</v>
      </c>
      <c r="T94" s="47">
        <v>0.87981481481481483</v>
      </c>
      <c r="U94" s="110">
        <v>4.6833333333333194</v>
      </c>
      <c r="V94" s="111">
        <v>113.9358580650013</v>
      </c>
      <c r="W94" s="112"/>
      <c r="X94" s="115"/>
      <c r="Y94" s="331"/>
      <c r="Z94" s="332"/>
      <c r="AA94" s="116">
        <f t="shared" si="41"/>
        <v>-290.41192278226481</v>
      </c>
      <c r="AB94" s="109">
        <f t="shared" si="42"/>
        <v>0.91199638703567731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2846.7273993580575</v>
      </c>
      <c r="N106" s="137">
        <f t="shared" ref="N106:N114" si="48">M106/L106</f>
        <v>646.98349985410391</v>
      </c>
      <c r="O106" s="138">
        <f t="shared" ref="O106:O114" si="49">L106-I106</f>
        <v>0</v>
      </c>
      <c r="P106" s="139">
        <f t="shared" ref="P106:P114" si="50">N106-K106</f>
        <v>-62.107409236805097</v>
      </c>
      <c r="Q106" s="140">
        <f t="shared" ref="Q106:Q114" si="51">N106/K106</f>
        <v>0.91241262799937739</v>
      </c>
      <c r="R106" s="323"/>
      <c r="S106" s="141">
        <v>0.70833333333333337</v>
      </c>
      <c r="T106" s="142">
        <v>0.87981481481481483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-273.27260064194252</v>
      </c>
      <c r="AB106" s="140">
        <f t="shared" ref="AB106:AB114" si="53">M106/J106</f>
        <v>0.91241262799937739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737</v>
      </c>
      <c r="G107" s="147">
        <f t="shared" ref="G107:G114" si="54">E107*F107</f>
        <v>13398.66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2739.7541168696371</v>
      </c>
      <c r="N107" s="151">
        <f t="shared" si="48"/>
        <v>913.25137228987899</v>
      </c>
      <c r="O107" s="153">
        <f t="shared" si="49"/>
        <v>0</v>
      </c>
      <c r="P107" s="154">
        <f t="shared" si="50"/>
        <v>-86.748627710121013</v>
      </c>
      <c r="Q107" s="155">
        <f t="shared" si="51"/>
        <v>0.91325137228987896</v>
      </c>
      <c r="R107" s="321">
        <f>Q123</f>
        <v>0.90173953986493582</v>
      </c>
      <c r="S107" s="156">
        <v>0.73124999999999996</v>
      </c>
      <c r="T107" s="157">
        <v>0.74245370370370367</v>
      </c>
      <c r="U107" s="158"/>
      <c r="V107" s="159">
        <v>16.140134520730086</v>
      </c>
      <c r="W107" s="160"/>
      <c r="X107" s="161"/>
      <c r="Y107" s="324"/>
      <c r="Z107" s="325"/>
      <c r="AA107" s="114">
        <f t="shared" si="52"/>
        <v>-260.24588313036293</v>
      </c>
      <c r="AB107" s="155">
        <f t="shared" si="53"/>
        <v>0.91325137228987907</v>
      </c>
      <c r="AC107" s="326">
        <f>AB123</f>
        <v>0.90173953986493582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403</v>
      </c>
      <c r="G108" s="102">
        <f t="shared" si="54"/>
        <v>7326.54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3211.082942538671</v>
      </c>
      <c r="N108" s="105">
        <f t="shared" si="48"/>
        <v>1070.3609808462236</v>
      </c>
      <c r="O108" s="107">
        <f t="shared" si="49"/>
        <v>0</v>
      </c>
      <c r="P108" s="108">
        <f t="shared" si="50"/>
        <v>-129.63901915377642</v>
      </c>
      <c r="Q108" s="109">
        <f t="shared" si="51"/>
        <v>0.89196748403851966</v>
      </c>
      <c r="R108" s="322"/>
      <c r="S108" s="46">
        <v>0.75277777777777766</v>
      </c>
      <c r="T108" s="47">
        <v>0.75799768518518507</v>
      </c>
      <c r="U108" s="110">
        <v>14.866666666666539</v>
      </c>
      <c r="V108" s="111">
        <v>7.5301698625334721</v>
      </c>
      <c r="W108" s="112"/>
      <c r="X108" s="115"/>
      <c r="Y108" s="331"/>
      <c r="Z108" s="332"/>
      <c r="AA108" s="116">
        <f t="shared" si="52"/>
        <v>-388.91705746132902</v>
      </c>
      <c r="AB108" s="109">
        <f t="shared" si="53"/>
        <v>0.89196748403851966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2435</v>
      </c>
      <c r="G109" s="102">
        <f t="shared" si="54"/>
        <v>34163.049999999996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2738.2401003867822</v>
      </c>
      <c r="N109" s="105">
        <f t="shared" si="48"/>
        <v>912.74670012892739</v>
      </c>
      <c r="O109" s="107">
        <f t="shared" si="49"/>
        <v>0</v>
      </c>
      <c r="P109" s="108">
        <f t="shared" si="50"/>
        <v>-87.253299871072613</v>
      </c>
      <c r="Q109" s="109">
        <f t="shared" si="51"/>
        <v>0.91274670012892734</v>
      </c>
      <c r="R109" s="322"/>
      <c r="S109" s="46">
        <v>0.76805555555555538</v>
      </c>
      <c r="T109" s="47">
        <v>0.80510416666666651</v>
      </c>
      <c r="U109" s="110">
        <v>15</v>
      </c>
      <c r="V109" s="111">
        <v>53.35543803458399</v>
      </c>
      <c r="W109" s="112"/>
      <c r="X109" s="115"/>
      <c r="Y109" s="331"/>
      <c r="Z109" s="332"/>
      <c r="AA109" s="116">
        <f t="shared" si="52"/>
        <v>-261.75989961321784</v>
      </c>
      <c r="AB109" s="109">
        <f t="shared" si="53"/>
        <v>0.91274670012892734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2924</v>
      </c>
      <c r="G110" s="102">
        <f t="shared" si="54"/>
        <v>41754.720000000001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3213.8847664220634</v>
      </c>
      <c r="N110" s="105">
        <f t="shared" si="48"/>
        <v>1071.2949221406877</v>
      </c>
      <c r="O110" s="107">
        <f t="shared" si="49"/>
        <v>0</v>
      </c>
      <c r="P110" s="108">
        <f t="shared" si="50"/>
        <v>-128.70507785931227</v>
      </c>
      <c r="Q110" s="109">
        <f t="shared" si="51"/>
        <v>0.89274576845057307</v>
      </c>
      <c r="R110" s="322"/>
      <c r="S110" s="46">
        <v>0.81527777777777755</v>
      </c>
      <c r="T110" s="47">
        <v>0.85318287037037011</v>
      </c>
      <c r="U110" s="110">
        <v>14.649999999999892</v>
      </c>
      <c r="V110" s="111">
        <v>54.588142621962433</v>
      </c>
      <c r="W110" s="112"/>
      <c r="X110" s="115"/>
      <c r="Y110" s="331"/>
      <c r="Z110" s="332"/>
      <c r="AA110" s="116">
        <f t="shared" si="52"/>
        <v>-386.11523357793658</v>
      </c>
      <c r="AB110" s="109">
        <f t="shared" si="53"/>
        <v>0.89274576845057318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1489</v>
      </c>
      <c r="G111" s="102">
        <f t="shared" si="54"/>
        <v>27070.02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2739.7541168696371</v>
      </c>
      <c r="N111" s="105">
        <f t="shared" si="48"/>
        <v>913.25137228987899</v>
      </c>
      <c r="O111" s="107">
        <f t="shared" si="49"/>
        <v>0</v>
      </c>
      <c r="P111" s="108">
        <f t="shared" si="50"/>
        <v>-86.748627710121013</v>
      </c>
      <c r="Q111" s="109">
        <f t="shared" si="51"/>
        <v>0.91325137228987896</v>
      </c>
      <c r="R111" s="322"/>
      <c r="S111" s="46">
        <v>0.86319444444444415</v>
      </c>
      <c r="T111" s="47">
        <v>0.88583333333333303</v>
      </c>
      <c r="U111" s="110">
        <v>15</v>
      </c>
      <c r="V111" s="111">
        <v>32.608765673496741</v>
      </c>
      <c r="W111" s="112"/>
      <c r="X111" s="115"/>
      <c r="Y111" s="331"/>
      <c r="Z111" s="332"/>
      <c r="AA111" s="116">
        <f t="shared" si="52"/>
        <v>-260.24588313036293</v>
      </c>
      <c r="AB111" s="109">
        <f t="shared" si="53"/>
        <v>0.91325137228987907</v>
      </c>
      <c r="AC111" s="327"/>
    </row>
    <row r="112" spans="1:29" ht="15.75" customHeight="1">
      <c r="A112" s="317"/>
      <c r="B112" s="99" t="s">
        <v>121</v>
      </c>
      <c r="C112" s="329" t="s">
        <v>152</v>
      </c>
      <c r="D112" s="330"/>
      <c r="E112" s="100">
        <v>18.18</v>
      </c>
      <c r="F112" s="101">
        <v>935</v>
      </c>
      <c r="G112" s="120">
        <f t="shared" si="54"/>
        <v>16998.3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3211.0829425386701</v>
      </c>
      <c r="N112" s="105">
        <f t="shared" si="48"/>
        <v>1070.3609808462234</v>
      </c>
      <c r="O112" s="107">
        <f t="shared" si="49"/>
        <v>0</v>
      </c>
      <c r="P112" s="108">
        <f t="shared" si="50"/>
        <v>-129.63901915377664</v>
      </c>
      <c r="Q112" s="109">
        <f t="shared" si="51"/>
        <v>0.89196748403851944</v>
      </c>
      <c r="R112" s="322"/>
      <c r="S112" s="46">
        <v>0.89583333333333304</v>
      </c>
      <c r="T112" s="119">
        <v>0.90796296296296264</v>
      </c>
      <c r="U112" s="110">
        <v>15</v>
      </c>
      <c r="V112" s="111">
        <v>17.470741492478407</v>
      </c>
      <c r="W112" s="112"/>
      <c r="X112" s="115"/>
      <c r="Y112" s="331"/>
      <c r="Z112" s="332"/>
      <c r="AA112" s="116">
        <f t="shared" si="52"/>
        <v>-388.91705746132993</v>
      </c>
      <c r="AB112" s="109">
        <f t="shared" si="53"/>
        <v>0.89196748403851944</v>
      </c>
      <c r="AC112" s="327"/>
    </row>
    <row r="113" spans="1:29" ht="15.75" customHeight="1">
      <c r="A113" s="317"/>
      <c r="B113" s="99" t="s">
        <v>121</v>
      </c>
      <c r="C113" s="329" t="s">
        <v>153</v>
      </c>
      <c r="D113" s="330"/>
      <c r="E113" s="100">
        <v>14.03</v>
      </c>
      <c r="F113" s="101">
        <v>6179</v>
      </c>
      <c r="G113" s="120">
        <f t="shared" si="54"/>
        <v>86691.37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2738.2401003867817</v>
      </c>
      <c r="N113" s="105">
        <f t="shared" si="48"/>
        <v>912.74670012892727</v>
      </c>
      <c r="O113" s="122">
        <f t="shared" si="49"/>
        <v>0</v>
      </c>
      <c r="P113" s="123">
        <f t="shared" si="50"/>
        <v>-87.253299871072727</v>
      </c>
      <c r="Q113" s="124">
        <f t="shared" si="51"/>
        <v>0.91274670012892722</v>
      </c>
      <c r="R113" s="322"/>
      <c r="S113" s="46">
        <v>0.91805555555555518</v>
      </c>
      <c r="T113" s="119">
        <v>1.012071759259259</v>
      </c>
      <c r="U113" s="110">
        <v>14.53333333333326</v>
      </c>
      <c r="V113" s="111">
        <v>135.39353249104497</v>
      </c>
      <c r="W113" s="112"/>
      <c r="X113" s="115"/>
      <c r="Y113" s="331"/>
      <c r="Z113" s="332"/>
      <c r="AA113" s="116">
        <f t="shared" si="52"/>
        <v>-261.75989961321829</v>
      </c>
      <c r="AB113" s="109">
        <f t="shared" si="53"/>
        <v>0.91274670012892722</v>
      </c>
      <c r="AC113" s="327"/>
    </row>
    <row r="114" spans="1:29" ht="15.75" customHeight="1">
      <c r="A114" s="317"/>
      <c r="B114" s="99" t="s">
        <v>121</v>
      </c>
      <c r="C114" s="329" t="s">
        <v>154</v>
      </c>
      <c r="D114" s="330"/>
      <c r="E114" s="100">
        <v>14.28</v>
      </c>
      <c r="F114" s="101">
        <v>7915</v>
      </c>
      <c r="G114" s="120">
        <f t="shared" si="54"/>
        <v>113026.2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3213.8847664220634</v>
      </c>
      <c r="N114" s="105">
        <f t="shared" si="48"/>
        <v>1071.2949221406877</v>
      </c>
      <c r="O114" s="122">
        <f t="shared" si="49"/>
        <v>0</v>
      </c>
      <c r="P114" s="123">
        <f t="shared" si="50"/>
        <v>-128.70507785931227</v>
      </c>
      <c r="Q114" s="124">
        <f t="shared" si="51"/>
        <v>0.89274576845057307</v>
      </c>
      <c r="R114" s="322"/>
      <c r="S114" s="46">
        <v>1.0222222222222219</v>
      </c>
      <c r="T114" s="119">
        <v>1.1248263888888885</v>
      </c>
      <c r="U114" s="110">
        <v>14.61666666666666</v>
      </c>
      <c r="V114" s="111">
        <v>147.76509878687847</v>
      </c>
      <c r="W114" s="112"/>
      <c r="X114" s="115"/>
      <c r="Y114" s="331"/>
      <c r="Z114" s="332"/>
      <c r="AA114" s="116">
        <f t="shared" si="52"/>
        <v>-386.11523357793658</v>
      </c>
      <c r="AB114" s="109">
        <f t="shared" si="53"/>
        <v>0.89274576845057318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2975.7404815542882</v>
      </c>
      <c r="N123" s="137">
        <f t="shared" ref="N123:N135" si="59">M123/L123</f>
        <v>991.91349385142939</v>
      </c>
      <c r="O123" s="138">
        <f t="shared" ref="O123:O135" si="60">L123-I123</f>
        <v>0</v>
      </c>
      <c r="P123" s="139">
        <f t="shared" ref="P123:P135" si="61">N123-K123</f>
        <v>-108.08650614857061</v>
      </c>
      <c r="Q123" s="140">
        <f t="shared" ref="Q123:Q135" si="62">N123/K123</f>
        <v>0.90173953986493582</v>
      </c>
      <c r="R123" s="323"/>
      <c r="S123" s="141">
        <v>0.73124999999999996</v>
      </c>
      <c r="T123" s="142">
        <v>1.1248263888888885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-324.25951844571182</v>
      </c>
      <c r="AB123" s="140">
        <f t="shared" ref="AB123:AB135" si="64">M123/J123</f>
        <v>0.90173953986493582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522</v>
      </c>
      <c r="G124" s="147">
        <f t="shared" ref="G124:G135" si="65">E124*F124</f>
        <v>13065.66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3213.4687436999593</v>
      </c>
      <c r="N124" s="151">
        <f t="shared" si="59"/>
        <v>642.69374873999186</v>
      </c>
      <c r="O124" s="153">
        <f t="shared" si="60"/>
        <v>0</v>
      </c>
      <c r="P124" s="154">
        <f t="shared" si="61"/>
        <v>-77.306251260008139</v>
      </c>
      <c r="Q124" s="155">
        <f t="shared" si="62"/>
        <v>0.89263020658332204</v>
      </c>
      <c r="R124" s="321">
        <f>Q140</f>
        <v>0.89274153215624807</v>
      </c>
      <c r="S124" s="156">
        <v>0.74097222222222225</v>
      </c>
      <c r="T124" s="157">
        <v>0.7477314814814815</v>
      </c>
      <c r="U124" s="158"/>
      <c r="V124" s="159">
        <v>9.7464772487372731</v>
      </c>
      <c r="W124" s="157"/>
      <c r="X124" s="168"/>
      <c r="Y124" s="324"/>
      <c r="Z124" s="325"/>
      <c r="AA124" s="170">
        <f t="shared" si="63"/>
        <v>-386.5312563000407</v>
      </c>
      <c r="AB124" s="155">
        <f t="shared" si="64"/>
        <v>0.89263020658332204</v>
      </c>
      <c r="AC124" s="326">
        <f>AB140</f>
        <v>0.89274153215624807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520</v>
      </c>
      <c r="G125" s="102">
        <f t="shared" si="65"/>
        <v>8684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3217.6438854278299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22"/>
      <c r="S125" s="46">
        <v>0.75763888888888886</v>
      </c>
      <c r="T125" s="47">
        <v>0.76436342592592588</v>
      </c>
      <c r="U125" s="110">
        <v>15</v>
      </c>
      <c r="V125" s="111">
        <v>9.6965360714091364</v>
      </c>
      <c r="W125" s="112"/>
      <c r="X125" s="13"/>
      <c r="Y125" s="331"/>
      <c r="Z125" s="332"/>
      <c r="AA125" s="171">
        <f t="shared" si="63"/>
        <v>-382.3561145721701</v>
      </c>
      <c r="AB125" s="109">
        <f t="shared" si="64"/>
        <v>0.89378996817439715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760</v>
      </c>
      <c r="G126" s="102">
        <f t="shared" si="65"/>
        <v>22800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3210.9600309830334</v>
      </c>
      <c r="N126" s="105">
        <f t="shared" si="59"/>
        <v>802.74000774575836</v>
      </c>
      <c r="O126" s="107">
        <f t="shared" si="60"/>
        <v>0</v>
      </c>
      <c r="P126" s="108">
        <f t="shared" si="61"/>
        <v>-97.259992254241638</v>
      </c>
      <c r="Q126" s="109">
        <f t="shared" si="62"/>
        <v>0.89193334193973151</v>
      </c>
      <c r="R126" s="322"/>
      <c r="S126" s="46">
        <v>0.77430555555555547</v>
      </c>
      <c r="T126" s="47">
        <v>0.78416666666666657</v>
      </c>
      <c r="U126" s="110">
        <v>15</v>
      </c>
      <c r="V126" s="111">
        <v>14.201360203801599</v>
      </c>
      <c r="W126" s="112"/>
      <c r="X126" s="13"/>
      <c r="Y126" s="331"/>
      <c r="Z126" s="332"/>
      <c r="AA126" s="171">
        <f t="shared" si="63"/>
        <v>-389.03996901696655</v>
      </c>
      <c r="AB126" s="109">
        <f t="shared" si="64"/>
        <v>0.89193334193973151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766</v>
      </c>
      <c r="G127" s="102">
        <f t="shared" si="65"/>
        <v>19012.12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3212.673150673058</v>
      </c>
      <c r="N127" s="105">
        <f t="shared" si="59"/>
        <v>642.53463013461158</v>
      </c>
      <c r="O127" s="107">
        <f t="shared" si="60"/>
        <v>0</v>
      </c>
      <c r="P127" s="108">
        <f t="shared" si="61"/>
        <v>-77.465369865388425</v>
      </c>
      <c r="Q127" s="109">
        <f t="shared" si="62"/>
        <v>0.89240920852029382</v>
      </c>
      <c r="R127" s="322"/>
      <c r="S127" s="46">
        <v>0.79444444444444429</v>
      </c>
      <c r="T127" s="47">
        <v>0.80437499999999984</v>
      </c>
      <c r="U127" s="110">
        <v>14.799999999999915</v>
      </c>
      <c r="V127" s="111">
        <v>14.305843714718174</v>
      </c>
      <c r="W127" s="112"/>
      <c r="X127" s="13"/>
      <c r="Y127" s="331"/>
      <c r="Z127" s="332"/>
      <c r="AA127" s="171">
        <f t="shared" si="63"/>
        <v>-387.32684932694201</v>
      </c>
      <c r="AB127" s="109">
        <f t="shared" si="64"/>
        <v>0.89240920852029393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1091</v>
      </c>
      <c r="G128" s="102">
        <f t="shared" si="65"/>
        <v>19834.38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3213.9234114390852</v>
      </c>
      <c r="N128" s="105">
        <f t="shared" si="59"/>
        <v>1071.3078038130284</v>
      </c>
      <c r="O128" s="107">
        <f t="shared" si="60"/>
        <v>0</v>
      </c>
      <c r="P128" s="108">
        <f t="shared" si="61"/>
        <v>-128.69219618697161</v>
      </c>
      <c r="Q128" s="109">
        <f t="shared" si="62"/>
        <v>0.89275650317752364</v>
      </c>
      <c r="R128" s="322"/>
      <c r="S128" s="46">
        <v>0.8145833333333331</v>
      </c>
      <c r="T128" s="47">
        <v>0.82872685185185158</v>
      </c>
      <c r="U128" s="110">
        <v>14.6999999999999</v>
      </c>
      <c r="V128" s="111">
        <v>20.367629100000627</v>
      </c>
      <c r="W128" s="112"/>
      <c r="X128" s="115"/>
      <c r="Y128" s="331"/>
      <c r="Z128" s="332"/>
      <c r="AA128" s="171">
        <f t="shared" si="63"/>
        <v>-386.07658856091484</v>
      </c>
      <c r="AB128" s="109">
        <f t="shared" si="64"/>
        <v>0.89275650317752364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2438</v>
      </c>
      <c r="G129" s="120">
        <f t="shared" si="65"/>
        <v>40617.08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3214.5478723519905</v>
      </c>
      <c r="N129" s="105">
        <f t="shared" si="59"/>
        <v>642.90957447039807</v>
      </c>
      <c r="O129" s="107">
        <f t="shared" si="60"/>
        <v>0</v>
      </c>
      <c r="P129" s="108">
        <f t="shared" si="61"/>
        <v>-77.09042552960193</v>
      </c>
      <c r="Q129" s="109">
        <f t="shared" si="62"/>
        <v>0.89292996454221951</v>
      </c>
      <c r="R129" s="322"/>
      <c r="S129" s="46">
        <v>0.83888888888888857</v>
      </c>
      <c r="T129" s="119">
        <v>0.87048611111111085</v>
      </c>
      <c r="U129" s="110">
        <v>14.633333333333276</v>
      </c>
      <c r="V129" s="111">
        <v>45.505621881739536</v>
      </c>
      <c r="W129" s="112"/>
      <c r="X129" s="49"/>
      <c r="Y129" s="331"/>
      <c r="Z129" s="332"/>
      <c r="AA129" s="171">
        <f t="shared" si="63"/>
        <v>-385.45212764800954</v>
      </c>
      <c r="AB129" s="109">
        <f t="shared" si="64"/>
        <v>0.89292996454221962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1107</v>
      </c>
      <c r="G130" s="120">
        <f t="shared" si="65"/>
        <v>27708.210000000003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3213.4687436999588</v>
      </c>
      <c r="N130" s="105">
        <f t="shared" si="59"/>
        <v>642.69374873999175</v>
      </c>
      <c r="O130" s="122">
        <f t="shared" si="60"/>
        <v>0</v>
      </c>
      <c r="P130" s="123">
        <f t="shared" si="61"/>
        <v>-77.306251260008253</v>
      </c>
      <c r="Q130" s="124">
        <f t="shared" si="62"/>
        <v>0.89263020658332182</v>
      </c>
      <c r="R130" s="322"/>
      <c r="S130" s="46">
        <v>0.8805555555555552</v>
      </c>
      <c r="T130" s="119">
        <v>0.89490740740740704</v>
      </c>
      <c r="U130" s="110">
        <v>15</v>
      </c>
      <c r="V130" s="111">
        <v>20.669253475770425</v>
      </c>
      <c r="W130" s="112"/>
      <c r="X130" s="115"/>
      <c r="Y130" s="331"/>
      <c r="Z130" s="332"/>
      <c r="AA130" s="171">
        <f t="shared" si="63"/>
        <v>-386.53125630004115</v>
      </c>
      <c r="AB130" s="109">
        <f t="shared" si="64"/>
        <v>0.89263020658332193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1065</v>
      </c>
      <c r="G131" s="120">
        <f t="shared" si="65"/>
        <v>17785.5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3217.6438854278304</v>
      </c>
      <c r="N131" s="105">
        <f t="shared" si="59"/>
        <v>1072.5479618092768</v>
      </c>
      <c r="O131" s="122">
        <f t="shared" si="60"/>
        <v>0</v>
      </c>
      <c r="P131" s="123">
        <f t="shared" si="61"/>
        <v>-127.45203819072321</v>
      </c>
      <c r="Q131" s="124">
        <f t="shared" si="62"/>
        <v>0.89378996817439738</v>
      </c>
      <c r="R131" s="322"/>
      <c r="S131" s="46">
        <v>0.90486111111111067</v>
      </c>
      <c r="T131" s="119">
        <v>0.91864583333333294</v>
      </c>
      <c r="U131" s="110">
        <v>15</v>
      </c>
      <c r="V131" s="111">
        <v>19.859251761636017</v>
      </c>
      <c r="W131" s="112"/>
      <c r="X131" s="115"/>
      <c r="Y131" s="331"/>
      <c r="Z131" s="332"/>
      <c r="AA131" s="171">
        <f t="shared" si="63"/>
        <v>-382.35611457216964</v>
      </c>
      <c r="AB131" s="109">
        <f t="shared" si="64"/>
        <v>0.89378996817439738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1792</v>
      </c>
      <c r="G132" s="120">
        <f t="shared" si="65"/>
        <v>53760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3210.9600309830334</v>
      </c>
      <c r="N132" s="105">
        <f t="shared" si="59"/>
        <v>802.74000774575836</v>
      </c>
      <c r="O132" s="122">
        <f t="shared" si="60"/>
        <v>0</v>
      </c>
      <c r="P132" s="123">
        <f t="shared" si="61"/>
        <v>-97.259992254241638</v>
      </c>
      <c r="Q132" s="124">
        <f t="shared" si="62"/>
        <v>0.89193334193973151</v>
      </c>
      <c r="R132" s="322"/>
      <c r="S132" s="46">
        <v>0.9284722222222217</v>
      </c>
      <c r="T132" s="119">
        <v>0.95172453703703652</v>
      </c>
      <c r="U132" s="110">
        <v>15</v>
      </c>
      <c r="V132" s="111">
        <v>33.485312480542717</v>
      </c>
      <c r="W132" s="125"/>
      <c r="X132" s="126"/>
      <c r="Y132" s="331"/>
      <c r="Z132" s="332"/>
      <c r="AA132" s="171">
        <f t="shared" si="63"/>
        <v>-389.03996901696655</v>
      </c>
      <c r="AB132" s="109">
        <f t="shared" si="64"/>
        <v>0.89193334193973151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1741</v>
      </c>
      <c r="G133" s="120">
        <f t="shared" si="65"/>
        <v>43211.62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3212.673150673058</v>
      </c>
      <c r="N133" s="105">
        <f t="shared" si="59"/>
        <v>642.53463013461158</v>
      </c>
      <c r="O133" s="122">
        <f t="shared" si="60"/>
        <v>0</v>
      </c>
      <c r="P133" s="123">
        <f t="shared" si="61"/>
        <v>-77.465369865388425</v>
      </c>
      <c r="Q133" s="124">
        <f t="shared" si="62"/>
        <v>0.89240920852029382</v>
      </c>
      <c r="R133" s="322"/>
      <c r="S133" s="46">
        <v>0.96180555555555503</v>
      </c>
      <c r="T133" s="119">
        <v>0.98437499999999944</v>
      </c>
      <c r="U133" s="110">
        <v>14.516666666666644</v>
      </c>
      <c r="V133" s="111">
        <v>32.514978991285041</v>
      </c>
      <c r="W133" s="125"/>
      <c r="X133" s="126"/>
      <c r="Y133" s="331"/>
      <c r="Z133" s="332"/>
      <c r="AA133" s="171">
        <f t="shared" si="63"/>
        <v>-387.32684932694201</v>
      </c>
      <c r="AB133" s="109">
        <f t="shared" si="64"/>
        <v>0.89240920852029393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2703</v>
      </c>
      <c r="G134" s="120">
        <f t="shared" si="65"/>
        <v>49140.54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3213.9234114390852</v>
      </c>
      <c r="N134" s="105">
        <f t="shared" si="59"/>
        <v>1071.3078038130284</v>
      </c>
      <c r="O134" s="122">
        <f t="shared" si="60"/>
        <v>0</v>
      </c>
      <c r="P134" s="123">
        <f t="shared" si="61"/>
        <v>-128.69219618697161</v>
      </c>
      <c r="Q134" s="124">
        <f t="shared" si="62"/>
        <v>0.89275650317752364</v>
      </c>
      <c r="R134" s="322"/>
      <c r="S134" s="46">
        <v>0.99444444444444391</v>
      </c>
      <c r="T134" s="119">
        <v>1.0294791666666661</v>
      </c>
      <c r="U134" s="110">
        <v>14.500000000000028</v>
      </c>
      <c r="V134" s="111">
        <v>50.461687861871397</v>
      </c>
      <c r="W134" s="125"/>
      <c r="X134" s="126"/>
      <c r="Y134" s="331"/>
      <c r="Z134" s="332"/>
      <c r="AA134" s="171">
        <f t="shared" si="63"/>
        <v>-386.07658856091484</v>
      </c>
      <c r="AB134" s="109">
        <f t="shared" si="64"/>
        <v>0.89275650317752364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6205</v>
      </c>
      <c r="G135" s="120">
        <f t="shared" si="65"/>
        <v>103375.3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3214.5478723519909</v>
      </c>
      <c r="N135" s="105">
        <f t="shared" si="59"/>
        <v>642.90957447039818</v>
      </c>
      <c r="O135" s="122">
        <f t="shared" si="60"/>
        <v>0</v>
      </c>
      <c r="P135" s="123">
        <f t="shared" si="61"/>
        <v>-77.090425529601816</v>
      </c>
      <c r="Q135" s="124">
        <f t="shared" si="62"/>
        <v>0.89292996454221973</v>
      </c>
      <c r="R135" s="322"/>
      <c r="S135" s="46">
        <v>1.0395833333333329</v>
      </c>
      <c r="T135" s="119">
        <v>1.1200115740740737</v>
      </c>
      <c r="U135" s="110">
        <v>14.550000000000196</v>
      </c>
      <c r="V135" s="111">
        <v>115.81722058088343</v>
      </c>
      <c r="W135" s="125"/>
      <c r="X135" s="126"/>
      <c r="Y135" s="331"/>
      <c r="Z135" s="332"/>
      <c r="AA135" s="171">
        <f t="shared" si="63"/>
        <v>-385.45212764800908</v>
      </c>
      <c r="AB135" s="109">
        <f t="shared" si="64"/>
        <v>0.89292996454221973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3213.8695157624929</v>
      </c>
      <c r="N140" s="137">
        <f>M140/L140</f>
        <v>771.32868378299827</v>
      </c>
      <c r="O140" s="138">
        <f>L140-I140</f>
        <v>0</v>
      </c>
      <c r="P140" s="139">
        <f>N140-K140</f>
        <v>-92.671316217001618</v>
      </c>
      <c r="Q140" s="140">
        <f>N140/K140</f>
        <v>0.89274153215624807</v>
      </c>
      <c r="R140" s="323"/>
      <c r="S140" s="141">
        <v>0.74097222222222225</v>
      </c>
      <c r="T140" s="142">
        <v>1.1200115740740737</v>
      </c>
      <c r="U140" s="143"/>
      <c r="V140" s="165"/>
      <c r="W140" s="166"/>
      <c r="X140" s="137"/>
      <c r="Y140" s="353"/>
      <c r="Z140" s="354"/>
      <c r="AA140" s="173">
        <f>M140-J140</f>
        <v>-386.13048423750706</v>
      </c>
      <c r="AB140" s="140">
        <f>M140/J140</f>
        <v>0.89274153215624807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1FA70380-2076-4D0F-8B97-FBD4CB79207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73AB-4612-4E2F-BA95-3F0E84F80418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N41" sqref="N41"/>
      <selection activeCell="N41" sqref="N41"/>
    </sheetView>
  </sheetViews>
  <sheetFormatPr defaultColWidth="7.109375" defaultRowHeight="15.75"/>
  <cols>
    <col min="1" max="1" width="13.44140625" style="5" customWidth="1"/>
    <col min="2" max="2" width="10.77734375" style="144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99048</v>
      </c>
      <c r="E1" s="87" t="s">
        <v>4</v>
      </c>
      <c r="F1" s="88">
        <f>SUM(G5:G140)</f>
        <v>4391979.5599999996</v>
      </c>
      <c r="G1" s="89" t="s">
        <v>85</v>
      </c>
      <c r="H1" s="90">
        <f>L21+L38+L55+L72+L89+L106+L123+L140</f>
        <v>136.37619047619049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46238</v>
      </c>
      <c r="B2" s="294"/>
      <c r="C2" s="91" t="s">
        <v>41</v>
      </c>
      <c r="D2" s="92">
        <f>AVERAGE(N21,N38,N55,N72,N89,N106,N123,N140)</f>
        <v>201.75603709105775</v>
      </c>
      <c r="E2" s="92" t="s">
        <v>92</v>
      </c>
      <c r="F2" s="93">
        <f>F1/D1</f>
        <v>44.341930781035451</v>
      </c>
      <c r="G2" s="94" t="s">
        <v>93</v>
      </c>
      <c r="H2" s="95">
        <f>COUNT(H5:H140)</f>
        <v>2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3474</v>
      </c>
      <c r="G5" s="147">
        <f t="shared" ref="G5:G9" si="0">E5*F5</f>
        <v>68437.8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1082.727288176849</v>
      </c>
      <c r="N5" s="151">
        <f>M5/L5</f>
        <v>83.286714475142233</v>
      </c>
      <c r="O5" s="153">
        <f>L5-I5</f>
        <v>0</v>
      </c>
      <c r="P5" s="154">
        <f>N5-K5</f>
        <v>-9.0209778325500736</v>
      </c>
      <c r="Q5" s="155">
        <f>N5/K5</f>
        <v>0.90227274014737424</v>
      </c>
      <c r="R5" s="321">
        <f>Q21</f>
        <v>0.90071548360043452</v>
      </c>
      <c r="S5" s="156">
        <v>0.16666666666666666</v>
      </c>
      <c r="T5" s="157">
        <v>0.30034722222222221</v>
      </c>
      <c r="U5" s="158"/>
      <c r="V5" s="159">
        <v>192.51385115727695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-117.27271182315098</v>
      </c>
      <c r="AF5" s="131">
        <f>M5/J5</f>
        <v>0.90227274014737413</v>
      </c>
      <c r="AG5" s="367">
        <f>AF21</f>
        <v>0.90071548360043463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4369</v>
      </c>
      <c r="G6" s="102">
        <f t="shared" si="0"/>
        <v>246542.67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1801.2827091726506</v>
      </c>
      <c r="N6" s="105">
        <f>M6/L6</f>
        <v>75.053446215527103</v>
      </c>
      <c r="O6" s="107">
        <f>L6-I6</f>
        <v>0</v>
      </c>
      <c r="P6" s="108">
        <f>N6-K6</f>
        <v>-8.2798871178062257</v>
      </c>
      <c r="Q6" s="109">
        <f>N6/K6</f>
        <v>0.90064135458632533</v>
      </c>
      <c r="R6" s="322"/>
      <c r="S6" s="46">
        <v>0.30416666666666664</v>
      </c>
      <c r="T6" s="47">
        <v>0.40521990740740738</v>
      </c>
      <c r="U6" s="110">
        <v>5.4999999999999805</v>
      </c>
      <c r="V6" s="111">
        <v>145.52962656284191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-198.71729082734942</v>
      </c>
      <c r="AF6" s="109">
        <f>M6/J6</f>
        <v>0.90064135458632533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690</v>
      </c>
      <c r="G7" s="102">
        <f t="shared" si="0"/>
        <v>53371.499999999993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1801.4216040393496</v>
      </c>
      <c r="N7" s="105">
        <f>M7/L7</f>
        <v>72.056864161573984</v>
      </c>
      <c r="O7" s="107">
        <f>L7-I7</f>
        <v>0</v>
      </c>
      <c r="P7" s="108">
        <f>N7-K7</f>
        <v>-7.9431358384260164</v>
      </c>
      <c r="Q7" s="109">
        <f>N7/K7</f>
        <v>0.90071080201967479</v>
      </c>
      <c r="R7" s="322"/>
      <c r="S7" s="46">
        <v>0.40902777777777777</v>
      </c>
      <c r="T7" s="47">
        <v>0.42497685185185186</v>
      </c>
      <c r="U7" s="110">
        <v>5.4833333333333645</v>
      </c>
      <c r="V7" s="111">
        <v>22.981849394482822</v>
      </c>
      <c r="W7" s="112"/>
      <c r="X7" s="115"/>
      <c r="Y7" s="12"/>
      <c r="Z7" s="197"/>
      <c r="AA7" s="331"/>
      <c r="AB7" s="332"/>
      <c r="AC7" s="12"/>
      <c r="AD7" s="197"/>
      <c r="AE7" s="116">
        <f>M7-J7</f>
        <v>-198.57839596065037</v>
      </c>
      <c r="AF7" s="109">
        <f>M7/J7</f>
        <v>0.90071080201967479</v>
      </c>
      <c r="AG7" s="368"/>
    </row>
    <row r="8" spans="1:33" ht="15.75" customHeight="1">
      <c r="A8" s="317"/>
      <c r="B8" s="99" t="s">
        <v>188</v>
      </c>
      <c r="C8" s="370" t="s">
        <v>239</v>
      </c>
      <c r="D8" s="370"/>
      <c r="E8" s="100">
        <v>77.34</v>
      </c>
      <c r="F8" s="101">
        <v>1988</v>
      </c>
      <c r="G8" s="102">
        <f t="shared" si="0"/>
        <v>153751.92000000001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1799.2404775893644</v>
      </c>
      <c r="N8" s="105">
        <f>M8/L8</f>
        <v>78.227846851711504</v>
      </c>
      <c r="O8" s="107">
        <f>L8-I8</f>
        <v>0</v>
      </c>
      <c r="P8" s="108">
        <f>N8-K8</f>
        <v>-8.7286748874189328</v>
      </c>
      <c r="Q8" s="109">
        <f>N8/K8</f>
        <v>0.89962023879468223</v>
      </c>
      <c r="R8" s="322"/>
      <c r="S8" s="46">
        <v>0.4284722222222222</v>
      </c>
      <c r="T8" s="47">
        <v>0.47450231481481481</v>
      </c>
      <c r="U8" s="110">
        <v>5.0333333333332941</v>
      </c>
      <c r="V8" s="111">
        <v>66.294640147164884</v>
      </c>
      <c r="W8" s="112">
        <v>0.47450231481481481</v>
      </c>
      <c r="X8" s="115">
        <v>0.51388888888888884</v>
      </c>
      <c r="Y8" s="12"/>
      <c r="Z8" s="197"/>
      <c r="AA8" s="331"/>
      <c r="AB8" s="332"/>
      <c r="AC8" s="12"/>
      <c r="AD8" s="197"/>
      <c r="AE8" s="116">
        <f>M8-J8</f>
        <v>-200.75952241063555</v>
      </c>
      <c r="AF8" s="109">
        <f>M8/J8</f>
        <v>0.89962023879468223</v>
      </c>
      <c r="AG8" s="368"/>
    </row>
    <row r="9" spans="1:33" ht="15.75" customHeight="1">
      <c r="A9" s="317"/>
      <c r="B9" s="99" t="s">
        <v>188</v>
      </c>
      <c r="C9" s="370" t="s">
        <v>190</v>
      </c>
      <c r="D9" s="370"/>
      <c r="E9" s="100">
        <v>59.52</v>
      </c>
      <c r="F9" s="101">
        <v>4894</v>
      </c>
      <c r="G9" s="102">
        <f t="shared" si="0"/>
        <v>291290.88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1801.9103701457841</v>
      </c>
      <c r="N9" s="105">
        <f>M9/L9</f>
        <v>75.079598756074333</v>
      </c>
      <c r="O9" s="107">
        <f>L9-I9</f>
        <v>0</v>
      </c>
      <c r="P9" s="108">
        <f>N9-K9</f>
        <v>-8.2537345772589958</v>
      </c>
      <c r="Q9" s="109">
        <f>N9/K9</f>
        <v>0.90095518507289207</v>
      </c>
      <c r="R9" s="322"/>
      <c r="S9" s="46">
        <v>0.51388888888888884</v>
      </c>
      <c r="T9" s="47">
        <v>0.6270486111111111</v>
      </c>
      <c r="U9" s="110">
        <v>56.716666666666605</v>
      </c>
      <c r="V9" s="111">
        <v>162.96038075203649</v>
      </c>
      <c r="W9" s="112"/>
      <c r="X9" s="115"/>
      <c r="Y9" s="12"/>
      <c r="Z9" s="197"/>
      <c r="AA9" s="331"/>
      <c r="AB9" s="332"/>
      <c r="AC9" s="12"/>
      <c r="AD9" s="197"/>
      <c r="AE9" s="116">
        <f>M9-J9</f>
        <v>-198.0896298542159</v>
      </c>
      <c r="AF9" s="109">
        <f>M9/J9</f>
        <v>0.90095518507289207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1657.3164898247996</v>
      </c>
      <c r="N21" s="137">
        <f t="shared" ref="N21:N28" si="5">M21/L21</f>
        <v>76.023692193798141</v>
      </c>
      <c r="O21" s="138">
        <f t="shared" ref="O21:O28" si="6">L21-I21</f>
        <v>0</v>
      </c>
      <c r="P21" s="139">
        <f t="shared" ref="P21:P28" si="7">N21-K21</f>
        <v>-8.3799775309724964</v>
      </c>
      <c r="Q21" s="140">
        <f t="shared" ref="Q21:Q28" si="8">N21/K21</f>
        <v>0.90071548360043452</v>
      </c>
      <c r="R21" s="323"/>
      <c r="S21" s="141">
        <v>0.16666666666666666</v>
      </c>
      <c r="T21" s="142">
        <v>0.6270486111111111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8" si="9">M21-J21</f>
        <v>-182.68351017520035</v>
      </c>
      <c r="AF21" s="140">
        <f t="shared" ref="AF21:AF28" si="10">M21/J21</f>
        <v>0.90071548360043463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2526</v>
      </c>
      <c r="G22" s="147">
        <f t="shared" ref="G22:G28" si="11">E22*F22</f>
        <v>92072.700000000012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1893.2783422374964</v>
      </c>
      <c r="N22" s="151">
        <f t="shared" si="5"/>
        <v>94.663917111874824</v>
      </c>
      <c r="O22" s="153">
        <f t="shared" si="6"/>
        <v>0</v>
      </c>
      <c r="P22" s="154">
        <f t="shared" si="7"/>
        <v>-10.336082888125176</v>
      </c>
      <c r="Q22" s="155">
        <f t="shared" si="8"/>
        <v>0.90156111535118877</v>
      </c>
      <c r="R22" s="321">
        <f>Q38</f>
        <v>0.90257031281116773</v>
      </c>
      <c r="S22" s="156">
        <v>0.16666666666666666</v>
      </c>
      <c r="T22" s="157">
        <v>0.22225694444444444</v>
      </c>
      <c r="U22" s="158"/>
      <c r="V22" s="159">
        <v>80.051620841383937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-206.72165776250358</v>
      </c>
      <c r="AF22" s="155">
        <f t="shared" si="10"/>
        <v>0.90156111535118877</v>
      </c>
      <c r="AG22" s="375">
        <f>AF38</f>
        <v>0.9097908753136571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1520</v>
      </c>
      <c r="G23" s="102">
        <f t="shared" si="11"/>
        <v>48214.400000000001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1803.0275142827238</v>
      </c>
      <c r="N23" s="105">
        <f t="shared" si="5"/>
        <v>81.955796103760179</v>
      </c>
      <c r="O23" s="107">
        <f t="shared" si="6"/>
        <v>0</v>
      </c>
      <c r="P23" s="108">
        <f t="shared" si="7"/>
        <v>-8.953294805330728</v>
      </c>
      <c r="Q23" s="109">
        <f t="shared" si="8"/>
        <v>0.90151375714136195</v>
      </c>
      <c r="R23" s="322"/>
      <c r="S23" s="46">
        <v>0.22638888888888889</v>
      </c>
      <c r="T23" s="47">
        <v>0.26150462962962961</v>
      </c>
      <c r="U23" s="110">
        <v>5.9500000000000108</v>
      </c>
      <c r="V23" s="111">
        <v>50.581590839605667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-196.97248571727619</v>
      </c>
      <c r="AF23" s="109">
        <f t="shared" si="10"/>
        <v>0.90151375714136195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1447</v>
      </c>
      <c r="G24" s="102">
        <f t="shared" si="11"/>
        <v>50341.13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1808.92799549252</v>
      </c>
      <c r="N24" s="105">
        <f t="shared" si="5"/>
        <v>164.4479995902291</v>
      </c>
      <c r="O24" s="107">
        <f t="shared" si="6"/>
        <v>0</v>
      </c>
      <c r="P24" s="108">
        <f t="shared" si="7"/>
        <v>-17.370182227952711</v>
      </c>
      <c r="Q24" s="109">
        <f t="shared" si="8"/>
        <v>0.90446399774626007</v>
      </c>
      <c r="R24" s="322"/>
      <c r="S24" s="46">
        <v>0.26527777777777778</v>
      </c>
      <c r="T24" s="47">
        <v>0.29859953703703701</v>
      </c>
      <c r="U24" s="110">
        <v>5.4333333333333567</v>
      </c>
      <c r="V24" s="111">
        <v>47.995276880195206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-191.07200450747996</v>
      </c>
      <c r="AF24" s="109">
        <f t="shared" si="10"/>
        <v>0.90446399774626007</v>
      </c>
      <c r="AG24" s="368"/>
    </row>
    <row r="25" spans="1:33" ht="15.75" customHeight="1">
      <c r="A25" s="356"/>
      <c r="B25" s="162" t="s">
        <v>184</v>
      </c>
      <c r="C25" s="329" t="s">
        <v>235</v>
      </c>
      <c r="D25" s="330"/>
      <c r="E25" s="100">
        <v>33.200000000000003</v>
      </c>
      <c r="F25" s="110">
        <v>2902</v>
      </c>
      <c r="G25" s="102">
        <f t="shared" si="11"/>
        <v>96346.400000000009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1807.372464001538</v>
      </c>
      <c r="N25" s="105">
        <f t="shared" si="5"/>
        <v>164.30658763650345</v>
      </c>
      <c r="O25" s="107">
        <f t="shared" si="6"/>
        <v>0</v>
      </c>
      <c r="P25" s="108">
        <f t="shared" si="7"/>
        <v>-17.511594181678362</v>
      </c>
      <c r="Q25" s="109">
        <f t="shared" si="8"/>
        <v>0.90368623200076903</v>
      </c>
      <c r="R25" s="322"/>
      <c r="S25" s="46">
        <v>0.30208333333333331</v>
      </c>
      <c r="T25" s="47">
        <v>0.36898148148148147</v>
      </c>
      <c r="U25" s="110">
        <v>5.0166666666666782</v>
      </c>
      <c r="V25" s="111">
        <v>96.338747805472721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-192.62753599846201</v>
      </c>
      <c r="AF25" s="109">
        <f t="shared" si="10"/>
        <v>0.90368623200076903</v>
      </c>
      <c r="AG25" s="368"/>
    </row>
    <row r="26" spans="1:33" ht="15.75" customHeight="1">
      <c r="A26" s="357"/>
      <c r="B26" s="162" t="s">
        <v>184</v>
      </c>
      <c r="C26" s="329" t="s">
        <v>196</v>
      </c>
      <c r="D26" s="330"/>
      <c r="E26" s="100">
        <v>51.44</v>
      </c>
      <c r="F26" s="110">
        <v>1733</v>
      </c>
      <c r="G26" s="102">
        <f t="shared" si="11"/>
        <v>89145.51999999999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1803.5709154418082</v>
      </c>
      <c r="N26" s="105">
        <f t="shared" si="5"/>
        <v>94.924785023253065</v>
      </c>
      <c r="O26" s="107">
        <f t="shared" si="6"/>
        <v>0</v>
      </c>
      <c r="P26" s="108">
        <f t="shared" si="7"/>
        <v>-10.33837287148377</v>
      </c>
      <c r="Q26" s="109">
        <f t="shared" si="8"/>
        <v>0.90178545772090413</v>
      </c>
      <c r="R26" s="322"/>
      <c r="S26" s="46">
        <v>0.37291666666666662</v>
      </c>
      <c r="T26" s="47">
        <v>0.41295138888888883</v>
      </c>
      <c r="U26" s="110">
        <v>5.6666666666666199</v>
      </c>
      <c r="V26" s="111">
        <v>57.652293630233416</v>
      </c>
      <c r="W26" s="112"/>
      <c r="X26" s="115"/>
      <c r="Y26" s="12"/>
      <c r="Z26" s="197"/>
      <c r="AA26" s="331"/>
      <c r="AB26" s="332"/>
      <c r="AC26" s="12"/>
      <c r="AD26" s="197"/>
      <c r="AE26" s="116">
        <f t="shared" si="9"/>
        <v>-196.42908455819179</v>
      </c>
      <c r="AF26" s="109">
        <f t="shared" si="10"/>
        <v>0.90178545772090413</v>
      </c>
      <c r="AG26" s="368"/>
    </row>
    <row r="27" spans="1:33" ht="15.75" customHeight="1">
      <c r="A27" s="357"/>
      <c r="B27" s="162" t="s">
        <v>186</v>
      </c>
      <c r="C27" s="329" t="s">
        <v>197</v>
      </c>
      <c r="D27" s="330"/>
      <c r="E27" s="100">
        <v>46.34</v>
      </c>
      <c r="F27" s="110">
        <v>2495</v>
      </c>
      <c r="G27" s="120">
        <f t="shared" si="11"/>
        <v>115618.3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22"/>
      <c r="S27" s="46">
        <v>0.41597222222222219</v>
      </c>
      <c r="T27" s="119">
        <v>0.48005787037037034</v>
      </c>
      <c r="U27" s="110">
        <v>5</v>
      </c>
      <c r="V27" s="111">
        <v>92.292548105455907</v>
      </c>
      <c r="W27" s="112">
        <v>0.48005787037037034</v>
      </c>
      <c r="X27" s="115">
        <v>0.51805555555555549</v>
      </c>
      <c r="Y27" s="12"/>
      <c r="Z27" s="197"/>
      <c r="AA27" s="331"/>
      <c r="AB27" s="332"/>
      <c r="AC27" s="12"/>
      <c r="AD27" s="197"/>
      <c r="AE27" s="116">
        <f t="shared" si="9"/>
        <v>-177.98388848307877</v>
      </c>
      <c r="AF27" s="109">
        <f t="shared" si="10"/>
        <v>0.90112006195384509</v>
      </c>
      <c r="AG27" s="368"/>
    </row>
    <row r="28" spans="1:33" ht="15.75" customHeight="1">
      <c r="A28" s="357"/>
      <c r="B28" s="162" t="s">
        <v>198</v>
      </c>
      <c r="C28" s="329" t="s">
        <v>199</v>
      </c>
      <c r="D28" s="330"/>
      <c r="E28" s="100">
        <v>29.97</v>
      </c>
      <c r="F28" s="110">
        <v>2481</v>
      </c>
      <c r="G28" s="120">
        <f t="shared" si="11"/>
        <v>74355.569999999992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0.51805555555555549</v>
      </c>
      <c r="T28" s="119">
        <v>0.55740740740740735</v>
      </c>
      <c r="U28" s="110">
        <v>54.716666666666612</v>
      </c>
      <c r="V28" s="111">
        <v>56.673280374858152</v>
      </c>
      <c r="W28" s="112"/>
      <c r="X28" s="115"/>
      <c r="Y28" s="12"/>
      <c r="Z28" s="197"/>
      <c r="AA28" s="331"/>
      <c r="AB28" s="332"/>
      <c r="AC28" s="12"/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1909.2611369082317</v>
      </c>
      <c r="N38" s="137">
        <f t="shared" ref="N38:N45" si="16">M38/L38</f>
        <v>106.07006316156843</v>
      </c>
      <c r="O38" s="138">
        <f t="shared" ref="O38:O45" si="17">L38-I38</f>
        <v>0.14285714285714235</v>
      </c>
      <c r="P38" s="139">
        <f t="shared" ref="P38:P45" si="18">N38-K38</f>
        <v>-11.449936838431569</v>
      </c>
      <c r="Q38" s="140">
        <f t="shared" ref="Q38:Q45" si="19">N38/K38</f>
        <v>0.90257031281116773</v>
      </c>
      <c r="R38" s="323"/>
      <c r="S38" s="141">
        <v>0.16666666666666666</v>
      </c>
      <c r="T38" s="142">
        <v>0.55740740740740735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5" si="20">M38-J38</f>
        <v>-189.31029166319672</v>
      </c>
      <c r="AF38" s="140">
        <f t="shared" ref="AF38:AF45" si="21">M38/J38</f>
        <v>0.9097908753136571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3243</v>
      </c>
      <c r="G39" s="147">
        <f t="shared" ref="G39:G45" si="22">E39*F39</f>
        <v>174343.67999999999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1799.390880509088</v>
      </c>
      <c r="N39" s="151">
        <f t="shared" si="16"/>
        <v>89.969544025454397</v>
      </c>
      <c r="O39" s="153">
        <f t="shared" si="17"/>
        <v>0</v>
      </c>
      <c r="P39" s="154">
        <f t="shared" si="18"/>
        <v>-10.030455974545603</v>
      </c>
      <c r="Q39" s="155">
        <f t="shared" si="19"/>
        <v>0.89969544025454395</v>
      </c>
      <c r="R39" s="321">
        <f>Q55</f>
        <v>0.90019662579119986</v>
      </c>
      <c r="S39" s="156">
        <v>0.16666666666666666</v>
      </c>
      <c r="T39" s="157">
        <v>0.24175925925925923</v>
      </c>
      <c r="U39" s="158"/>
      <c r="V39" s="159">
        <v>108.13659339262016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-200.60911949091201</v>
      </c>
      <c r="AF39" s="155">
        <f t="shared" si="21"/>
        <v>0.89969544025454395</v>
      </c>
      <c r="AG39" s="326">
        <f>AF55</f>
        <v>0.90019662579119997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2166</v>
      </c>
      <c r="G40" s="102">
        <f t="shared" si="22"/>
        <v>154977.29999999999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1799.7340140253298</v>
      </c>
      <c r="N40" s="105">
        <f t="shared" si="16"/>
        <v>81.806091546605899</v>
      </c>
      <c r="O40" s="107">
        <f t="shared" si="17"/>
        <v>0</v>
      </c>
      <c r="P40" s="108">
        <f t="shared" si="18"/>
        <v>-9.1029993624850079</v>
      </c>
      <c r="Q40" s="109">
        <f t="shared" si="19"/>
        <v>0.89986700701266487</v>
      </c>
      <c r="R40" s="322"/>
      <c r="S40" s="46">
        <v>0.24583333333333332</v>
      </c>
      <c r="T40" s="47">
        <v>0.29597222222222219</v>
      </c>
      <c r="U40" s="110">
        <v>5.8666666666666911</v>
      </c>
      <c r="V40" s="111">
        <v>72.210670569773939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-200.26598597467023</v>
      </c>
      <c r="AF40" s="109">
        <f t="shared" si="21"/>
        <v>0.89986700701266487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1651</v>
      </c>
      <c r="G41" s="102">
        <f t="shared" si="22"/>
        <v>105531.92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1801.4841751572374</v>
      </c>
      <c r="N41" s="105">
        <f t="shared" si="16"/>
        <v>75.061840631551561</v>
      </c>
      <c r="O41" s="107">
        <f t="shared" si="17"/>
        <v>0</v>
      </c>
      <c r="P41" s="108">
        <f t="shared" si="18"/>
        <v>-8.2714927017817672</v>
      </c>
      <c r="Q41" s="109">
        <f t="shared" si="19"/>
        <v>0.90074208757861873</v>
      </c>
      <c r="R41" s="322"/>
      <c r="S41" s="46">
        <v>0.3</v>
      </c>
      <c r="T41" s="47">
        <v>0.33818287037037037</v>
      </c>
      <c r="U41" s="110">
        <v>5.8000000000000274</v>
      </c>
      <c r="V41" s="111">
        <v>54.987993436774893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-198.51582484276264</v>
      </c>
      <c r="AF41" s="109">
        <f t="shared" si="21"/>
        <v>0.90074208757861873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1161</v>
      </c>
      <c r="G42" s="102">
        <f t="shared" si="22"/>
        <v>68115.87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1800.8615804078916</v>
      </c>
      <c r="N42" s="105">
        <f t="shared" si="16"/>
        <v>78.298329582951808</v>
      </c>
      <c r="O42" s="107">
        <f t="shared" si="17"/>
        <v>0</v>
      </c>
      <c r="P42" s="108">
        <f t="shared" si="18"/>
        <v>-8.6581921561786288</v>
      </c>
      <c r="Q42" s="109">
        <f t="shared" si="19"/>
        <v>0.90043079020394579</v>
      </c>
      <c r="R42" s="322"/>
      <c r="S42" s="46">
        <v>0.34097222222222218</v>
      </c>
      <c r="T42" s="47">
        <v>0.36782407407407403</v>
      </c>
      <c r="U42" s="110">
        <v>5</v>
      </c>
      <c r="V42" s="111">
        <v>38.681484883597854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-199.13841959210845</v>
      </c>
      <c r="AF42" s="109">
        <f t="shared" si="21"/>
        <v>0.90043079020394579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2891</v>
      </c>
      <c r="G43" s="102">
        <f t="shared" si="22"/>
        <v>172130.13999999998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1799.7746238049858</v>
      </c>
      <c r="N43" s="105">
        <f t="shared" si="16"/>
        <v>78.251070600216778</v>
      </c>
      <c r="O43" s="107">
        <f t="shared" si="17"/>
        <v>0</v>
      </c>
      <c r="P43" s="108">
        <f t="shared" si="18"/>
        <v>-8.7054511389136593</v>
      </c>
      <c r="Q43" s="109">
        <f t="shared" si="19"/>
        <v>0.89988731190249294</v>
      </c>
      <c r="R43" s="322"/>
      <c r="S43" s="46">
        <v>0.37152777777777773</v>
      </c>
      <c r="T43" s="47">
        <v>0.43844907407407402</v>
      </c>
      <c r="U43" s="110">
        <v>5.333333333333341</v>
      </c>
      <c r="V43" s="111">
        <v>96.378734151324053</v>
      </c>
      <c r="W43" s="112">
        <v>0.43844907407407402</v>
      </c>
      <c r="X43" s="115">
        <v>0.47638888888888881</v>
      </c>
      <c r="Y43" s="12"/>
      <c r="Z43" s="197"/>
      <c r="AA43" s="331"/>
      <c r="AB43" s="332"/>
      <c r="AC43" s="12"/>
      <c r="AD43" s="197"/>
      <c r="AE43" s="116">
        <f t="shared" si="20"/>
        <v>-200.22537619501418</v>
      </c>
      <c r="AF43" s="109">
        <f t="shared" si="21"/>
        <v>0.89988731190249294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3316</v>
      </c>
      <c r="G44" s="120">
        <f t="shared" si="22"/>
        <v>202574.44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1800.6459067643752</v>
      </c>
      <c r="N44" s="105">
        <f t="shared" si="16"/>
        <v>90.032295338218759</v>
      </c>
      <c r="O44" s="107">
        <f t="shared" si="17"/>
        <v>0</v>
      </c>
      <c r="P44" s="108">
        <f t="shared" si="18"/>
        <v>-9.9677046617812408</v>
      </c>
      <c r="Q44" s="109">
        <f t="shared" si="19"/>
        <v>0.9003229533821876</v>
      </c>
      <c r="R44" s="322"/>
      <c r="S44" s="46">
        <v>0.47638888888888881</v>
      </c>
      <c r="T44" s="119">
        <v>0.55311342592592583</v>
      </c>
      <c r="U44" s="110">
        <v>54.633333333333297</v>
      </c>
      <c r="V44" s="111">
        <v>110.4936841011213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-199.35409323562476</v>
      </c>
      <c r="AF44" s="109">
        <f t="shared" si="21"/>
        <v>0.9003229533821876</v>
      </c>
      <c r="AG44" s="327"/>
    </row>
    <row r="45" spans="1:33" ht="15.75" customHeight="1">
      <c r="A45" s="317"/>
      <c r="B45" s="162" t="s">
        <v>188</v>
      </c>
      <c r="C45" s="329" t="s">
        <v>204</v>
      </c>
      <c r="D45" s="330"/>
      <c r="E45" s="100">
        <v>58.67</v>
      </c>
      <c r="F45" s="101">
        <v>2827</v>
      </c>
      <c r="G45" s="120">
        <f t="shared" si="22"/>
        <v>165860.09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1800.8615804078913</v>
      </c>
      <c r="N45" s="105">
        <f t="shared" si="16"/>
        <v>78.298329582951794</v>
      </c>
      <c r="O45" s="122">
        <f t="shared" si="17"/>
        <v>0</v>
      </c>
      <c r="P45" s="123">
        <f t="shared" si="18"/>
        <v>-8.658192156178643</v>
      </c>
      <c r="Q45" s="124">
        <f t="shared" si="19"/>
        <v>0.90043079020394556</v>
      </c>
      <c r="R45" s="322"/>
      <c r="S45" s="118">
        <v>0.55624999999999991</v>
      </c>
      <c r="T45" s="119">
        <v>0.62165509259259255</v>
      </c>
      <c r="U45" s="110">
        <v>4.5166666666666799</v>
      </c>
      <c r="V45" s="111">
        <v>94.188249583058692</v>
      </c>
      <c r="W45" s="119"/>
      <c r="X45" s="188"/>
      <c r="Y45" s="12"/>
      <c r="Z45" s="197"/>
      <c r="AA45" s="331"/>
      <c r="AB45" s="332"/>
      <c r="AC45" s="12"/>
      <c r="AD45" s="197"/>
      <c r="AE45" s="116">
        <f t="shared" si="20"/>
        <v>-199.13841959210868</v>
      </c>
      <c r="AF45" s="109">
        <f t="shared" si="21"/>
        <v>0.90043079020394567</v>
      </c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1800.3932515823999</v>
      </c>
      <c r="N55" s="137">
        <f t="shared" ref="N55:N65" si="27">M55/L55</f>
        <v>81.308082329527736</v>
      </c>
      <c r="O55" s="138">
        <f t="shared" ref="O55:O65" si="28">L55-I55</f>
        <v>0</v>
      </c>
      <c r="P55" s="139">
        <f t="shared" ref="P55:P65" si="29">N55-K55</f>
        <v>-9.0144983156335599</v>
      </c>
      <c r="Q55" s="140">
        <f t="shared" ref="Q55:Q65" si="30">N55/K55</f>
        <v>0.90019662579119986</v>
      </c>
      <c r="R55" s="323"/>
      <c r="S55" s="141">
        <v>0.16666666666666666</v>
      </c>
      <c r="T55" s="142">
        <v>0.62165509259259255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5" si="31">M55-J55</f>
        <v>-199.6067484176001</v>
      </c>
      <c r="AF55" s="140">
        <f t="shared" ref="AF55:AF65" si="32">M55/J55</f>
        <v>0.90019662579119997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2205</v>
      </c>
      <c r="G56" s="147">
        <f t="shared" ref="G56:G65" si="33">E56*F56</f>
        <v>63636.299999999996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3193.4287377304627</v>
      </c>
      <c r="N56" s="151">
        <f t="shared" si="27"/>
        <v>168.07519672265593</v>
      </c>
      <c r="O56" s="153">
        <f t="shared" si="28"/>
        <v>0</v>
      </c>
      <c r="P56" s="154">
        <f t="shared" si="29"/>
        <v>-21.398487487870398</v>
      </c>
      <c r="Q56" s="155">
        <f t="shared" si="30"/>
        <v>0.88706353825846185</v>
      </c>
      <c r="R56" s="321">
        <f>Q72</f>
        <v>0.89406891300987834</v>
      </c>
      <c r="S56" s="156">
        <v>0.16666666666666666</v>
      </c>
      <c r="T56" s="157">
        <v>0.19542824074074072</v>
      </c>
      <c r="U56" s="158"/>
      <c r="V56" s="159">
        <v>41.428824898101297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-406.57126226953733</v>
      </c>
      <c r="AF56" s="155">
        <f t="shared" si="32"/>
        <v>0.88706353825846185</v>
      </c>
      <c r="AG56" s="326">
        <f>AF72</f>
        <v>0.89406891300987834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2956</v>
      </c>
      <c r="G57" s="102">
        <f t="shared" si="33"/>
        <v>106090.84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3192.5677585405865</v>
      </c>
      <c r="N57" s="105">
        <f t="shared" si="27"/>
        <v>168.02988202845191</v>
      </c>
      <c r="O57" s="107">
        <f t="shared" si="28"/>
        <v>0</v>
      </c>
      <c r="P57" s="108">
        <f t="shared" si="29"/>
        <v>-21.443802182074421</v>
      </c>
      <c r="Q57" s="109">
        <f t="shared" si="30"/>
        <v>0.88682437737238495</v>
      </c>
      <c r="R57" s="322"/>
      <c r="S57" s="46">
        <v>0.19930555555555557</v>
      </c>
      <c r="T57" s="47">
        <v>0.23788194444444447</v>
      </c>
      <c r="U57" s="110">
        <v>5.5833333333333801</v>
      </c>
      <c r="V57" s="111">
        <v>55.554028422900664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-407.43224145941349</v>
      </c>
      <c r="AF57" s="109">
        <f t="shared" si="32"/>
        <v>0.88682437737238518</v>
      </c>
      <c r="AG57" s="327"/>
    </row>
    <row r="58" spans="1:33" ht="15.75" customHeight="1">
      <c r="A58" s="356"/>
      <c r="B58" s="99" t="s">
        <v>208</v>
      </c>
      <c r="C58" s="370" t="s">
        <v>211</v>
      </c>
      <c r="D58" s="370"/>
      <c r="E58" s="100">
        <v>36.729999999999997</v>
      </c>
      <c r="F58" s="101">
        <v>6087</v>
      </c>
      <c r="G58" s="102">
        <f t="shared" si="33"/>
        <v>223575.50999999998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2938.721652334455</v>
      </c>
      <c r="N58" s="105">
        <f t="shared" si="27"/>
        <v>139.93912630164073</v>
      </c>
      <c r="O58" s="107">
        <f t="shared" si="28"/>
        <v>0</v>
      </c>
      <c r="P58" s="108">
        <f t="shared" si="29"/>
        <v>-31.48944512693069</v>
      </c>
      <c r="Q58" s="109">
        <f t="shared" si="30"/>
        <v>0.81631157009290434</v>
      </c>
      <c r="R58" s="322"/>
      <c r="S58" s="46">
        <v>0.2416666666666667</v>
      </c>
      <c r="T58" s="47">
        <v>0.32796296296296301</v>
      </c>
      <c r="U58" s="110">
        <v>5.4500000000000126</v>
      </c>
      <c r="V58" s="111">
        <v>124.27852760736199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-661.27834766554497</v>
      </c>
      <c r="AF58" s="109">
        <f t="shared" si="32"/>
        <v>0.81631157009290423</v>
      </c>
      <c r="AG58" s="327"/>
    </row>
    <row r="59" spans="1:33" ht="15.75" customHeight="1">
      <c r="A59" s="356"/>
      <c r="B59" s="99" t="s">
        <v>208</v>
      </c>
      <c r="C59" s="370" t="s">
        <v>212</v>
      </c>
      <c r="D59" s="370"/>
      <c r="E59" s="100">
        <v>43.96</v>
      </c>
      <c r="F59" s="101">
        <v>1640</v>
      </c>
      <c r="G59" s="102">
        <f t="shared" si="33"/>
        <v>72094.399999999994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3267.9883112263387</v>
      </c>
      <c r="N59" s="105">
        <f t="shared" si="27"/>
        <v>136.16617963443079</v>
      </c>
      <c r="O59" s="107">
        <f t="shared" si="28"/>
        <v>0</v>
      </c>
      <c r="P59" s="108">
        <f t="shared" si="29"/>
        <v>-13.83382036556921</v>
      </c>
      <c r="Q59" s="109">
        <f t="shared" si="30"/>
        <v>0.9077745308962053</v>
      </c>
      <c r="R59" s="322"/>
      <c r="S59" s="46">
        <v>0.33194444444444449</v>
      </c>
      <c r="T59" s="47">
        <v>0.35284722222222226</v>
      </c>
      <c r="U59" s="110">
        <v>5.7333333333333236</v>
      </c>
      <c r="V59" s="111">
        <v>30.110266815206145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-332.01168877366126</v>
      </c>
      <c r="AF59" s="199">
        <f t="shared" si="32"/>
        <v>0.90777453089620519</v>
      </c>
      <c r="AG59" s="327"/>
    </row>
    <row r="60" spans="1:33" ht="15.75" customHeight="1">
      <c r="A60" s="357"/>
      <c r="B60" s="99" t="s">
        <v>208</v>
      </c>
      <c r="C60" s="370" t="s">
        <v>213</v>
      </c>
      <c r="D60" s="370"/>
      <c r="E60" s="100">
        <v>46.93</v>
      </c>
      <c r="F60" s="104">
        <v>1215</v>
      </c>
      <c r="G60" s="102">
        <f t="shared" si="33"/>
        <v>57019.95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3267.3842866123496</v>
      </c>
      <c r="N60" s="105">
        <f t="shared" si="27"/>
        <v>136.14101194218122</v>
      </c>
      <c r="O60" s="107">
        <f t="shared" si="28"/>
        <v>0</v>
      </c>
      <c r="P60" s="108">
        <f t="shared" si="29"/>
        <v>-13.858988057818777</v>
      </c>
      <c r="Q60" s="109">
        <f t="shared" si="30"/>
        <v>0.90760674628120819</v>
      </c>
      <c r="R60" s="322"/>
      <c r="S60" s="46">
        <v>0.35694444444444445</v>
      </c>
      <c r="T60" s="47">
        <v>0.37243055555555554</v>
      </c>
      <c r="U60" s="110">
        <v>5.8999999999999631</v>
      </c>
      <c r="V60" s="111">
        <v>22.311425166209425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-332.61571338765043</v>
      </c>
      <c r="AF60" s="199">
        <f t="shared" si="32"/>
        <v>0.90760674628120819</v>
      </c>
      <c r="AG60" s="327"/>
    </row>
    <row r="61" spans="1:33" ht="15.75" customHeight="1">
      <c r="A61" s="357"/>
      <c r="B61" s="99" t="s">
        <v>208</v>
      </c>
      <c r="C61" s="370" t="s">
        <v>214</v>
      </c>
      <c r="D61" s="370"/>
      <c r="E61" s="100">
        <v>36.729999999999997</v>
      </c>
      <c r="F61" s="104">
        <v>3655</v>
      </c>
      <c r="G61" s="120">
        <f t="shared" si="33"/>
        <v>134248.15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3261.1767104351829</v>
      </c>
      <c r="N61" s="105">
        <f t="shared" si="27"/>
        <v>163.05883552175914</v>
      </c>
      <c r="O61" s="107">
        <f t="shared" si="28"/>
        <v>0</v>
      </c>
      <c r="P61" s="108">
        <f t="shared" si="29"/>
        <v>-16.941164478240864</v>
      </c>
      <c r="Q61" s="109">
        <f t="shared" si="30"/>
        <v>0.90588241956532856</v>
      </c>
      <c r="R61" s="322"/>
      <c r="S61" s="46">
        <v>0.37569444444444444</v>
      </c>
      <c r="T61" s="119">
        <v>0.42238425925925926</v>
      </c>
      <c r="U61" s="110">
        <v>4.7000000000000153</v>
      </c>
      <c r="V61" s="111">
        <v>67.245666050011693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-338.82328956481706</v>
      </c>
      <c r="AF61" s="199">
        <f t="shared" si="32"/>
        <v>0.90588241956532856</v>
      </c>
      <c r="AG61" s="327"/>
    </row>
    <row r="62" spans="1:33" ht="15.75" customHeight="1">
      <c r="A62" s="357"/>
      <c r="B62" s="99" t="s">
        <v>208</v>
      </c>
      <c r="C62" s="370" t="s">
        <v>233</v>
      </c>
      <c r="D62" s="370"/>
      <c r="E62" s="100">
        <v>48.4</v>
      </c>
      <c r="F62" s="104">
        <v>2026</v>
      </c>
      <c r="G62" s="120">
        <f t="shared" si="33"/>
        <v>98058.4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3260.4652091536045</v>
      </c>
      <c r="N62" s="105">
        <f t="shared" si="27"/>
        <v>148.20296405243656</v>
      </c>
      <c r="O62" s="122">
        <f t="shared" si="28"/>
        <v>0</v>
      </c>
      <c r="P62" s="123">
        <f t="shared" si="29"/>
        <v>-15.43339958392707</v>
      </c>
      <c r="Q62" s="124">
        <f t="shared" si="30"/>
        <v>0.90568478032044564</v>
      </c>
      <c r="R62" s="322"/>
      <c r="S62" s="46">
        <v>0.42569444444444443</v>
      </c>
      <c r="T62" s="119">
        <v>0.45157407407407407</v>
      </c>
      <c r="U62" s="110">
        <v>4.7666666666666391</v>
      </c>
      <c r="V62" s="111">
        <v>37.283023189060856</v>
      </c>
      <c r="W62" s="112"/>
      <c r="X62" s="115"/>
      <c r="Y62" s="12"/>
      <c r="Z62" s="197"/>
      <c r="AA62" s="331"/>
      <c r="AB62" s="332"/>
      <c r="AC62" s="12"/>
      <c r="AD62" s="197"/>
      <c r="AE62" s="198">
        <f t="shared" si="31"/>
        <v>-339.53479084639548</v>
      </c>
      <c r="AF62" s="199">
        <f t="shared" si="32"/>
        <v>0.90568478032044575</v>
      </c>
      <c r="AG62" s="327"/>
    </row>
    <row r="63" spans="1:33" ht="15.75" customHeight="1">
      <c r="A63" s="357"/>
      <c r="B63" s="99" t="s">
        <v>208</v>
      </c>
      <c r="C63" s="370" t="s">
        <v>215</v>
      </c>
      <c r="D63" s="370"/>
      <c r="E63" s="100">
        <v>37.799999999999997</v>
      </c>
      <c r="F63" s="104">
        <v>1978</v>
      </c>
      <c r="G63" s="120">
        <f t="shared" si="33"/>
        <v>74768.399999999994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3268.9320400560036</v>
      </c>
      <c r="N63" s="105">
        <f t="shared" si="27"/>
        <v>155.66343047885732</v>
      </c>
      <c r="O63" s="122">
        <f t="shared" si="28"/>
        <v>0</v>
      </c>
      <c r="P63" s="123">
        <f t="shared" si="29"/>
        <v>-15.765140949714095</v>
      </c>
      <c r="Q63" s="124">
        <f t="shared" si="30"/>
        <v>0.90803667779333441</v>
      </c>
      <c r="R63" s="322"/>
      <c r="S63" s="46">
        <v>0.4548611111111111</v>
      </c>
      <c r="T63" s="119">
        <v>0.48006944444444444</v>
      </c>
      <c r="U63" s="110">
        <v>4.7333333333333272</v>
      </c>
      <c r="V63" s="111">
        <v>36.305435091873846</v>
      </c>
      <c r="W63" s="112">
        <v>0.48006944444444444</v>
      </c>
      <c r="X63" s="115">
        <v>0.51944444444444438</v>
      </c>
      <c r="Y63" s="12"/>
      <c r="Z63" s="197"/>
      <c r="AA63" s="331"/>
      <c r="AB63" s="332"/>
      <c r="AC63" s="12"/>
      <c r="AD63" s="197"/>
      <c r="AE63" s="198">
        <f t="shared" si="31"/>
        <v>-331.06795994399636</v>
      </c>
      <c r="AF63" s="199">
        <f t="shared" si="32"/>
        <v>0.9080366777933343</v>
      </c>
      <c r="AG63" s="327"/>
    </row>
    <row r="64" spans="1:33" ht="15.75" customHeight="1">
      <c r="A64" s="357"/>
      <c r="B64" s="99" t="s">
        <v>208</v>
      </c>
      <c r="C64" s="370" t="s">
        <v>216</v>
      </c>
      <c r="D64" s="370"/>
      <c r="E64" s="100">
        <v>38.479999999999997</v>
      </c>
      <c r="F64" s="104">
        <v>5742</v>
      </c>
      <c r="G64" s="120">
        <f t="shared" si="33"/>
        <v>220952.15999999997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3266.8841222106394</v>
      </c>
      <c r="N64" s="105">
        <f t="shared" si="27"/>
        <v>163.34420611053196</v>
      </c>
      <c r="O64" s="122">
        <f t="shared" si="28"/>
        <v>0</v>
      </c>
      <c r="P64" s="123">
        <f t="shared" si="29"/>
        <v>-16.655793889468043</v>
      </c>
      <c r="Q64" s="124">
        <f t="shared" si="30"/>
        <v>0.90746781172517754</v>
      </c>
      <c r="R64" s="322"/>
      <c r="S64" s="46">
        <v>0.51944444444444438</v>
      </c>
      <c r="T64" s="119">
        <v>0.59267361111111105</v>
      </c>
      <c r="U64" s="110">
        <v>56.69999999999991</v>
      </c>
      <c r="V64" s="111">
        <v>105.45828597277266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-333.11587778936064</v>
      </c>
      <c r="AF64" s="199">
        <f t="shared" si="32"/>
        <v>0.90746781172517765</v>
      </c>
      <c r="AG64" s="327"/>
    </row>
    <row r="65" spans="1:33" ht="15.75" customHeight="1">
      <c r="A65" s="357"/>
      <c r="B65" s="99" t="s">
        <v>208</v>
      </c>
      <c r="C65" s="370" t="s">
        <v>215</v>
      </c>
      <c r="D65" s="370"/>
      <c r="E65" s="100">
        <v>37.799999999999997</v>
      </c>
      <c r="F65" s="104">
        <v>5092</v>
      </c>
      <c r="G65" s="120">
        <f t="shared" si="33"/>
        <v>192477.59999999998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3268.9320400560036</v>
      </c>
      <c r="N65" s="105">
        <f t="shared" si="27"/>
        <v>155.66343047885732</v>
      </c>
      <c r="O65" s="122">
        <f t="shared" si="28"/>
        <v>0</v>
      </c>
      <c r="P65" s="123">
        <f t="shared" si="29"/>
        <v>-15.765140949714095</v>
      </c>
      <c r="Q65" s="124">
        <f t="shared" si="30"/>
        <v>0.90803667779333441</v>
      </c>
      <c r="R65" s="322"/>
      <c r="S65" s="46">
        <v>0.59652777777777766</v>
      </c>
      <c r="T65" s="119">
        <v>0.66142361111111103</v>
      </c>
      <c r="U65" s="110">
        <v>5.5499999999999083</v>
      </c>
      <c r="V65" s="111">
        <v>93.461716626805682</v>
      </c>
      <c r="W65" s="112"/>
      <c r="X65" s="115"/>
      <c r="Y65" s="12"/>
      <c r="Z65" s="197"/>
      <c r="AA65" s="331"/>
      <c r="AB65" s="332"/>
      <c r="AC65" s="12"/>
      <c r="AD65" s="197"/>
      <c r="AE65" s="198">
        <f t="shared" si="31"/>
        <v>-331.06795994399636</v>
      </c>
      <c r="AF65" s="199">
        <f t="shared" si="32"/>
        <v>0.9080366777933343</v>
      </c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3218.648086835562</v>
      </c>
      <c r="N72" s="137">
        <f>M72/L72</f>
        <v>152.54256335713563</v>
      </c>
      <c r="O72" s="138">
        <f>L72-I72</f>
        <v>0</v>
      </c>
      <c r="P72" s="139">
        <f>N72-K72</f>
        <v>-18.073550386940184</v>
      </c>
      <c r="Q72" s="140">
        <f>N72/K72</f>
        <v>0.89406891300987834</v>
      </c>
      <c r="R72" s="323"/>
      <c r="S72" s="141">
        <v>0.16666666666666666</v>
      </c>
      <c r="T72" s="142">
        <v>0.66142361111111103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-381.35191316443797</v>
      </c>
      <c r="AF72" s="140">
        <f>M72/J72</f>
        <v>0.89406891300987834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2147</v>
      </c>
      <c r="G73" s="120">
        <f t="shared" ref="G73:G75" si="39">E73*F73</f>
        <v>50561.85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2258.5793326791177</v>
      </c>
      <c r="N73" s="105">
        <f>M73/L73</f>
        <v>376.42988877985294</v>
      </c>
      <c r="O73" s="107">
        <f>L73-I73</f>
        <v>0</v>
      </c>
      <c r="P73" s="108">
        <f>N73-K73</f>
        <v>-40.236777886813741</v>
      </c>
      <c r="Q73" s="109">
        <f>N73/K73</f>
        <v>0.90343173307164704</v>
      </c>
      <c r="R73" s="321">
        <f>Q89</f>
        <v>0.85172076155274268</v>
      </c>
      <c r="S73" s="46">
        <v>0.34513888888888883</v>
      </c>
      <c r="T73" s="119">
        <v>0.38474537037037032</v>
      </c>
      <c r="U73" s="110">
        <v>5.349999999999957</v>
      </c>
      <c r="V73" s="111">
        <v>57.03585352797603</v>
      </c>
      <c r="W73" s="112"/>
      <c r="X73" s="161"/>
      <c r="Y73" s="12"/>
      <c r="Z73" s="197"/>
      <c r="AA73" s="324"/>
      <c r="AB73" s="325"/>
      <c r="AC73" s="12"/>
      <c r="AD73" s="197"/>
      <c r="AE73" s="114">
        <f>M73-J73</f>
        <v>-241.42066732088233</v>
      </c>
      <c r="AF73" s="155">
        <f>M73/J73</f>
        <v>0.90343173307164704</v>
      </c>
      <c r="AG73" s="326">
        <f>AF89</f>
        <v>0.90495330914978944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727</v>
      </c>
      <c r="G74" s="120">
        <f t="shared" si="39"/>
        <v>19665.350000000002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2963.2783775921862</v>
      </c>
      <c r="N74" s="105">
        <f>M74/L74</f>
        <v>493.87972959869768</v>
      </c>
      <c r="O74" s="122">
        <f>L74-I74</f>
        <v>1</v>
      </c>
      <c r="P74" s="123">
        <f>N74-K74</f>
        <v>-160.72027040130234</v>
      </c>
      <c r="Q74" s="124">
        <f>N74/K74</f>
        <v>0.75447560280888737</v>
      </c>
      <c r="R74" s="322"/>
      <c r="S74" s="46">
        <v>0.38888888888888884</v>
      </c>
      <c r="T74" s="119">
        <v>0.39910879629629625</v>
      </c>
      <c r="U74" s="110">
        <v>5.9666666666666668</v>
      </c>
      <c r="V74" s="111">
        <v>14.720183000641155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-309.72162240781381</v>
      </c>
      <c r="AF74" s="109">
        <f>M74/J74</f>
        <v>0.90537072337066493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915</v>
      </c>
      <c r="G75" s="120">
        <f t="shared" si="39"/>
        <v>24750.75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2964.3499242976904</v>
      </c>
      <c r="N75" s="105">
        <f>M75/L75</f>
        <v>592.86998485953814</v>
      </c>
      <c r="O75" s="122">
        <f>L75-I75</f>
        <v>0</v>
      </c>
      <c r="P75" s="123">
        <f>N75-K75</f>
        <v>-61.730015140461887</v>
      </c>
      <c r="Q75" s="124">
        <f>N75/K75</f>
        <v>0.90569811313708848</v>
      </c>
      <c r="R75" s="322"/>
      <c r="S75" s="46">
        <v>0.40277777777777773</v>
      </c>
      <c r="T75" s="119">
        <v>0.41563657407407401</v>
      </c>
      <c r="U75" s="110">
        <v>5.2833333333333332</v>
      </c>
      <c r="V75" s="111">
        <v>18.5200807603734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-308.65007570230955</v>
      </c>
      <c r="AF75" s="109">
        <f>M75/J75</f>
        <v>0.90569811313708848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2728.7358781896651</v>
      </c>
      <c r="N89" s="137">
        <f>M89/L89</f>
        <v>481.54162556288202</v>
      </c>
      <c r="O89" s="138">
        <f>L89-I89</f>
        <v>0.33333333333333393</v>
      </c>
      <c r="P89" s="139">
        <f>N89-K89</f>
        <v>-83.833374437118096</v>
      </c>
      <c r="Q89" s="140">
        <f>N89/K89</f>
        <v>0.85172076155274268</v>
      </c>
      <c r="R89" s="323"/>
      <c r="S89" s="141">
        <v>0.16666666666666666</v>
      </c>
      <c r="T89" s="142">
        <v>0.41563657407407401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-286.59745514366841</v>
      </c>
      <c r="AF89" s="140">
        <f>M89/J89</f>
        <v>0.90495330914978944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2252</v>
      </c>
      <c r="G90" s="147">
        <f t="shared" ref="G90:G91" si="43">E90*F90</f>
        <v>34928.519999999997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3251.8800000000015</v>
      </c>
      <c r="N90" s="151">
        <f>M90/L90</f>
        <v>541.98000000000025</v>
      </c>
      <c r="O90" s="153">
        <f>L90-I90</f>
        <v>0</v>
      </c>
      <c r="P90" s="154">
        <f>N90-K90</f>
        <v>-58.019999999999754</v>
      </c>
      <c r="Q90" s="155">
        <f>N90/K90</f>
        <v>0.90330000000000044</v>
      </c>
      <c r="R90" s="321">
        <f>Q106</f>
        <v>0.90302324647550358</v>
      </c>
      <c r="S90" s="156">
        <v>0.25</v>
      </c>
      <c r="T90" s="157">
        <v>0.27885416666666668</v>
      </c>
      <c r="U90" s="158"/>
      <c r="V90" s="159">
        <v>41.551348758256744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-348.11999999999853</v>
      </c>
      <c r="AF90" s="155">
        <f>M90/J90</f>
        <v>0.90330000000000044</v>
      </c>
      <c r="AG90" s="326">
        <f>AF106</f>
        <v>0.90302324647550347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2359</v>
      </c>
      <c r="G91" s="102">
        <f t="shared" si="43"/>
        <v>35408.589999999997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3249.8873746236236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22"/>
      <c r="S91" s="46">
        <v>0.28194444444444444</v>
      </c>
      <c r="T91" s="47">
        <v>0.31218750000000001</v>
      </c>
      <c r="U91" s="110">
        <v>5</v>
      </c>
      <c r="V91" s="111">
        <v>43.552278489771368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-350.1126253763764</v>
      </c>
      <c r="AF91" s="109">
        <f>M91/J91</f>
        <v>0.90274649295100651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3250.8836873118125</v>
      </c>
      <c r="N106" s="137">
        <f>M106/L106</f>
        <v>541.81394788530213</v>
      </c>
      <c r="O106" s="138">
        <f>L106-I106</f>
        <v>0</v>
      </c>
      <c r="P106" s="139">
        <f>N106-K106</f>
        <v>-58.186052114697873</v>
      </c>
      <c r="Q106" s="140">
        <f>N106/K106</f>
        <v>0.90302324647550358</v>
      </c>
      <c r="R106" s="323"/>
      <c r="S106" s="141">
        <v>0.25</v>
      </c>
      <c r="T106" s="142">
        <v>0.31218750000000001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-349.11631268818746</v>
      </c>
      <c r="AF106" s="140">
        <f>M106/J106</f>
        <v>0.90302324647550347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1573</v>
      </c>
      <c r="G107" s="147">
        <f t="shared" ref="G107:G109" si="47">E107*F107</f>
        <v>91501.41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1800.5999999999997</v>
      </c>
      <c r="N107" s="151">
        <f>M107/L107</f>
        <v>105.9176470588235</v>
      </c>
      <c r="O107" s="153">
        <f>L107-I107</f>
        <v>-1</v>
      </c>
      <c r="P107" s="154">
        <f>N107-K107</f>
        <v>-5.1934640522876094</v>
      </c>
      <c r="Q107" s="155">
        <f>N107/K107</f>
        <v>0.95325882352941149</v>
      </c>
      <c r="R107" s="321">
        <f>Q123</f>
        <v>0.94838988095238075</v>
      </c>
      <c r="S107" s="156">
        <v>0.70833333333333337</v>
      </c>
      <c r="T107" s="157">
        <v>0.74472222222222229</v>
      </c>
      <c r="U107" s="158"/>
      <c r="V107" s="159">
        <v>52.415861379540161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-199.40000000000032</v>
      </c>
      <c r="AF107" s="155">
        <f>M107/J107</f>
        <v>0.90029999999999988</v>
      </c>
      <c r="AG107" s="326">
        <f>AF123</f>
        <v>0.90016666666666667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1374</v>
      </c>
      <c r="G108" s="102">
        <f t="shared" si="47"/>
        <v>69620.58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1800.4</v>
      </c>
      <c r="N108" s="105">
        <f>M108/L108</f>
        <v>94.757894736842104</v>
      </c>
      <c r="O108" s="107">
        <f>L108-I108</f>
        <v>-1</v>
      </c>
      <c r="P108" s="108">
        <f>N108-K108</f>
        <v>-5.2421052631578959</v>
      </c>
      <c r="Q108" s="109">
        <f>N108/K108</f>
        <v>0.94757894736842108</v>
      </c>
      <c r="R108" s="322"/>
      <c r="S108" s="46">
        <v>0.74791666666666667</v>
      </c>
      <c r="T108" s="47">
        <v>0.77971064814814817</v>
      </c>
      <c r="U108" s="110">
        <v>4.5999999999999197</v>
      </c>
      <c r="V108" s="111">
        <v>45.789824483448122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-199.59999999999991</v>
      </c>
      <c r="AF108" s="109">
        <f>M108/J108</f>
        <v>0.9002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1692</v>
      </c>
      <c r="G109" s="102">
        <f t="shared" si="47"/>
        <v>96951.599999999991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1800</v>
      </c>
      <c r="N109" s="105">
        <f>M109/L109</f>
        <v>90</v>
      </c>
      <c r="O109" s="107">
        <f>L109-I109</f>
        <v>-1</v>
      </c>
      <c r="P109" s="108">
        <f>N109-K109</f>
        <v>-5.2380952380952408</v>
      </c>
      <c r="Q109" s="109">
        <f>N109/K109</f>
        <v>0.94499999999999995</v>
      </c>
      <c r="R109" s="322"/>
      <c r="S109" s="46">
        <v>0.78333333333333333</v>
      </c>
      <c r="T109" s="47">
        <v>0.82250000000000001</v>
      </c>
      <c r="U109" s="110">
        <v>5.2166666666666295</v>
      </c>
      <c r="V109" s="111">
        <v>56.4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-200</v>
      </c>
      <c r="AF109" s="109">
        <f>M109/J109</f>
        <v>0.9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1800.3333333333333</v>
      </c>
      <c r="N123" s="137">
        <f>M123/L123</f>
        <v>96.446428571428555</v>
      </c>
      <c r="O123" s="138">
        <f>L123-I123</f>
        <v>-1</v>
      </c>
      <c r="P123" s="139">
        <f>N123-K123</f>
        <v>-5.248486682808732</v>
      </c>
      <c r="Q123" s="140">
        <f>N123/K123</f>
        <v>0.94838988095238075</v>
      </c>
      <c r="R123" s="323"/>
      <c r="S123" s="141">
        <v>0.70833333333333337</v>
      </c>
      <c r="T123" s="142">
        <v>0.82250000000000001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-199.66666666666674</v>
      </c>
      <c r="AF123" s="140">
        <f>M123/J123</f>
        <v>0.90016666666666667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1928</v>
      </c>
      <c r="G124" s="147">
        <f t="shared" ref="G124:G126" si="54">E124*F124</f>
        <v>91772.800000000003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1801.6262087244711</v>
      </c>
      <c r="N124" s="151">
        <f>M124/L124</f>
        <v>78.331574292368302</v>
      </c>
      <c r="O124" s="153">
        <f>L124-I124</f>
        <v>0</v>
      </c>
      <c r="P124" s="154">
        <f>N124-K124</f>
        <v>-8.6249474467621354</v>
      </c>
      <c r="Q124" s="155">
        <f>N124/K124</f>
        <v>0.90081310436223549</v>
      </c>
      <c r="R124" s="321">
        <f>Q140</f>
        <v>0.90047177716842453</v>
      </c>
      <c r="S124" s="156">
        <v>0.70833333333333337</v>
      </c>
      <c r="T124" s="157">
        <v>0.75291666666666668</v>
      </c>
      <c r="U124" s="158"/>
      <c r="V124" s="159">
        <v>64.20865740063806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-198.3737912755289</v>
      </c>
      <c r="AF124" s="155">
        <f>M124/J124</f>
        <v>0.90081310436223549</v>
      </c>
      <c r="AG124" s="375">
        <f>AF140</f>
        <v>0.90047177716842453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1581</v>
      </c>
      <c r="G125" s="102">
        <f t="shared" si="54"/>
        <v>89911.47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1799.7740960068568</v>
      </c>
      <c r="N125" s="105">
        <f>M125/L125</f>
        <v>78.251047652472039</v>
      </c>
      <c r="O125" s="107">
        <f>L125-I125</f>
        <v>0</v>
      </c>
      <c r="P125" s="108">
        <f>N125-K125</f>
        <v>-8.7054740866583984</v>
      </c>
      <c r="Q125" s="109">
        <f>N125/K125</f>
        <v>0.89988704800342845</v>
      </c>
      <c r="R125" s="322"/>
      <c r="S125" s="46">
        <v>0.75694444444444442</v>
      </c>
      <c r="T125" s="47">
        <v>0.79354166666666659</v>
      </c>
      <c r="U125" s="110">
        <v>5.7999999999999474</v>
      </c>
      <c r="V125" s="111">
        <v>52.706614797082068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-200.22590399314322</v>
      </c>
      <c r="AF125" s="109">
        <f>M125/J125</f>
        <v>0.89988704800342834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2130</v>
      </c>
      <c r="G126" s="102">
        <f t="shared" si="54"/>
        <v>120962.7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1801.4303582792188</v>
      </c>
      <c r="N126" s="105">
        <f>M126/L126</f>
        <v>78.323059055618202</v>
      </c>
      <c r="O126" s="107">
        <f>L126-I126</f>
        <v>0</v>
      </c>
      <c r="P126" s="108">
        <f>N126-K126</f>
        <v>-8.633462683512235</v>
      </c>
      <c r="Q126" s="109">
        <f>N126/K126</f>
        <v>0.9007151791396093</v>
      </c>
      <c r="R126" s="322"/>
      <c r="S126" s="46">
        <v>0.79722222222222217</v>
      </c>
      <c r="T126" s="47">
        <v>0.84648148148148139</v>
      </c>
      <c r="U126" s="110">
        <v>5.3000000000000291</v>
      </c>
      <c r="V126" s="111">
        <v>70.943625110258751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-198.56964172078119</v>
      </c>
      <c r="AF126" s="109">
        <f>M126/J126</f>
        <v>0.90071517913960941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1800.943554336849</v>
      </c>
      <c r="N140" s="137">
        <f>M140/L140</f>
        <v>78.301893666819524</v>
      </c>
      <c r="O140" s="138">
        <f>L140-I140</f>
        <v>0</v>
      </c>
      <c r="P140" s="139">
        <f>N140-K140</f>
        <v>-8.6546280723109135</v>
      </c>
      <c r="Q140" s="140">
        <f>N140/K140</f>
        <v>0.90047177716842453</v>
      </c>
      <c r="R140" s="323"/>
      <c r="S140" s="141">
        <v>0.70833333333333337</v>
      </c>
      <c r="T140" s="142">
        <v>0.84648148148148139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-199.05644566315095</v>
      </c>
      <c r="AF140" s="140">
        <f>M140/J140</f>
        <v>0.90047177716842453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1C820353-93D7-4923-B770-313C19DF104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0F36-B5B4-4915-A5CD-1DCECE9EA3CB}">
  <sheetPr>
    <tabColor theme="8" tint="0.59999389629810485"/>
  </sheetPr>
  <dimension ref="B1:AR42"/>
  <sheetViews>
    <sheetView zoomScale="70" zoomScaleNormal="70" workbookViewId="0">
      <selection activeCell="T45" sqref="T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241</v>
      </c>
      <c r="D3" s="208"/>
      <c r="E3" s="3" t="s">
        <v>3</v>
      </c>
      <c r="F3" s="209">
        <f>'0803(18度C)'!D1+'0803(4度C)'!D1</f>
        <v>213443</v>
      </c>
      <c r="G3" s="210"/>
      <c r="H3" s="3" t="s">
        <v>4</v>
      </c>
      <c r="I3" s="211">
        <f>'0803(18度C)'!F1+'0803(4度C)'!F1</f>
        <v>6725813.8299999982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495.49466261644841</v>
      </c>
      <c r="F6" s="245" t="e">
        <f>AVERAGE(#REF!,D14:K14)</f>
        <v>#REF!</v>
      </c>
      <c r="G6" s="246">
        <f>AVERAGE(D14:K14)</f>
        <v>270.57677617213602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791</v>
      </c>
      <c r="N6" s="247"/>
      <c r="O6" s="235">
        <f>'0803(4度C)'!Y2</f>
        <v>0</v>
      </c>
      <c r="P6" s="235">
        <f>'0803(4度C)'!Z2</f>
        <v>0</v>
      </c>
      <c r="Q6" s="235">
        <f>'0803(4度C)'!AC2</f>
        <v>50</v>
      </c>
      <c r="R6" s="235">
        <f>'0803(4度C)'!AD2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444.57594226744095</v>
      </c>
      <c r="F7" s="241" t="e">
        <f>AVERAGE(#REF!,D15:K15)</f>
        <v>#REF!</v>
      </c>
      <c r="G7" s="242">
        <f>AVERAGE(D15:K15)</f>
        <v>239.3826684507732</v>
      </c>
      <c r="H7" s="243"/>
      <c r="I7" s="242">
        <f>AVERAGE(L15:O15)</f>
        <v>87.366578303389048</v>
      </c>
      <c r="J7" s="243"/>
      <c r="K7" s="242">
        <f>AVERAGE(D33:O33)</f>
        <v>663.49248180845507</v>
      </c>
      <c r="L7" s="243"/>
      <c r="M7" s="242">
        <f>AVERAGE(P33:X33)</f>
        <v>712.05399543345459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0.89956024813301438</v>
      </c>
      <c r="F8" s="260" t="e">
        <f>AVERAGE(D16:K16,#REF!)</f>
        <v>#REF!</v>
      </c>
      <c r="G8" s="248">
        <f>AVERAGE(D16:K16)</f>
        <v>0.89334852429596501</v>
      </c>
      <c r="H8" s="249"/>
      <c r="I8" s="248">
        <f>AVERAGE(L16:O16)</f>
        <v>0.92434660286992643</v>
      </c>
      <c r="J8" s="249"/>
      <c r="K8" s="248">
        <f>AVERAGE(D34:O34)</f>
        <v>0.89606889772945408</v>
      </c>
      <c r="L8" s="249"/>
      <c r="M8" s="248">
        <f>AVERAGE(P34:X34)</f>
        <v>0.89997600692369262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112.94520547945206</v>
      </c>
      <c r="G14" s="28">
        <v>90.322580645161295</v>
      </c>
      <c r="H14" s="28">
        <v>170.41420118343194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76.013049991963271</v>
      </c>
      <c r="F15" s="28">
        <v>101.94866714200369</v>
      </c>
      <c r="G15" s="28">
        <v>81.304211361785804</v>
      </c>
      <c r="H15" s="28">
        <v>153.72210876070241</v>
      </c>
      <c r="I15" s="28">
        <v>481.49402556288203</v>
      </c>
      <c r="J15" s="28">
        <v>541.81394788530213</v>
      </c>
      <c r="K15" s="36" t="s">
        <v>43</v>
      </c>
      <c r="L15" s="34" t="s">
        <v>43</v>
      </c>
      <c r="M15" s="30">
        <v>96.442857142857136</v>
      </c>
      <c r="N15" s="28">
        <v>78.29029946392096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0.90058939664391269</v>
      </c>
      <c r="F16" s="42">
        <f t="shared" si="0"/>
        <v>0.90263829003835883</v>
      </c>
      <c r="G16" s="42">
        <f t="shared" si="0"/>
        <v>0.90015376864834273</v>
      </c>
      <c r="H16" s="42">
        <f t="shared" si="0"/>
        <v>0.9020498743249552</v>
      </c>
      <c r="I16" s="42">
        <f t="shared" si="0"/>
        <v>0.85163656964471712</v>
      </c>
      <c r="J16" s="42">
        <f t="shared" si="0"/>
        <v>0.90302324647550358</v>
      </c>
      <c r="K16" s="43" t="s">
        <v>43</v>
      </c>
      <c r="L16" s="41" t="s">
        <v>43</v>
      </c>
      <c r="M16" s="44">
        <f>M15/M14</f>
        <v>0.94835476190476187</v>
      </c>
      <c r="N16" s="42">
        <f>N15/N14</f>
        <v>0.90033844383509098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0.63865740740740728</v>
      </c>
      <c r="F18" s="47">
        <v>0.60537037037037034</v>
      </c>
      <c r="G18" s="47">
        <v>0.6309837962962962</v>
      </c>
      <c r="H18" s="47">
        <v>0.59837962962962954</v>
      </c>
      <c r="I18" s="47">
        <v>0.43195601851851845</v>
      </c>
      <c r="J18" s="47">
        <v>0.31812499999999999</v>
      </c>
      <c r="K18" s="47" t="s">
        <v>43</v>
      </c>
      <c r="L18" s="46" t="s">
        <v>43</v>
      </c>
      <c r="M18" s="48">
        <v>0.82368055555555553</v>
      </c>
      <c r="N18" s="47">
        <v>0.84517361111111111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>
        <v>12</v>
      </c>
      <c r="F21" s="51">
        <v>6</v>
      </c>
      <c r="G21" s="51">
        <v>12</v>
      </c>
      <c r="H21" s="51">
        <v>12</v>
      </c>
      <c r="I21" s="51">
        <v>1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18.375</v>
      </c>
      <c r="G23" s="57">
        <v>22.142857142857142</v>
      </c>
      <c r="H23" s="57">
        <v>21.125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287.54468656386058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752.42135044136865</v>
      </c>
      <c r="N33" s="28">
        <v>845.52727511292676</v>
      </c>
      <c r="O33" s="28">
        <v>768.47661511566434</v>
      </c>
      <c r="P33" s="27">
        <v>438.85886039389055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646.82668167228576</v>
      </c>
      <c r="W33" s="28">
        <v>991.57723080971357</v>
      </c>
      <c r="X33" s="31">
        <v>770.95320885792853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0.87860876450068515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0.91202587932287105</v>
      </c>
      <c r="N34" s="42">
        <f>N33/N32</f>
        <v>0.89862802185914914</v>
      </c>
      <c r="O34" s="42">
        <f>O33/O32</f>
        <v>0.89501292523511122</v>
      </c>
      <c r="P34" s="41">
        <f>P33/P32</f>
        <v>0.89397175265422146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0.91219147415322366</v>
      </c>
      <c r="W34" s="42">
        <f>W33/W32</f>
        <v>0.9014338461906487</v>
      </c>
      <c r="X34" s="45">
        <f>X33/X32</f>
        <v>0.89230695469667665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0.33680555555555552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0.73333333333333328</v>
      </c>
      <c r="X35" s="49">
        <v>0.7416666666666667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0.43195601851851845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0.43174768518518514</v>
      </c>
      <c r="N36" s="47">
        <v>0.54303240740740755</v>
      </c>
      <c r="O36" s="47">
        <v>0.54972222222222233</v>
      </c>
      <c r="P36" s="46">
        <v>0.76072916666666668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0.88381944444444449</v>
      </c>
      <c r="W36" s="47">
        <v>1.1301736111111107</v>
      </c>
      <c r="X36" s="49">
        <v>1.1234490740740737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CCFA-11F2-45B2-830A-F9CCE8EEA53D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3" sqref="N43"/>
      <selection activeCell="N43" sqref="N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113354</v>
      </c>
      <c r="E1" s="87" t="s">
        <v>4</v>
      </c>
      <c r="F1" s="88">
        <f>SUM(G5:G140)</f>
        <v>2254623.919999999</v>
      </c>
      <c r="G1" s="89" t="s">
        <v>85</v>
      </c>
      <c r="H1" s="90">
        <f>L21+L38+L55+L72+L89+L106+L123+L140</f>
        <v>41.709523809523809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46237</v>
      </c>
      <c r="B2" s="294"/>
      <c r="C2" s="91" t="s">
        <v>41</v>
      </c>
      <c r="D2" s="92">
        <f>AVERAGE(N21,N38,N55,N72,N89,N106,N123,N140)</f>
        <v>687.77323862095477</v>
      </c>
      <c r="E2" s="92" t="s">
        <v>92</v>
      </c>
      <c r="F2" s="93">
        <f>F1/D1</f>
        <v>19.890113449900305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1843</v>
      </c>
      <c r="G5" s="147">
        <f t="shared" ref="G5:G9" si="0">E5*F5</f>
        <v>47254.520000000004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3217.6095511531857</v>
      </c>
      <c r="N5" s="151">
        <f>M5/L5</f>
        <v>321.76095511531855</v>
      </c>
      <c r="O5" s="153">
        <f>L5-I5</f>
        <v>0</v>
      </c>
      <c r="P5" s="154">
        <f>N5-K5</f>
        <v>-38.239044884681448</v>
      </c>
      <c r="Q5" s="155">
        <f>N5/K5</f>
        <v>0.89378043087588488</v>
      </c>
      <c r="R5" s="321">
        <f>Q21</f>
        <v>0.87860876450068515</v>
      </c>
      <c r="S5" s="156">
        <v>0.16666666666666666</v>
      </c>
      <c r="T5" s="157">
        <v>0.1905324074074074</v>
      </c>
      <c r="U5" s="158"/>
      <c r="V5" s="159">
        <v>34.367128218017726</v>
      </c>
      <c r="W5" s="160"/>
      <c r="X5" s="161"/>
      <c r="Y5" s="324"/>
      <c r="Z5" s="325"/>
      <c r="AA5" s="114">
        <f>M5-J5</f>
        <v>-382.39044884681425</v>
      </c>
      <c r="AB5" s="155">
        <f>M5/J5</f>
        <v>0.89378043087588488</v>
      </c>
      <c r="AC5" s="326">
        <f>AB21</f>
        <v>0.87860876450068515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2848</v>
      </c>
      <c r="G6" s="102">
        <f t="shared" si="0"/>
        <v>84072.959999999992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3158.1627399099657</v>
      </c>
      <c r="N6" s="105">
        <f>M6/L6</f>
        <v>287.10570362817867</v>
      </c>
      <c r="O6" s="107">
        <f>L6-I6</f>
        <v>0</v>
      </c>
      <c r="P6" s="108">
        <f>N6-K6</f>
        <v>-40.167023644548578</v>
      </c>
      <c r="Q6" s="109">
        <f>N6/K6</f>
        <v>0.87726742775276823</v>
      </c>
      <c r="R6" s="322"/>
      <c r="S6" s="46">
        <v>0.19444444444444445</v>
      </c>
      <c r="T6" s="47">
        <v>0.23201388888888891</v>
      </c>
      <c r="U6" s="110">
        <v>5.633333333333348</v>
      </c>
      <c r="V6" s="111">
        <v>54.107408032073586</v>
      </c>
      <c r="W6" s="112"/>
      <c r="X6" s="115"/>
      <c r="Y6" s="331"/>
      <c r="Z6" s="332"/>
      <c r="AA6" s="116">
        <f>M6-J6</f>
        <v>-441.83726009003431</v>
      </c>
      <c r="AB6" s="109">
        <f>M6/J6</f>
        <v>0.87726742775276823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3365</v>
      </c>
      <c r="G7" s="102">
        <f t="shared" si="0"/>
        <v>100445.25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22"/>
      <c r="S7" s="46">
        <v>0.23541666666666666</v>
      </c>
      <c r="T7" s="47">
        <v>0.27981481481481479</v>
      </c>
      <c r="U7" s="110">
        <v>4.8999999999999666</v>
      </c>
      <c r="V7" s="111">
        <v>63.939916768716991</v>
      </c>
      <c r="W7" s="112"/>
      <c r="X7" s="115"/>
      <c r="Y7" s="331"/>
      <c r="Z7" s="332"/>
      <c r="AA7" s="116">
        <f>M7-J7</f>
        <v>-442.3480948479928</v>
      </c>
      <c r="AB7" s="109">
        <f>M7/J7</f>
        <v>0.87712552920889086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2783</v>
      </c>
      <c r="G8" s="102">
        <f t="shared" si="0"/>
        <v>83490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3158.9912524265069</v>
      </c>
      <c r="N8" s="105">
        <f>M8/L8</f>
        <v>287.18102294786428</v>
      </c>
      <c r="O8" s="107">
        <f>L8-I8</f>
        <v>0</v>
      </c>
      <c r="P8" s="108">
        <f>N8-K8</f>
        <v>-40.091704324862974</v>
      </c>
      <c r="Q8" s="109">
        <f>N8/K8</f>
        <v>0.87749757011847429</v>
      </c>
      <c r="R8" s="322"/>
      <c r="S8" s="46">
        <v>0.28333333333333333</v>
      </c>
      <c r="T8" s="47">
        <v>0.32003472222222223</v>
      </c>
      <c r="U8" s="110">
        <v>5.066666666666686</v>
      </c>
      <c r="V8" s="111">
        <v>52.858645895818206</v>
      </c>
      <c r="W8" s="112"/>
      <c r="X8" s="115"/>
      <c r="Y8" s="331"/>
      <c r="Z8" s="332"/>
      <c r="AA8" s="116">
        <f>M8-J8</f>
        <v>-441.00874757349311</v>
      </c>
      <c r="AB8" s="109">
        <f>M8/J8</f>
        <v>0.87749757011847418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1390</v>
      </c>
      <c r="G9" s="102">
        <f t="shared" si="0"/>
        <v>39712.300000000003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3122.5423123706705</v>
      </c>
      <c r="N9" s="105">
        <f>M9/L9</f>
        <v>260.21185936422256</v>
      </c>
      <c r="O9" s="107">
        <f>L9-I9</f>
        <v>0</v>
      </c>
      <c r="P9" s="108">
        <f>N9-K9</f>
        <v>-39.788140635777438</v>
      </c>
      <c r="Q9" s="109">
        <f>N9/K9</f>
        <v>0.86737286454740858</v>
      </c>
      <c r="R9" s="322"/>
      <c r="S9" s="46">
        <v>0.32291666666666663</v>
      </c>
      <c r="T9" s="47">
        <v>0.34145833333333331</v>
      </c>
      <c r="U9" s="110">
        <v>5</v>
      </c>
      <c r="V9" s="111">
        <v>26.709005565622501</v>
      </c>
      <c r="W9" s="112"/>
      <c r="X9" s="115"/>
      <c r="Y9" s="331"/>
      <c r="Z9" s="332"/>
      <c r="AA9" s="116">
        <f>M9-J9</f>
        <v>-477.45768762932948</v>
      </c>
      <c r="AB9" s="109">
        <f>M9/J9</f>
        <v>0.86737286454740847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3162.9915522024667</v>
      </c>
      <c r="N21" s="137">
        <f>M21/L21</f>
        <v>287.54468656386058</v>
      </c>
      <c r="O21" s="138">
        <f>L21-I21</f>
        <v>0</v>
      </c>
      <c r="P21" s="139">
        <f>N21-K21</f>
        <v>-39.728040708866672</v>
      </c>
      <c r="Q21" s="140">
        <f>N21/K21</f>
        <v>0.87860876450068515</v>
      </c>
      <c r="R21" s="323"/>
      <c r="S21" s="141">
        <v>0.16666666666666666</v>
      </c>
      <c r="T21" s="142">
        <v>0.43195601851851845</v>
      </c>
      <c r="U21" s="143"/>
      <c r="V21" s="165"/>
      <c r="W21" s="166"/>
      <c r="X21" s="137"/>
      <c r="Y21" s="353"/>
      <c r="Z21" s="354"/>
      <c r="AA21" s="167">
        <f>M21-J21</f>
        <v>-437.00844779753334</v>
      </c>
      <c r="AB21" s="140">
        <f>M21/J21</f>
        <v>0.87860876450068515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2475</v>
      </c>
      <c r="G22" s="147">
        <f t="shared" ref="G22:G24" si="5">E22*F22</f>
        <v>45861.75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3008.8034405697481</v>
      </c>
      <c r="N22" s="151">
        <f>M22/L22</f>
        <v>1002.934480189916</v>
      </c>
      <c r="O22" s="153">
        <f>L22-I22</f>
        <v>0</v>
      </c>
      <c r="P22" s="154">
        <f>N22-K22</f>
        <v>-97.06551981008397</v>
      </c>
      <c r="Q22" s="155">
        <f>N22/K22</f>
        <v>0.91175861835446914</v>
      </c>
      <c r="R22" s="321">
        <f>Q38</f>
        <v>0.91202587932287105</v>
      </c>
      <c r="S22" s="156">
        <v>0.33680555555555552</v>
      </c>
      <c r="T22" s="157">
        <v>0.37107638888888883</v>
      </c>
      <c r="U22" s="158"/>
      <c r="V22" s="111">
        <v>49.355168236539903</v>
      </c>
      <c r="W22" s="160"/>
      <c r="X22" s="161"/>
      <c r="Y22" s="324"/>
      <c r="Z22" s="325"/>
      <c r="AA22" s="114">
        <f>M22-J22</f>
        <v>-291.19655943025191</v>
      </c>
      <c r="AB22" s="155">
        <f>M22/J22</f>
        <v>0.91175861835446914</v>
      </c>
      <c r="AC22" s="326">
        <f>AB38</f>
        <v>0.91202587932287105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807</v>
      </c>
      <c r="G23" s="102">
        <f t="shared" si="5"/>
        <v>17979.96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3011.749807085017</v>
      </c>
      <c r="N23" s="105">
        <f>M23/L23</f>
        <v>602.34996141700344</v>
      </c>
      <c r="O23" s="107">
        <f>L23-I23</f>
        <v>0</v>
      </c>
      <c r="P23" s="108">
        <f>N23-K23</f>
        <v>-57.650038582996558</v>
      </c>
      <c r="Q23" s="109">
        <f>N23/K23</f>
        <v>0.91265145669242942</v>
      </c>
      <c r="R23" s="322"/>
      <c r="S23" s="46">
        <v>0.37499999999999994</v>
      </c>
      <c r="T23" s="47">
        <v>0.38615740740740734</v>
      </c>
      <c r="U23" s="110">
        <v>5.6500000000000039</v>
      </c>
      <c r="V23" s="111">
        <v>16.077032655931099</v>
      </c>
      <c r="W23" s="112"/>
      <c r="X23" s="115"/>
      <c r="Y23" s="331"/>
      <c r="Z23" s="332"/>
      <c r="AA23" s="116">
        <f>M23-J23</f>
        <v>-288.25019291498302</v>
      </c>
      <c r="AB23" s="109">
        <f>M23/J23</f>
        <v>0.91265145669242942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3045</v>
      </c>
      <c r="G24" s="102">
        <f t="shared" si="5"/>
        <v>54475.05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3008.5029576416591</v>
      </c>
      <c r="N24" s="105">
        <f>M24/L24</f>
        <v>752.12573941041478</v>
      </c>
      <c r="O24" s="107">
        <f>L24-I24</f>
        <v>0</v>
      </c>
      <c r="P24" s="108">
        <f>N24-K24</f>
        <v>-72.874260589585219</v>
      </c>
      <c r="Q24" s="109">
        <f>N24/K24</f>
        <v>0.91166756292171491</v>
      </c>
      <c r="R24" s="322"/>
      <c r="S24" s="46">
        <v>0.38958333333333328</v>
      </c>
      <c r="T24" s="47">
        <v>0.43174768518518514</v>
      </c>
      <c r="U24" s="110">
        <v>4.9333333333333584</v>
      </c>
      <c r="V24" s="111">
        <v>60.727877809107099</v>
      </c>
      <c r="W24" s="112"/>
      <c r="X24" s="115"/>
      <c r="Y24" s="331"/>
      <c r="Z24" s="332"/>
      <c r="AA24" s="116">
        <f>M24-J24</f>
        <v>-291.49704235834088</v>
      </c>
      <c r="AB24" s="109">
        <f>M24/J24</f>
        <v>0.91166756292171491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3009.6854017654746</v>
      </c>
      <c r="N38" s="137">
        <f t="shared" ref="N38:N44" si="10">M38/L38</f>
        <v>752.42135044136865</v>
      </c>
      <c r="O38" s="138">
        <f t="shared" ref="O38:O44" si="11">L38-I38</f>
        <v>0</v>
      </c>
      <c r="P38" s="139">
        <f t="shared" ref="P38:P44" si="12">N38-K38</f>
        <v>-72.578649558631355</v>
      </c>
      <c r="Q38" s="140">
        <f t="shared" ref="Q38:Q44" si="13">N38/K38</f>
        <v>0.91202587932287105</v>
      </c>
      <c r="R38" s="323"/>
      <c r="S38" s="141">
        <v>0.33680555555555552</v>
      </c>
      <c r="T38" s="142">
        <v>0.43174768518518514</v>
      </c>
      <c r="U38" s="143"/>
      <c r="V38" s="165"/>
      <c r="W38" s="98"/>
      <c r="X38" s="68"/>
      <c r="Y38" s="353"/>
      <c r="Z38" s="354"/>
      <c r="AA38" s="167">
        <f t="shared" ref="AA38:AA44" si="14">M38-J38</f>
        <v>-290.31459823452542</v>
      </c>
      <c r="AB38" s="140">
        <f t="shared" ref="AB38:AB44" si="15">M38/J38</f>
        <v>0.91202587932287105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1029</v>
      </c>
      <c r="G39" s="147">
        <f t="shared" ref="G39:G44" si="16">E39*F39</f>
        <v>25755.870000000003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3214.1895508629163</v>
      </c>
      <c r="N39" s="151">
        <f t="shared" si="10"/>
        <v>642.83791017258329</v>
      </c>
      <c r="O39" s="153">
        <f t="shared" si="11"/>
        <v>0</v>
      </c>
      <c r="P39" s="154">
        <f t="shared" si="12"/>
        <v>-77.162089827416708</v>
      </c>
      <c r="Q39" s="155">
        <f t="shared" si="13"/>
        <v>0.89283043079525459</v>
      </c>
      <c r="R39" s="321">
        <f>Q55</f>
        <v>0.89862802185914914</v>
      </c>
      <c r="S39" s="156">
        <v>0.25</v>
      </c>
      <c r="T39" s="157">
        <v>0.26333333333333331</v>
      </c>
      <c r="U39" s="158"/>
      <c r="V39" s="159">
        <v>19.208574672711698</v>
      </c>
      <c r="W39" s="160"/>
      <c r="X39" s="161"/>
      <c r="Y39" s="324"/>
      <c r="Z39" s="325"/>
      <c r="AA39" s="114">
        <f t="shared" si="14"/>
        <v>-385.81044913708365</v>
      </c>
      <c r="AB39" s="155">
        <f t="shared" si="15"/>
        <v>0.89283043079525459</v>
      </c>
      <c r="AC39" s="326">
        <f>AB55</f>
        <v>0.89862802185914914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1234</v>
      </c>
      <c r="G40" s="102">
        <f t="shared" si="16"/>
        <v>22434.12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3212.7618073801177</v>
      </c>
      <c r="N40" s="105">
        <f t="shared" si="10"/>
        <v>1070.9206024600392</v>
      </c>
      <c r="O40" s="107">
        <f t="shared" si="11"/>
        <v>0</v>
      </c>
      <c r="P40" s="108">
        <f t="shared" si="12"/>
        <v>-129.07939753996084</v>
      </c>
      <c r="Q40" s="109">
        <f t="shared" si="13"/>
        <v>0.89243383538336596</v>
      </c>
      <c r="R40" s="322"/>
      <c r="S40" s="46">
        <v>0.27361111111111114</v>
      </c>
      <c r="T40" s="47">
        <v>0.28960648148148149</v>
      </c>
      <c r="U40" s="110">
        <v>14.800000000000075</v>
      </c>
      <c r="V40" s="111">
        <v>23.045592682881381</v>
      </c>
      <c r="W40" s="112"/>
      <c r="X40" s="115"/>
      <c r="Y40" s="331"/>
      <c r="Z40" s="332"/>
      <c r="AA40" s="116">
        <f t="shared" si="14"/>
        <v>-387.23819261988228</v>
      </c>
      <c r="AB40" s="109">
        <f t="shared" si="15"/>
        <v>0.89243383538336607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1334</v>
      </c>
      <c r="G41" s="102">
        <f t="shared" si="16"/>
        <v>33109.879999999997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3213.5201595422814</v>
      </c>
      <c r="N41" s="105">
        <f t="shared" si="10"/>
        <v>642.70403190845627</v>
      </c>
      <c r="O41" s="107">
        <f t="shared" si="11"/>
        <v>0</v>
      </c>
      <c r="P41" s="108">
        <f t="shared" si="12"/>
        <v>-77.295968091543727</v>
      </c>
      <c r="Q41" s="109">
        <f t="shared" si="13"/>
        <v>0.89264448876174485</v>
      </c>
      <c r="R41" s="322"/>
      <c r="S41" s="46">
        <v>0.30000000000000004</v>
      </c>
      <c r="T41" s="47">
        <v>0.31729166666666669</v>
      </c>
      <c r="U41" s="110">
        <v>14.966666666666715</v>
      </c>
      <c r="V41" s="111">
        <v>24.9072655612033</v>
      </c>
      <c r="W41" s="112"/>
      <c r="X41" s="115"/>
      <c r="Y41" s="331"/>
      <c r="Z41" s="332"/>
      <c r="AA41" s="116">
        <f t="shared" si="14"/>
        <v>-386.47984045771864</v>
      </c>
      <c r="AB41" s="109">
        <f t="shared" si="15"/>
        <v>0.89264448876174485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2265</v>
      </c>
      <c r="G42" s="102">
        <f t="shared" si="16"/>
        <v>38663.550000000003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3012.3671831917841</v>
      </c>
      <c r="N42" s="105">
        <f t="shared" si="10"/>
        <v>1004.1223943972614</v>
      </c>
      <c r="O42" s="107">
        <f t="shared" si="11"/>
        <v>0</v>
      </c>
      <c r="P42" s="108">
        <f t="shared" si="12"/>
        <v>-95.87760560273864</v>
      </c>
      <c r="Q42" s="109">
        <f t="shared" si="13"/>
        <v>0.91283854036114664</v>
      </c>
      <c r="R42" s="322"/>
      <c r="S42" s="46">
        <v>0.32708333333333339</v>
      </c>
      <c r="T42" s="47">
        <v>0.35840277777777785</v>
      </c>
      <c r="U42" s="110">
        <v>15</v>
      </c>
      <c r="V42" s="111">
        <v>45.114022207613409</v>
      </c>
      <c r="W42" s="112"/>
      <c r="X42" s="115"/>
      <c r="Y42" s="331"/>
      <c r="Z42" s="332"/>
      <c r="AA42" s="116">
        <f t="shared" si="14"/>
        <v>-287.63281680821592</v>
      </c>
      <c r="AB42" s="109">
        <f t="shared" si="15"/>
        <v>0.91283854036114664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4912</v>
      </c>
      <c r="G43" s="102">
        <f t="shared" si="16"/>
        <v>68915.360000000001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2738.0161146167411</v>
      </c>
      <c r="N43" s="105">
        <f t="shared" si="10"/>
        <v>912.67203820558041</v>
      </c>
      <c r="O43" s="107">
        <f t="shared" si="11"/>
        <v>0</v>
      </c>
      <c r="P43" s="108">
        <f t="shared" si="12"/>
        <v>-87.327961794419593</v>
      </c>
      <c r="Q43" s="109">
        <f t="shared" si="13"/>
        <v>0.9126720382055804</v>
      </c>
      <c r="R43" s="322"/>
      <c r="S43" s="46">
        <v>0.36875000000000008</v>
      </c>
      <c r="T43" s="47">
        <v>0.44349537037037046</v>
      </c>
      <c r="U43" s="110">
        <v>14.900000000000011</v>
      </c>
      <c r="V43" s="111">
        <v>107.63998006682804</v>
      </c>
      <c r="W43" s="112"/>
      <c r="X43" s="115"/>
      <c r="Y43" s="331"/>
      <c r="Z43" s="332"/>
      <c r="AA43" s="116">
        <f t="shared" si="14"/>
        <v>-261.98388538325889</v>
      </c>
      <c r="AB43" s="109">
        <f t="shared" si="15"/>
        <v>0.9126720382055804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6902</v>
      </c>
      <c r="G44" s="120">
        <f t="shared" si="16"/>
        <v>98560.56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3210.7452368905497</v>
      </c>
      <c r="N44" s="105">
        <f t="shared" si="10"/>
        <v>1070.2484122968499</v>
      </c>
      <c r="O44" s="107">
        <f t="shared" si="11"/>
        <v>0</v>
      </c>
      <c r="P44" s="108">
        <f t="shared" si="12"/>
        <v>-129.75158770315011</v>
      </c>
      <c r="Q44" s="109">
        <f t="shared" si="13"/>
        <v>0.89187367691404162</v>
      </c>
      <c r="R44" s="322"/>
      <c r="S44" s="46">
        <v>0.45347222222222233</v>
      </c>
      <c r="T44" s="119">
        <v>0.54303240740740755</v>
      </c>
      <c r="U44" s="110">
        <v>15</v>
      </c>
      <c r="V44" s="111">
        <v>128.97940180425371</v>
      </c>
      <c r="W44" s="112"/>
      <c r="X44" s="115"/>
      <c r="Y44" s="331"/>
      <c r="Z44" s="332"/>
      <c r="AA44" s="116">
        <f t="shared" si="14"/>
        <v>-389.25476310945032</v>
      </c>
      <c r="AB44" s="109">
        <f t="shared" si="15"/>
        <v>0.89187367691404162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3100.2666754140646</v>
      </c>
      <c r="N55" s="137">
        <f t="shared" ref="N55:N62" si="22">M55/L55</f>
        <v>845.52727511292676</v>
      </c>
      <c r="O55" s="138">
        <f t="shared" ref="O55:O62" si="23">L55-I55</f>
        <v>0</v>
      </c>
      <c r="P55" s="139">
        <f t="shared" ref="P55:P62" si="24">N55-K55</f>
        <v>-95.381815796164233</v>
      </c>
      <c r="Q55" s="140">
        <f t="shared" ref="Q55:Q62" si="25">N55/K55</f>
        <v>0.89862802185914914</v>
      </c>
      <c r="R55" s="323"/>
      <c r="S55" s="141">
        <v>0.25</v>
      </c>
      <c r="T55" s="142">
        <v>0.54303240740740755</v>
      </c>
      <c r="U55" s="143"/>
      <c r="V55" s="165"/>
      <c r="W55" s="98"/>
      <c r="X55" s="68"/>
      <c r="Y55" s="353"/>
      <c r="Z55" s="354"/>
      <c r="AA55" s="167">
        <f t="shared" ref="AA55:AA62" si="26">M55-J55</f>
        <v>-349.73332458593541</v>
      </c>
      <c r="AB55" s="140">
        <f t="shared" ref="AB55:AB62" si="27">M55/J55</f>
        <v>0.89862802185914914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1711</v>
      </c>
      <c r="G56" s="147">
        <f t="shared" ref="G56:G62" si="28">E56*F56</f>
        <v>35451.919999999998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3212.9583578594538</v>
      </c>
      <c r="N56" s="151">
        <f t="shared" si="22"/>
        <v>1070.9861192864846</v>
      </c>
      <c r="O56" s="153">
        <f t="shared" si="23"/>
        <v>0</v>
      </c>
      <c r="P56" s="154">
        <f t="shared" si="24"/>
        <v>-129.01388071351539</v>
      </c>
      <c r="Q56" s="155">
        <f t="shared" si="25"/>
        <v>0.89248843273873713</v>
      </c>
      <c r="R56" s="321">
        <f>Q72</f>
        <v>0.89501292523511122</v>
      </c>
      <c r="S56" s="156">
        <v>0.25</v>
      </c>
      <c r="T56" s="157">
        <v>0.27218750000000003</v>
      </c>
      <c r="U56" s="158"/>
      <c r="V56" s="159">
        <v>31.951861358201491</v>
      </c>
      <c r="W56" s="157"/>
      <c r="X56" s="168"/>
      <c r="Y56" s="324"/>
      <c r="Z56" s="325"/>
      <c r="AA56" s="114">
        <f t="shared" si="26"/>
        <v>-387.04164214054617</v>
      </c>
      <c r="AB56" s="155">
        <f t="shared" si="27"/>
        <v>0.89248843273873713</v>
      </c>
      <c r="AC56" s="326">
        <f>AB72</f>
        <v>0.89501292523511111</v>
      </c>
    </row>
    <row r="57" spans="1:29" ht="15.75" customHeight="1">
      <c r="A57" s="356"/>
      <c r="B57" s="99" t="s">
        <v>121</v>
      </c>
      <c r="C57" s="329" t="s">
        <v>232</v>
      </c>
      <c r="D57" s="330"/>
      <c r="E57" s="100">
        <v>23.72</v>
      </c>
      <c r="F57" s="101">
        <v>751</v>
      </c>
      <c r="G57" s="102">
        <f t="shared" si="28"/>
        <v>17813.719999999998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3211.7511494849391</v>
      </c>
      <c r="N57" s="105">
        <f t="shared" si="22"/>
        <v>642.3502298969878</v>
      </c>
      <c r="O57" s="107">
        <f t="shared" si="23"/>
        <v>0</v>
      </c>
      <c r="P57" s="108">
        <f t="shared" si="24"/>
        <v>-77.649770103012202</v>
      </c>
      <c r="Q57" s="109">
        <f t="shared" si="25"/>
        <v>0.89215309707914969</v>
      </c>
      <c r="R57" s="322"/>
      <c r="S57" s="46">
        <v>0.28194444444444444</v>
      </c>
      <c r="T57" s="47">
        <v>0.29167824074074072</v>
      </c>
      <c r="U57" s="110">
        <v>15</v>
      </c>
      <c r="V57" s="111">
        <v>14.029729547143203</v>
      </c>
      <c r="W57" s="112"/>
      <c r="X57" s="13"/>
      <c r="Y57" s="331"/>
      <c r="Z57" s="332"/>
      <c r="AA57" s="116">
        <f t="shared" si="26"/>
        <v>-388.24885051506089</v>
      </c>
      <c r="AB57" s="109">
        <f t="shared" si="27"/>
        <v>0.8921530970791498</v>
      </c>
      <c r="AC57" s="327"/>
    </row>
    <row r="58" spans="1:29" ht="15.75" customHeight="1">
      <c r="A58" s="356"/>
      <c r="B58" s="99" t="s">
        <v>121</v>
      </c>
      <c r="C58" s="329" t="s">
        <v>135</v>
      </c>
      <c r="D58" s="330"/>
      <c r="E58" s="100">
        <v>30</v>
      </c>
      <c r="F58" s="101">
        <v>1910</v>
      </c>
      <c r="G58" s="102">
        <f t="shared" si="28"/>
        <v>57300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3213.1506743701643</v>
      </c>
      <c r="N58" s="105">
        <f t="shared" si="22"/>
        <v>803.28766859254108</v>
      </c>
      <c r="O58" s="107">
        <f t="shared" si="23"/>
        <v>0</v>
      </c>
      <c r="P58" s="108">
        <f t="shared" si="24"/>
        <v>-96.712331407458919</v>
      </c>
      <c r="Q58" s="109">
        <f t="shared" si="25"/>
        <v>0.89254185399171226</v>
      </c>
      <c r="R58" s="322"/>
      <c r="S58" s="46">
        <v>0.30208333333333337</v>
      </c>
      <c r="T58" s="47">
        <v>0.3268402777777778</v>
      </c>
      <c r="U58" s="110">
        <v>14.983333333333411</v>
      </c>
      <c r="V58" s="111">
        <v>35.665927811637303</v>
      </c>
      <c r="W58" s="112"/>
      <c r="X58" s="13"/>
      <c r="Y58" s="331"/>
      <c r="Z58" s="332"/>
      <c r="AA58" s="116">
        <f t="shared" si="26"/>
        <v>-386.84932562983568</v>
      </c>
      <c r="AB58" s="109">
        <f t="shared" si="27"/>
        <v>0.89254185399171226</v>
      </c>
      <c r="AC58" s="327"/>
    </row>
    <row r="59" spans="1:29" ht="15.75" customHeight="1">
      <c r="A59" s="356"/>
      <c r="B59" s="99" t="s">
        <v>121</v>
      </c>
      <c r="C59" s="329" t="s">
        <v>136</v>
      </c>
      <c r="D59" s="330"/>
      <c r="E59" s="100">
        <v>30</v>
      </c>
      <c r="F59" s="101">
        <v>2485</v>
      </c>
      <c r="G59" s="102">
        <f t="shared" si="28"/>
        <v>74550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3011.7351217523924</v>
      </c>
      <c r="N59" s="105">
        <f t="shared" si="22"/>
        <v>752.9337804380981</v>
      </c>
      <c r="O59" s="107">
        <f t="shared" si="23"/>
        <v>0</v>
      </c>
      <c r="P59" s="108">
        <f t="shared" si="24"/>
        <v>-72.066219561901903</v>
      </c>
      <c r="Q59" s="109">
        <f t="shared" si="25"/>
        <v>0.912647006591634</v>
      </c>
      <c r="R59" s="322"/>
      <c r="S59" s="46">
        <v>0.33680555555555564</v>
      </c>
      <c r="T59" s="47">
        <v>0.37118055555555562</v>
      </c>
      <c r="U59" s="110">
        <v>15</v>
      </c>
      <c r="V59" s="111">
        <v>49.50634566868731</v>
      </c>
      <c r="W59" s="112"/>
      <c r="X59" s="115"/>
      <c r="Y59" s="331"/>
      <c r="Z59" s="332"/>
      <c r="AA59" s="116">
        <f t="shared" si="26"/>
        <v>-288.26487824760761</v>
      </c>
      <c r="AB59" s="109">
        <f t="shared" si="27"/>
        <v>0.912647006591634</v>
      </c>
      <c r="AC59" s="327"/>
    </row>
    <row r="60" spans="1:29" ht="15.75" customHeight="1">
      <c r="A60" s="357"/>
      <c r="B60" s="99" t="s">
        <v>121</v>
      </c>
      <c r="C60" s="329" t="s">
        <v>137</v>
      </c>
      <c r="D60" s="330"/>
      <c r="E60" s="100">
        <v>27.48</v>
      </c>
      <c r="F60" s="101">
        <v>3678</v>
      </c>
      <c r="G60" s="102">
        <f t="shared" si="28"/>
        <v>101071.44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3213.0058765915905</v>
      </c>
      <c r="N60" s="105">
        <f t="shared" si="22"/>
        <v>642.60117531831816</v>
      </c>
      <c r="O60" s="107">
        <f t="shared" si="23"/>
        <v>0</v>
      </c>
      <c r="P60" s="108">
        <f t="shared" si="24"/>
        <v>-77.398824681681845</v>
      </c>
      <c r="Q60" s="109">
        <f t="shared" si="25"/>
        <v>0.892501632386553</v>
      </c>
      <c r="R60" s="322"/>
      <c r="S60" s="46">
        <v>0.38125000000000009</v>
      </c>
      <c r="T60" s="47">
        <v>0.42894675925925935</v>
      </c>
      <c r="U60" s="110">
        <v>14.500000000000028</v>
      </c>
      <c r="V60" s="111">
        <v>68.683347767200786</v>
      </c>
      <c r="W60" s="112"/>
      <c r="X60" s="115"/>
      <c r="Y60" s="331"/>
      <c r="Z60" s="332"/>
      <c r="AA60" s="116">
        <f t="shared" si="26"/>
        <v>-386.99412340840945</v>
      </c>
      <c r="AB60" s="109">
        <f t="shared" si="27"/>
        <v>0.89250163238655289</v>
      </c>
      <c r="AC60" s="327"/>
    </row>
    <row r="61" spans="1:29" ht="15.75" customHeight="1">
      <c r="A61" s="357"/>
      <c r="B61" s="99" t="s">
        <v>121</v>
      </c>
      <c r="C61" s="329" t="s">
        <v>138</v>
      </c>
      <c r="D61" s="330"/>
      <c r="E61" s="100">
        <v>18.18</v>
      </c>
      <c r="F61" s="101">
        <v>2197</v>
      </c>
      <c r="G61" s="120">
        <f t="shared" si="28"/>
        <v>39941.46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3210.8462807528699</v>
      </c>
      <c r="N61" s="105">
        <f t="shared" si="22"/>
        <v>1070.2820935842899</v>
      </c>
      <c r="O61" s="107">
        <f t="shared" si="23"/>
        <v>0</v>
      </c>
      <c r="P61" s="108">
        <f t="shared" si="24"/>
        <v>-129.7179064157101</v>
      </c>
      <c r="Q61" s="109">
        <f t="shared" si="25"/>
        <v>0.89190174465357497</v>
      </c>
      <c r="R61" s="322"/>
      <c r="S61" s="46">
        <v>0.43888888888888899</v>
      </c>
      <c r="T61" s="119">
        <v>0.46739583333333345</v>
      </c>
      <c r="U61" s="110">
        <v>15</v>
      </c>
      <c r="V61" s="111">
        <v>41.054596973446898</v>
      </c>
      <c r="W61" s="112"/>
      <c r="X61" s="49"/>
      <c r="Y61" s="331"/>
      <c r="Z61" s="332"/>
      <c r="AA61" s="116">
        <f t="shared" si="26"/>
        <v>-389.15371924713008</v>
      </c>
      <c r="AB61" s="109">
        <f t="shared" si="27"/>
        <v>0.89190174465357497</v>
      </c>
      <c r="AC61" s="327"/>
    </row>
    <row r="62" spans="1:29" ht="15.75" customHeight="1">
      <c r="A62" s="357"/>
      <c r="B62" s="99" t="s">
        <v>121</v>
      </c>
      <c r="C62" s="329" t="s">
        <v>139</v>
      </c>
      <c r="D62" s="330"/>
      <c r="E62" s="100">
        <v>16.66</v>
      </c>
      <c r="F62" s="101">
        <v>5547</v>
      </c>
      <c r="G62" s="120">
        <f t="shared" si="28"/>
        <v>92413.02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3212.3743775428579</v>
      </c>
      <c r="N62" s="105">
        <f t="shared" si="22"/>
        <v>642.47487550857159</v>
      </c>
      <c r="O62" s="122">
        <f t="shared" si="23"/>
        <v>0</v>
      </c>
      <c r="P62" s="123">
        <f t="shared" si="24"/>
        <v>-77.525124491428414</v>
      </c>
      <c r="Q62" s="124">
        <f t="shared" si="25"/>
        <v>0.8923262159841272</v>
      </c>
      <c r="R62" s="322"/>
      <c r="S62" s="46">
        <v>0.47777777777777791</v>
      </c>
      <c r="T62" s="119">
        <v>0.54972222222222233</v>
      </c>
      <c r="U62" s="110">
        <v>14.950000000000019</v>
      </c>
      <c r="V62" s="111">
        <v>103.605607841566</v>
      </c>
      <c r="W62" s="112"/>
      <c r="X62" s="115"/>
      <c r="Y62" s="331"/>
      <c r="Z62" s="332"/>
      <c r="AA62" s="116">
        <f t="shared" si="26"/>
        <v>-387.62562245714207</v>
      </c>
      <c r="AB62" s="109">
        <f t="shared" si="27"/>
        <v>0.8923262159841272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3183.6888340506098</v>
      </c>
      <c r="N72" s="137">
        <f>M72/L72</f>
        <v>768.47661511566434</v>
      </c>
      <c r="O72" s="138">
        <f>L72-I72</f>
        <v>0</v>
      </c>
      <c r="P72" s="139">
        <f>N72-K72</f>
        <v>-90.144074539507983</v>
      </c>
      <c r="Q72" s="140">
        <f>N72/K72</f>
        <v>0.89501292523511122</v>
      </c>
      <c r="R72" s="323"/>
      <c r="S72" s="141">
        <v>0.25</v>
      </c>
      <c r="T72" s="142">
        <v>0.54972222222222233</v>
      </c>
      <c r="U72" s="143"/>
      <c r="V72" s="165"/>
      <c r="W72" s="166"/>
      <c r="X72" s="137"/>
      <c r="Y72" s="353"/>
      <c r="Z72" s="354"/>
      <c r="AA72" s="167">
        <f>M72-J72</f>
        <v>-373.45402309224755</v>
      </c>
      <c r="AB72" s="140">
        <f>M72/J72</f>
        <v>0.89501292523511111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1434</v>
      </c>
      <c r="G73" s="147">
        <f t="shared" ref="G73:G75" si="33">E73*F73</f>
        <v>40969.379999999997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3122.8594291820805</v>
      </c>
      <c r="N73" s="151">
        <f>M73/L73</f>
        <v>260.23828576517337</v>
      </c>
      <c r="O73" s="153">
        <f>L73-I73</f>
        <v>0</v>
      </c>
      <c r="P73" s="154">
        <f>N73-K73</f>
        <v>-39.761714234826627</v>
      </c>
      <c r="Q73" s="155">
        <f>N73/K73</f>
        <v>0.86746095255057787</v>
      </c>
      <c r="R73" s="321">
        <f>Q89</f>
        <v>0.89397175265422146</v>
      </c>
      <c r="S73" s="156">
        <v>0.70833333333333337</v>
      </c>
      <c r="T73" s="157">
        <v>0.72746527777777781</v>
      </c>
      <c r="U73" s="158"/>
      <c r="V73" s="159">
        <v>27.551672417908048</v>
      </c>
      <c r="W73" s="157"/>
      <c r="X73" s="168"/>
      <c r="Y73" s="324"/>
      <c r="Z73" s="325"/>
      <c r="AA73" s="114">
        <f>M73-J73</f>
        <v>-477.14057081791952</v>
      </c>
      <c r="AB73" s="155">
        <f>M73/J73</f>
        <v>0.86746095255057787</v>
      </c>
      <c r="AC73" s="326">
        <f>AB89</f>
        <v>0.89397175265422146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722</v>
      </c>
      <c r="G74" s="102">
        <f t="shared" si="33"/>
        <v>12786.62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3265.3413009844212</v>
      </c>
      <c r="N74" s="105">
        <f>M74/L74</f>
        <v>653.06826019688424</v>
      </c>
      <c r="O74" s="107">
        <f>L74-I74</f>
        <v>0</v>
      </c>
      <c r="P74" s="108">
        <f>N74-K74</f>
        <v>-66.931739803115761</v>
      </c>
      <c r="Q74" s="109">
        <f>N74/K74</f>
        <v>0.90703925027345034</v>
      </c>
      <c r="R74" s="322"/>
      <c r="S74" s="46">
        <v>0.73125000000000007</v>
      </c>
      <c r="T74" s="47">
        <v>0.74045138888888895</v>
      </c>
      <c r="U74" s="110">
        <v>5.4500000000000526</v>
      </c>
      <c r="V74" s="111">
        <v>13.266607073184073</v>
      </c>
      <c r="W74" s="112"/>
      <c r="X74" s="13"/>
      <c r="Y74" s="331"/>
      <c r="Z74" s="332"/>
      <c r="AA74" s="116">
        <f>M74-J74</f>
        <v>-334.6586990155788</v>
      </c>
      <c r="AB74" s="109">
        <f>M74/J74</f>
        <v>0.90703925027345034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1332</v>
      </c>
      <c r="G75" s="102">
        <f t="shared" si="33"/>
        <v>25201.440000000002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3266.6941984990904</v>
      </c>
      <c r="N75" s="105">
        <f>M75/L75</f>
        <v>653.3388396998181</v>
      </c>
      <c r="O75" s="107">
        <f>L75-I75</f>
        <v>0</v>
      </c>
      <c r="P75" s="108">
        <f>N75-K75</f>
        <v>-66.661160300181905</v>
      </c>
      <c r="Q75" s="109">
        <f>N75/K75</f>
        <v>0.9074150551386363</v>
      </c>
      <c r="R75" s="322"/>
      <c r="S75" s="46">
        <v>0.74375000000000002</v>
      </c>
      <c r="T75" s="47">
        <v>0.76072916666666668</v>
      </c>
      <c r="U75" s="110">
        <v>4.7499999999999432</v>
      </c>
      <c r="V75" s="111">
        <v>24.465099927847518</v>
      </c>
      <c r="W75" s="112"/>
      <c r="X75" s="13"/>
      <c r="Y75" s="331"/>
      <c r="Z75" s="332"/>
      <c r="AA75" s="116">
        <f>M75-J75</f>
        <v>-333.30580150090964</v>
      </c>
      <c r="AB75" s="109">
        <f>M75/J75</f>
        <v>0.90741505513863618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3218.2983095551972</v>
      </c>
      <c r="N89" s="137">
        <f t="shared" ref="N89:N94" si="37">M89/L89</f>
        <v>438.85886039389055</v>
      </c>
      <c r="O89" s="138">
        <f t="shared" ref="O89:O94" si="38">L89-I89</f>
        <v>0</v>
      </c>
      <c r="P89" s="139">
        <f t="shared" ref="P89:P94" si="39">N89-K89</f>
        <v>-52.050230515200383</v>
      </c>
      <c r="Q89" s="140">
        <f t="shared" ref="Q89:Q94" si="40">N89/K89</f>
        <v>0.89397175265422146</v>
      </c>
      <c r="R89" s="323"/>
      <c r="S89" s="141">
        <v>0.70833333333333337</v>
      </c>
      <c r="T89" s="142">
        <v>0.76072916666666668</v>
      </c>
      <c r="U89" s="143"/>
      <c r="V89" s="165"/>
      <c r="W89" s="166"/>
      <c r="X89" s="137"/>
      <c r="Y89" s="353"/>
      <c r="Z89" s="354"/>
      <c r="AA89" s="167">
        <f t="shared" ref="AA89:AA94" si="41">M89-J89</f>
        <v>-381.70169044480281</v>
      </c>
      <c r="AB89" s="140">
        <f t="shared" ref="AB89:AB94" si="42">M89/J89</f>
        <v>0.89397175265422146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607</v>
      </c>
      <c r="G90" s="147">
        <f t="shared" ref="G90:G94" si="43">E90*F90</f>
        <v>14124.89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2736.9771411010993</v>
      </c>
      <c r="N90" s="151">
        <f t="shared" si="37"/>
        <v>547.39542822021986</v>
      </c>
      <c r="O90" s="153">
        <f t="shared" si="38"/>
        <v>0</v>
      </c>
      <c r="P90" s="154">
        <f t="shared" si="39"/>
        <v>-52.604571779780144</v>
      </c>
      <c r="Q90" s="155">
        <f t="shared" si="40"/>
        <v>0.91232571370036641</v>
      </c>
      <c r="R90" s="321">
        <f>Q106</f>
        <v>0.91219147415322366</v>
      </c>
      <c r="S90" s="156">
        <v>0.70833333333333337</v>
      </c>
      <c r="T90" s="157">
        <v>0.71756944444444448</v>
      </c>
      <c r="U90" s="158"/>
      <c r="V90" s="159">
        <v>13.3066511419047</v>
      </c>
      <c r="W90" s="160"/>
      <c r="X90" s="161"/>
      <c r="Y90" s="324"/>
      <c r="Z90" s="325"/>
      <c r="AA90" s="114">
        <f t="shared" si="41"/>
        <v>-263.02285889890072</v>
      </c>
      <c r="AB90" s="155">
        <f t="shared" si="42"/>
        <v>0.91232571370036641</v>
      </c>
      <c r="AC90" s="326">
        <f>AB106</f>
        <v>0.91219147415322355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1463</v>
      </c>
      <c r="G91" s="102">
        <f t="shared" si="43"/>
        <v>35902.019999999997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2739.8479127777177</v>
      </c>
      <c r="N91" s="105">
        <f t="shared" si="37"/>
        <v>684.96197819442943</v>
      </c>
      <c r="O91" s="107">
        <f t="shared" si="38"/>
        <v>0</v>
      </c>
      <c r="P91" s="108">
        <f t="shared" si="39"/>
        <v>-65.038021805570565</v>
      </c>
      <c r="Q91" s="109">
        <f t="shared" si="40"/>
        <v>0.91328263759257255</v>
      </c>
      <c r="R91" s="322"/>
      <c r="S91" s="46">
        <v>0.72152777777777777</v>
      </c>
      <c r="T91" s="47">
        <v>0.7437731481481481</v>
      </c>
      <c r="U91" s="110">
        <v>5.6999999999999318</v>
      </c>
      <c r="V91" s="111">
        <v>32.038274675986202</v>
      </c>
      <c r="W91" s="112"/>
      <c r="X91" s="115"/>
      <c r="Y91" s="331"/>
      <c r="Z91" s="332"/>
      <c r="AA91" s="116">
        <f t="shared" si="41"/>
        <v>-260.15208722228226</v>
      </c>
      <c r="AB91" s="109">
        <f t="shared" si="42"/>
        <v>0.91328263759257255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1653</v>
      </c>
      <c r="G92" s="102">
        <f t="shared" si="43"/>
        <v>40217.49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2735.7850913032712</v>
      </c>
      <c r="N92" s="105">
        <f t="shared" si="37"/>
        <v>683.9462728258178</v>
      </c>
      <c r="O92" s="107">
        <f t="shared" si="38"/>
        <v>0</v>
      </c>
      <c r="P92" s="108">
        <f t="shared" si="39"/>
        <v>-66.0537271741822</v>
      </c>
      <c r="Q92" s="109">
        <f t="shared" si="40"/>
        <v>0.9119283637677571</v>
      </c>
      <c r="R92" s="322"/>
      <c r="S92" s="46">
        <v>0.74791666666666667</v>
      </c>
      <c r="T92" s="47">
        <v>0.77309027777777783</v>
      </c>
      <c r="U92" s="110">
        <v>5.9666666666667467</v>
      </c>
      <c r="V92" s="111">
        <v>36.252847606809901</v>
      </c>
      <c r="W92" s="112"/>
      <c r="X92" s="115"/>
      <c r="Y92" s="331"/>
      <c r="Z92" s="332"/>
      <c r="AA92" s="116">
        <f t="shared" si="41"/>
        <v>-264.2149086967288</v>
      </c>
      <c r="AB92" s="109">
        <f t="shared" si="42"/>
        <v>0.9119283637677571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1683</v>
      </c>
      <c r="G93" s="102">
        <f t="shared" si="43"/>
        <v>37497.240000000005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3009.308774390463</v>
      </c>
      <c r="N93" s="105">
        <f t="shared" si="37"/>
        <v>601.8617548780926</v>
      </c>
      <c r="O93" s="107">
        <f t="shared" si="38"/>
        <v>0</v>
      </c>
      <c r="P93" s="108">
        <f t="shared" si="39"/>
        <v>-58.138245121907403</v>
      </c>
      <c r="Q93" s="109">
        <f t="shared" si="40"/>
        <v>0.91191174981529177</v>
      </c>
      <c r="R93" s="322"/>
      <c r="S93" s="46">
        <v>0.77708333333333335</v>
      </c>
      <c r="T93" s="47">
        <v>0.80038194444444444</v>
      </c>
      <c r="U93" s="110">
        <v>5.7499999999999396</v>
      </c>
      <c r="V93" s="111">
        <v>33.555878632113298</v>
      </c>
      <c r="W93" s="112"/>
      <c r="X93" s="115"/>
      <c r="Y93" s="331"/>
      <c r="Z93" s="332"/>
      <c r="AA93" s="116">
        <f t="shared" si="41"/>
        <v>-290.69122560953701</v>
      </c>
      <c r="AB93" s="109">
        <f t="shared" si="42"/>
        <v>0.91191174981529177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5801</v>
      </c>
      <c r="G94" s="102">
        <f t="shared" si="43"/>
        <v>103779.89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3008.268077217735</v>
      </c>
      <c r="N94" s="105">
        <f t="shared" si="37"/>
        <v>752.06701930443376</v>
      </c>
      <c r="O94" s="107">
        <f t="shared" si="38"/>
        <v>0</v>
      </c>
      <c r="P94" s="108">
        <f t="shared" si="39"/>
        <v>-72.932980695566243</v>
      </c>
      <c r="Q94" s="109">
        <f t="shared" si="40"/>
        <v>0.91159638703567725</v>
      </c>
      <c r="R94" s="322"/>
      <c r="S94" s="46">
        <v>0.80347222222222225</v>
      </c>
      <c r="T94" s="47">
        <v>0.88381944444444449</v>
      </c>
      <c r="U94" s="110">
        <v>5</v>
      </c>
      <c r="V94" s="111">
        <v>115.701124722206</v>
      </c>
      <c r="W94" s="112"/>
      <c r="X94" s="115"/>
      <c r="Y94" s="331"/>
      <c r="Z94" s="332"/>
      <c r="AA94" s="116">
        <f t="shared" si="41"/>
        <v>-291.73192278226497</v>
      </c>
      <c r="AB94" s="109">
        <f t="shared" si="42"/>
        <v>0.91159638703567725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2846.0373993580574</v>
      </c>
      <c r="N106" s="137">
        <f t="shared" ref="N106:N114" si="48">M106/L106</f>
        <v>646.82668167228576</v>
      </c>
      <c r="O106" s="138">
        <f t="shared" ref="O106:O114" si="49">L106-I106</f>
        <v>0</v>
      </c>
      <c r="P106" s="139">
        <f t="shared" ref="P106:P114" si="50">N106-K106</f>
        <v>-62.26422741862325</v>
      </c>
      <c r="Q106" s="140">
        <f t="shared" ref="Q106:Q114" si="51">N106/K106</f>
        <v>0.91219147415322366</v>
      </c>
      <c r="R106" s="323"/>
      <c r="S106" s="141">
        <v>0.70833333333333337</v>
      </c>
      <c r="T106" s="142">
        <v>0.88381944444444449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-273.96260064194257</v>
      </c>
      <c r="AB106" s="140">
        <f t="shared" ref="AB106:AB114" si="53">M106/J106</f>
        <v>0.91219147415322355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686</v>
      </c>
      <c r="G107" s="147">
        <f t="shared" ref="G107:G114" si="54">E107*F107</f>
        <v>12471.48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2739.1541168696372</v>
      </c>
      <c r="N107" s="151">
        <f t="shared" si="48"/>
        <v>913.05137228987905</v>
      </c>
      <c r="O107" s="153">
        <f t="shared" si="49"/>
        <v>0</v>
      </c>
      <c r="P107" s="154">
        <f t="shared" si="50"/>
        <v>-86.948627710120945</v>
      </c>
      <c r="Q107" s="155">
        <f t="shared" si="51"/>
        <v>0.91305137228987909</v>
      </c>
      <c r="R107" s="321">
        <f>Q123</f>
        <v>0.9014338461906487</v>
      </c>
      <c r="S107" s="156">
        <v>0.73333333333333328</v>
      </c>
      <c r="T107" s="157">
        <v>0.74376157407407406</v>
      </c>
      <c r="U107" s="158"/>
      <c r="V107" s="159">
        <v>15.026536749614699</v>
      </c>
      <c r="W107" s="160"/>
      <c r="X107" s="161"/>
      <c r="Y107" s="324"/>
      <c r="Z107" s="325"/>
      <c r="AA107" s="114">
        <f t="shared" si="52"/>
        <v>-260.84588313036284</v>
      </c>
      <c r="AB107" s="155">
        <f t="shared" si="53"/>
        <v>0.91305137228987909</v>
      </c>
      <c r="AC107" s="326">
        <f>AB123</f>
        <v>0.9014338461906487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435</v>
      </c>
      <c r="G108" s="102">
        <f t="shared" si="54"/>
        <v>7908.3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3209.6429425386705</v>
      </c>
      <c r="N108" s="105">
        <f t="shared" si="48"/>
        <v>1069.8809808462236</v>
      </c>
      <c r="O108" s="107">
        <f t="shared" si="49"/>
        <v>0</v>
      </c>
      <c r="P108" s="108">
        <f t="shared" si="50"/>
        <v>-130.11901915377643</v>
      </c>
      <c r="Q108" s="109">
        <f t="shared" si="51"/>
        <v>0.8915674840385196</v>
      </c>
      <c r="R108" s="322"/>
      <c r="S108" s="46">
        <v>0.75416666666666654</v>
      </c>
      <c r="T108" s="47">
        <v>0.75980324074074057</v>
      </c>
      <c r="U108" s="110">
        <v>14.983333333333171</v>
      </c>
      <c r="V108" s="111">
        <v>8.1317456387707026</v>
      </c>
      <c r="W108" s="112"/>
      <c r="X108" s="115"/>
      <c r="Y108" s="331"/>
      <c r="Z108" s="332"/>
      <c r="AA108" s="116">
        <f t="shared" si="52"/>
        <v>-390.35705746132953</v>
      </c>
      <c r="AB108" s="109">
        <f t="shared" si="53"/>
        <v>0.8915674840385196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2438</v>
      </c>
      <c r="G109" s="102">
        <f t="shared" si="54"/>
        <v>34205.14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2737.0401003867823</v>
      </c>
      <c r="N109" s="105">
        <f t="shared" si="48"/>
        <v>912.34670012892741</v>
      </c>
      <c r="O109" s="107">
        <f t="shared" si="49"/>
        <v>0</v>
      </c>
      <c r="P109" s="108">
        <f t="shared" si="50"/>
        <v>-87.653299871072591</v>
      </c>
      <c r="Q109" s="109">
        <f t="shared" si="51"/>
        <v>0.91234670012892738</v>
      </c>
      <c r="R109" s="322"/>
      <c r="S109" s="46">
        <v>0.77013888888888871</v>
      </c>
      <c r="T109" s="47">
        <v>0.80724537037037014</v>
      </c>
      <c r="U109" s="110">
        <v>14.883333333333315</v>
      </c>
      <c r="V109" s="111">
        <v>53.444595122785586</v>
      </c>
      <c r="W109" s="112"/>
      <c r="X109" s="115"/>
      <c r="Y109" s="331"/>
      <c r="Z109" s="332"/>
      <c r="AA109" s="116">
        <f t="shared" si="52"/>
        <v>-262.95989961321766</v>
      </c>
      <c r="AB109" s="109">
        <f t="shared" si="53"/>
        <v>0.91234670012892749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3040</v>
      </c>
      <c r="G110" s="102">
        <f t="shared" si="54"/>
        <v>43411.199999999997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3212.4447664220629</v>
      </c>
      <c r="N110" s="105">
        <f t="shared" si="48"/>
        <v>1070.8149221406877</v>
      </c>
      <c r="O110" s="107">
        <f t="shared" si="49"/>
        <v>0</v>
      </c>
      <c r="P110" s="108">
        <f t="shared" si="50"/>
        <v>-129.18507785931229</v>
      </c>
      <c r="Q110" s="109">
        <f t="shared" si="51"/>
        <v>0.89234576845057312</v>
      </c>
      <c r="R110" s="322"/>
      <c r="S110" s="46">
        <v>0.81736111111111087</v>
      </c>
      <c r="T110" s="47">
        <v>0.85678240740740719</v>
      </c>
      <c r="U110" s="110">
        <v>14.566666666666652</v>
      </c>
      <c r="V110" s="111">
        <v>56.779186340113284</v>
      </c>
      <c r="W110" s="112"/>
      <c r="X110" s="115"/>
      <c r="Y110" s="331"/>
      <c r="Z110" s="332"/>
      <c r="AA110" s="116">
        <f t="shared" si="52"/>
        <v>-387.55523357793709</v>
      </c>
      <c r="AB110" s="109">
        <f t="shared" si="53"/>
        <v>0.89234576845057301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1430</v>
      </c>
      <c r="G111" s="102">
        <f t="shared" si="54"/>
        <v>25997.399999999998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2739.1541168696372</v>
      </c>
      <c r="N111" s="105">
        <f t="shared" si="48"/>
        <v>913.05137228987905</v>
      </c>
      <c r="O111" s="107">
        <f t="shared" si="49"/>
        <v>0</v>
      </c>
      <c r="P111" s="108">
        <f t="shared" si="50"/>
        <v>-86.948627710120945</v>
      </c>
      <c r="Q111" s="109">
        <f t="shared" si="51"/>
        <v>0.91305137228987909</v>
      </c>
      <c r="R111" s="322"/>
      <c r="S111" s="46">
        <v>0.86666666666666636</v>
      </c>
      <c r="T111" s="47">
        <v>0.88841435185185158</v>
      </c>
      <c r="U111" s="110">
        <v>15</v>
      </c>
      <c r="V111" s="111">
        <v>31.323538705465044</v>
      </c>
      <c r="W111" s="112"/>
      <c r="X111" s="115"/>
      <c r="Y111" s="331"/>
      <c r="Z111" s="332"/>
      <c r="AA111" s="116">
        <f t="shared" si="52"/>
        <v>-260.84588313036284</v>
      </c>
      <c r="AB111" s="109">
        <f t="shared" si="53"/>
        <v>0.91305137228987909</v>
      </c>
      <c r="AC111" s="327"/>
    </row>
    <row r="112" spans="1:29" ht="15.75" customHeight="1">
      <c r="A112" s="317"/>
      <c r="B112" s="99" t="s">
        <v>121</v>
      </c>
      <c r="C112" s="329" t="s">
        <v>152</v>
      </c>
      <c r="D112" s="330"/>
      <c r="E112" s="100">
        <v>18.18</v>
      </c>
      <c r="F112" s="101">
        <v>945</v>
      </c>
      <c r="G112" s="120">
        <f t="shared" si="54"/>
        <v>17180.099999999999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3209.6429425386709</v>
      </c>
      <c r="N112" s="105">
        <f t="shared" si="48"/>
        <v>1069.8809808462236</v>
      </c>
      <c r="O112" s="107">
        <f t="shared" si="49"/>
        <v>0</v>
      </c>
      <c r="P112" s="108">
        <f t="shared" si="50"/>
        <v>-130.11901915377643</v>
      </c>
      <c r="Q112" s="109">
        <f t="shared" si="51"/>
        <v>0.8915674840385196</v>
      </c>
      <c r="R112" s="322"/>
      <c r="S112" s="46">
        <v>0.89861111111111081</v>
      </c>
      <c r="T112" s="119">
        <v>0.91086805555555528</v>
      </c>
      <c r="U112" s="110">
        <v>14.683333333333284</v>
      </c>
      <c r="V112" s="111">
        <v>17.665516387674284</v>
      </c>
      <c r="W112" s="112"/>
      <c r="X112" s="115"/>
      <c r="Y112" s="331"/>
      <c r="Z112" s="332"/>
      <c r="AA112" s="116">
        <f t="shared" si="52"/>
        <v>-390.35705746132908</v>
      </c>
      <c r="AB112" s="109">
        <f t="shared" si="53"/>
        <v>0.89156748403851971</v>
      </c>
      <c r="AC112" s="327"/>
    </row>
    <row r="113" spans="1:29" ht="15.75" customHeight="1">
      <c r="A113" s="317"/>
      <c r="B113" s="99" t="s">
        <v>121</v>
      </c>
      <c r="C113" s="329" t="s">
        <v>153</v>
      </c>
      <c r="D113" s="330"/>
      <c r="E113" s="100">
        <v>14.03</v>
      </c>
      <c r="F113" s="101">
        <v>6281</v>
      </c>
      <c r="G113" s="120">
        <f t="shared" si="54"/>
        <v>88122.43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2737.0401003867819</v>
      </c>
      <c r="N113" s="105">
        <f t="shared" si="48"/>
        <v>912.3467001289273</v>
      </c>
      <c r="O113" s="122">
        <f t="shared" si="49"/>
        <v>0</v>
      </c>
      <c r="P113" s="123">
        <f t="shared" si="50"/>
        <v>-87.653299871072704</v>
      </c>
      <c r="Q113" s="124">
        <f t="shared" si="51"/>
        <v>0.91234670012892727</v>
      </c>
      <c r="R113" s="322"/>
      <c r="S113" s="46">
        <v>0.92083333333333295</v>
      </c>
      <c r="T113" s="119">
        <v>1.0164467592592588</v>
      </c>
      <c r="U113" s="110">
        <v>15</v>
      </c>
      <c r="V113" s="111">
        <v>137.6888851379066</v>
      </c>
      <c r="W113" s="112"/>
      <c r="X113" s="115"/>
      <c r="Y113" s="331"/>
      <c r="Z113" s="332"/>
      <c r="AA113" s="116">
        <f t="shared" si="52"/>
        <v>-262.95989961321811</v>
      </c>
      <c r="AB113" s="109">
        <f t="shared" si="53"/>
        <v>0.91234670012892727</v>
      </c>
      <c r="AC113" s="327"/>
    </row>
    <row r="114" spans="1:29" ht="15.75" customHeight="1">
      <c r="A114" s="317"/>
      <c r="B114" s="99" t="s">
        <v>121</v>
      </c>
      <c r="C114" s="329" t="s">
        <v>154</v>
      </c>
      <c r="D114" s="330"/>
      <c r="E114" s="100">
        <v>14.28</v>
      </c>
      <c r="F114" s="101">
        <v>8005</v>
      </c>
      <c r="G114" s="120">
        <f t="shared" si="54"/>
        <v>114311.4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3213.734453420886</v>
      </c>
      <c r="N114" s="105">
        <f t="shared" si="48"/>
        <v>1071.2448178069619</v>
      </c>
      <c r="O114" s="122">
        <f t="shared" si="49"/>
        <v>0</v>
      </c>
      <c r="P114" s="123">
        <f t="shared" si="50"/>
        <v>-128.75518219303808</v>
      </c>
      <c r="Q114" s="124">
        <f t="shared" si="51"/>
        <v>0.89270401483913497</v>
      </c>
      <c r="R114" s="322"/>
      <c r="S114" s="46">
        <v>1.0263888888888886</v>
      </c>
      <c r="T114" s="119">
        <v>1.1301736111111107</v>
      </c>
      <c r="U114" s="110">
        <v>15</v>
      </c>
      <c r="V114" s="111">
        <v>149.45229824098899</v>
      </c>
      <c r="W114" s="112"/>
      <c r="X114" s="115"/>
      <c r="Y114" s="331"/>
      <c r="Z114" s="332"/>
      <c r="AA114" s="116">
        <f t="shared" si="52"/>
        <v>-386.26554657911402</v>
      </c>
      <c r="AB114" s="109">
        <f t="shared" si="53"/>
        <v>0.89270401483913497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2974.7316924291408</v>
      </c>
      <c r="N123" s="137">
        <f t="shared" ref="N123:N135" si="59">M123/L123</f>
        <v>991.57723080971357</v>
      </c>
      <c r="O123" s="138">
        <f t="shared" ref="O123:O135" si="60">L123-I123</f>
        <v>0</v>
      </c>
      <c r="P123" s="139">
        <f t="shared" ref="P123:P135" si="61">N123-K123</f>
        <v>-108.42276919028643</v>
      </c>
      <c r="Q123" s="140">
        <f t="shared" ref="Q123:Q135" si="62">N123/K123</f>
        <v>0.9014338461906487</v>
      </c>
      <c r="R123" s="323"/>
      <c r="S123" s="141">
        <v>0.73333333333333328</v>
      </c>
      <c r="T123" s="142">
        <v>1.1301736111111107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-325.26830757085918</v>
      </c>
      <c r="AB123" s="140">
        <f t="shared" ref="AB123:AB135" si="64">M123/J123</f>
        <v>0.9014338461906487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524</v>
      </c>
      <c r="G124" s="147">
        <f t="shared" ref="G124:G135" si="65">E124*F124</f>
        <v>13115.720000000001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3211.3087436999585</v>
      </c>
      <c r="N124" s="151">
        <f t="shared" si="59"/>
        <v>642.26174873999173</v>
      </c>
      <c r="O124" s="153">
        <f t="shared" si="60"/>
        <v>0</v>
      </c>
      <c r="P124" s="154">
        <f t="shared" si="61"/>
        <v>-77.738251260008269</v>
      </c>
      <c r="Q124" s="155">
        <f t="shared" si="62"/>
        <v>0.89203020658332188</v>
      </c>
      <c r="R124" s="321">
        <f>Q140</f>
        <v>0.89230695469667665</v>
      </c>
      <c r="S124" s="156">
        <v>0.7416666666666667</v>
      </c>
      <c r="T124" s="157">
        <v>0.74846064814814817</v>
      </c>
      <c r="U124" s="158"/>
      <c r="V124" s="159">
        <v>9.7904008954853481</v>
      </c>
      <c r="W124" s="157"/>
      <c r="X124" s="168"/>
      <c r="Y124" s="324"/>
      <c r="Z124" s="325"/>
      <c r="AA124" s="170">
        <f t="shared" si="63"/>
        <v>-388.69125630004146</v>
      </c>
      <c r="AB124" s="155">
        <f t="shared" si="64"/>
        <v>0.89203020658332177</v>
      </c>
      <c r="AC124" s="326">
        <f>AB140</f>
        <v>0.89230695469667654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486</v>
      </c>
      <c r="G125" s="102">
        <f t="shared" si="65"/>
        <v>8116.2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3216.5638854278304</v>
      </c>
      <c r="N125" s="105">
        <f t="shared" si="59"/>
        <v>1072.1879618092769</v>
      </c>
      <c r="O125" s="107">
        <f t="shared" si="60"/>
        <v>0</v>
      </c>
      <c r="P125" s="108">
        <f t="shared" si="61"/>
        <v>-127.81203819072311</v>
      </c>
      <c r="Q125" s="109">
        <f t="shared" si="62"/>
        <v>0.89348996817439741</v>
      </c>
      <c r="R125" s="322"/>
      <c r="S125" s="46">
        <v>0.7583333333333333</v>
      </c>
      <c r="T125" s="47">
        <v>0.76461805555555551</v>
      </c>
      <c r="U125" s="110">
        <v>15</v>
      </c>
      <c r="V125" s="111">
        <v>9.0655746438319138</v>
      </c>
      <c r="W125" s="112"/>
      <c r="X125" s="13"/>
      <c r="Y125" s="331"/>
      <c r="Z125" s="332"/>
      <c r="AA125" s="171">
        <f t="shared" si="63"/>
        <v>-383.43611457216957</v>
      </c>
      <c r="AB125" s="109">
        <f t="shared" si="64"/>
        <v>0.8934899681743973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753</v>
      </c>
      <c r="G126" s="102">
        <f t="shared" si="65"/>
        <v>22590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3210.2400309830336</v>
      </c>
      <c r="N126" s="105">
        <f t="shared" si="59"/>
        <v>802.56000774575841</v>
      </c>
      <c r="O126" s="107">
        <f t="shared" si="60"/>
        <v>0</v>
      </c>
      <c r="P126" s="108">
        <f t="shared" si="61"/>
        <v>-97.439992254241588</v>
      </c>
      <c r="Q126" s="109">
        <f t="shared" si="62"/>
        <v>0.89173334193973153</v>
      </c>
      <c r="R126" s="322"/>
      <c r="S126" s="46">
        <v>0.77499999999999991</v>
      </c>
      <c r="T126" s="47">
        <v>0.78476851851851848</v>
      </c>
      <c r="U126" s="110">
        <v>14.949999999999939</v>
      </c>
      <c r="V126" s="111">
        <v>14.073713979002704</v>
      </c>
      <c r="W126" s="112"/>
      <c r="X126" s="13"/>
      <c r="Y126" s="331"/>
      <c r="Z126" s="332"/>
      <c r="AA126" s="171">
        <f t="shared" si="63"/>
        <v>-389.75996901696635</v>
      </c>
      <c r="AB126" s="109">
        <f t="shared" si="64"/>
        <v>0.89173334193973153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745</v>
      </c>
      <c r="G127" s="102">
        <f t="shared" si="65"/>
        <v>18490.900000000001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3210.5131506730577</v>
      </c>
      <c r="N127" s="105">
        <f t="shared" si="59"/>
        <v>642.10263013461156</v>
      </c>
      <c r="O127" s="107">
        <f t="shared" si="60"/>
        <v>0</v>
      </c>
      <c r="P127" s="108">
        <f t="shared" si="61"/>
        <v>-77.897369865388441</v>
      </c>
      <c r="Q127" s="109">
        <f t="shared" si="62"/>
        <v>0.89180920852029388</v>
      </c>
      <c r="R127" s="322"/>
      <c r="S127" s="46">
        <v>0.79513888888888873</v>
      </c>
      <c r="T127" s="47">
        <v>0.80480324074074061</v>
      </c>
      <c r="U127" s="110">
        <v>14.933333333333163</v>
      </c>
      <c r="V127" s="111">
        <v>13.923007912498042</v>
      </c>
      <c r="W127" s="112"/>
      <c r="X127" s="13"/>
      <c r="Y127" s="331"/>
      <c r="Z127" s="332"/>
      <c r="AA127" s="171">
        <f t="shared" si="63"/>
        <v>-389.48684932694232</v>
      </c>
      <c r="AB127" s="109">
        <f t="shared" si="64"/>
        <v>0.89180920852029377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1092</v>
      </c>
      <c r="G128" s="102">
        <f t="shared" si="65"/>
        <v>19852.560000000001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3213.2034114390854</v>
      </c>
      <c r="N128" s="105">
        <f t="shared" si="59"/>
        <v>1071.0678038130284</v>
      </c>
      <c r="O128" s="107">
        <f t="shared" si="60"/>
        <v>0</v>
      </c>
      <c r="P128" s="108">
        <f t="shared" si="61"/>
        <v>-128.93219618697162</v>
      </c>
      <c r="Q128" s="109">
        <f t="shared" si="62"/>
        <v>0.89255650317752366</v>
      </c>
      <c r="R128" s="322"/>
      <c r="S128" s="46">
        <v>0.8145833333333331</v>
      </c>
      <c r="T128" s="47">
        <v>0.82873842592592573</v>
      </c>
      <c r="U128" s="110">
        <v>15</v>
      </c>
      <c r="V128" s="111">
        <v>20.3908659398117</v>
      </c>
      <c r="W128" s="112"/>
      <c r="X128" s="115"/>
      <c r="Y128" s="331"/>
      <c r="Z128" s="332"/>
      <c r="AA128" s="171">
        <f t="shared" si="63"/>
        <v>-386.79658856091464</v>
      </c>
      <c r="AB128" s="109">
        <f t="shared" si="64"/>
        <v>0.89255650317752366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2512</v>
      </c>
      <c r="G129" s="120">
        <f t="shared" si="65"/>
        <v>41849.919999999998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3214.1878723519903</v>
      </c>
      <c r="N129" s="105">
        <f t="shared" si="59"/>
        <v>642.83757447039807</v>
      </c>
      <c r="O129" s="107">
        <f t="shared" si="60"/>
        <v>0</v>
      </c>
      <c r="P129" s="108">
        <f t="shared" si="61"/>
        <v>-77.162425529601933</v>
      </c>
      <c r="Q129" s="109">
        <f t="shared" si="62"/>
        <v>0.89282996454221952</v>
      </c>
      <c r="R129" s="322"/>
      <c r="S129" s="46">
        <v>0.83888888888888857</v>
      </c>
      <c r="T129" s="119">
        <v>0.87144675925925896</v>
      </c>
      <c r="U129" s="110">
        <v>14.6166666666665</v>
      </c>
      <c r="V129" s="111">
        <v>46.89209404853807</v>
      </c>
      <c r="W129" s="112"/>
      <c r="X129" s="49"/>
      <c r="Y129" s="331"/>
      <c r="Z129" s="332"/>
      <c r="AA129" s="171">
        <f t="shared" si="63"/>
        <v>-385.81212764800966</v>
      </c>
      <c r="AB129" s="109">
        <f t="shared" si="64"/>
        <v>0.89282996454221952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1117</v>
      </c>
      <c r="G130" s="120">
        <f t="shared" si="65"/>
        <v>27958.510000000002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3211.308743699959</v>
      </c>
      <c r="N130" s="105">
        <f t="shared" si="59"/>
        <v>642.26174873999184</v>
      </c>
      <c r="O130" s="122">
        <f t="shared" si="60"/>
        <v>0</v>
      </c>
      <c r="P130" s="123">
        <f t="shared" si="61"/>
        <v>-77.738251260008155</v>
      </c>
      <c r="Q130" s="124">
        <f t="shared" si="62"/>
        <v>0.89203020658332199</v>
      </c>
      <c r="R130" s="322"/>
      <c r="S130" s="46">
        <v>0.88124999999999964</v>
      </c>
      <c r="T130" s="119">
        <v>0.89574074074074039</v>
      </c>
      <c r="U130" s="110">
        <v>15</v>
      </c>
      <c r="V130" s="111">
        <v>20.869995802017428</v>
      </c>
      <c r="W130" s="112"/>
      <c r="X130" s="115"/>
      <c r="Y130" s="331"/>
      <c r="Z130" s="332"/>
      <c r="AA130" s="171">
        <f t="shared" si="63"/>
        <v>-388.691256300041</v>
      </c>
      <c r="AB130" s="109">
        <f t="shared" si="64"/>
        <v>0.89203020658332199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1077</v>
      </c>
      <c r="G131" s="120">
        <f t="shared" si="65"/>
        <v>17985.899999999998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3216.56388542783</v>
      </c>
      <c r="N131" s="105">
        <f t="shared" si="59"/>
        <v>1072.1879618092767</v>
      </c>
      <c r="O131" s="122">
        <f t="shared" si="60"/>
        <v>0</v>
      </c>
      <c r="P131" s="123">
        <f t="shared" si="61"/>
        <v>-127.81203819072334</v>
      </c>
      <c r="Q131" s="124">
        <f t="shared" si="62"/>
        <v>0.89348996817439719</v>
      </c>
      <c r="R131" s="322"/>
      <c r="S131" s="46">
        <v>0.90555555555555511</v>
      </c>
      <c r="T131" s="119">
        <v>0.91950231481481437</v>
      </c>
      <c r="U131" s="110">
        <v>15</v>
      </c>
      <c r="V131" s="111">
        <v>20.089761093429985</v>
      </c>
      <c r="W131" s="112"/>
      <c r="X131" s="115"/>
      <c r="Y131" s="331"/>
      <c r="Z131" s="332"/>
      <c r="AA131" s="171">
        <f t="shared" si="63"/>
        <v>-383.43611457217003</v>
      </c>
      <c r="AB131" s="109">
        <f t="shared" si="64"/>
        <v>0.89348996817439719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1779</v>
      </c>
      <c r="G132" s="120">
        <f t="shared" si="65"/>
        <v>53370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3210.2400309830341</v>
      </c>
      <c r="N132" s="105">
        <f t="shared" si="59"/>
        <v>802.56000774575853</v>
      </c>
      <c r="O132" s="122">
        <f t="shared" si="60"/>
        <v>0</v>
      </c>
      <c r="P132" s="123">
        <f t="shared" si="61"/>
        <v>-97.439992254241474</v>
      </c>
      <c r="Q132" s="124">
        <f t="shared" si="62"/>
        <v>0.89173334193973175</v>
      </c>
      <c r="R132" s="322"/>
      <c r="S132" s="46">
        <v>0.92986111111111058</v>
      </c>
      <c r="T132" s="119">
        <v>0.95293981481481427</v>
      </c>
      <c r="U132" s="110">
        <v>14.916666666666547</v>
      </c>
      <c r="V132" s="111">
        <v>33.249850157564154</v>
      </c>
      <c r="W132" s="125"/>
      <c r="X132" s="126"/>
      <c r="Y132" s="331"/>
      <c r="Z132" s="332"/>
      <c r="AA132" s="171">
        <f t="shared" si="63"/>
        <v>-389.7599690169659</v>
      </c>
      <c r="AB132" s="109">
        <f t="shared" si="64"/>
        <v>0.89173334193973175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1688</v>
      </c>
      <c r="G133" s="120">
        <f t="shared" si="65"/>
        <v>41896.160000000003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3210.5131506730577</v>
      </c>
      <c r="N133" s="105">
        <f t="shared" si="59"/>
        <v>642.10263013461156</v>
      </c>
      <c r="O133" s="122">
        <f t="shared" si="60"/>
        <v>0</v>
      </c>
      <c r="P133" s="123">
        <f t="shared" si="61"/>
        <v>-77.897369865388441</v>
      </c>
      <c r="Q133" s="124">
        <f t="shared" si="62"/>
        <v>0.89180920852029388</v>
      </c>
      <c r="R133" s="322"/>
      <c r="S133" s="46">
        <v>0.96319444444444391</v>
      </c>
      <c r="T133" s="119">
        <v>0.98509259259259208</v>
      </c>
      <c r="U133" s="110">
        <v>14.766666666666683</v>
      </c>
      <c r="V133" s="111">
        <v>31.546358867512343</v>
      </c>
      <c r="W133" s="125"/>
      <c r="X133" s="126"/>
      <c r="Y133" s="331"/>
      <c r="Z133" s="332"/>
      <c r="AA133" s="171">
        <f t="shared" si="63"/>
        <v>-389.48684932694232</v>
      </c>
      <c r="AB133" s="109">
        <f t="shared" si="64"/>
        <v>0.89180920852029377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2752</v>
      </c>
      <c r="G134" s="120">
        <f t="shared" si="65"/>
        <v>50031.360000000001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3208.8296651856012</v>
      </c>
      <c r="N134" s="105">
        <f t="shared" si="59"/>
        <v>1069.6098883952004</v>
      </c>
      <c r="O134" s="122">
        <f t="shared" si="60"/>
        <v>0</v>
      </c>
      <c r="P134" s="123">
        <f t="shared" si="61"/>
        <v>-130.39011160479959</v>
      </c>
      <c r="Q134" s="124">
        <f t="shared" si="62"/>
        <v>0.89134157366266697</v>
      </c>
      <c r="R134" s="322"/>
      <c r="S134" s="46">
        <v>0.99513888888888835</v>
      </c>
      <c r="T134" s="119">
        <v>1.0308680555555549</v>
      </c>
      <c r="U134" s="110">
        <v>15</v>
      </c>
      <c r="V134" s="111">
        <v>51.458013428222692</v>
      </c>
      <c r="W134" s="125"/>
      <c r="X134" s="126"/>
      <c r="Y134" s="331"/>
      <c r="Z134" s="332"/>
      <c r="AA134" s="171">
        <f t="shared" si="63"/>
        <v>-391.17033481439876</v>
      </c>
      <c r="AB134" s="109">
        <f t="shared" si="64"/>
        <v>0.89134157366266697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6363</v>
      </c>
      <c r="G135" s="120">
        <f t="shared" si="65"/>
        <v>106007.58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3214.1878723519903</v>
      </c>
      <c r="N135" s="105">
        <f t="shared" si="59"/>
        <v>642.83757447039807</v>
      </c>
      <c r="O135" s="122">
        <f t="shared" si="60"/>
        <v>0</v>
      </c>
      <c r="P135" s="123">
        <f t="shared" si="61"/>
        <v>-77.162425529601933</v>
      </c>
      <c r="Q135" s="124">
        <f t="shared" si="62"/>
        <v>0.89282996454221952</v>
      </c>
      <c r="R135" s="322"/>
      <c r="S135" s="46">
        <v>1.0409722222222217</v>
      </c>
      <c r="T135" s="119">
        <v>1.1234490740740737</v>
      </c>
      <c r="U135" s="110">
        <v>14.550000000000196</v>
      </c>
      <c r="V135" s="111">
        <v>118.77961561737568</v>
      </c>
      <c r="W135" s="125"/>
      <c r="X135" s="126"/>
      <c r="Y135" s="331"/>
      <c r="Z135" s="332"/>
      <c r="AA135" s="171">
        <f t="shared" si="63"/>
        <v>-385.81212764800966</v>
      </c>
      <c r="AB135" s="109">
        <f t="shared" si="64"/>
        <v>0.89282996454221952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3212.3050369080356</v>
      </c>
      <c r="N140" s="137">
        <f>M140/L140</f>
        <v>770.95320885792853</v>
      </c>
      <c r="O140" s="138">
        <f>L140-I140</f>
        <v>0</v>
      </c>
      <c r="P140" s="139">
        <f>N140-K140</f>
        <v>-93.046791142071356</v>
      </c>
      <c r="Q140" s="140">
        <f>N140/K140</f>
        <v>0.89230695469667665</v>
      </c>
      <c r="R140" s="323"/>
      <c r="S140" s="141">
        <v>0.7416666666666667</v>
      </c>
      <c r="T140" s="142">
        <v>1.1234490740740737</v>
      </c>
      <c r="U140" s="143"/>
      <c r="V140" s="165"/>
      <c r="W140" s="166"/>
      <c r="X140" s="137"/>
      <c r="Y140" s="353"/>
      <c r="Z140" s="354"/>
      <c r="AA140" s="173">
        <f>M140-J140</f>
        <v>-387.69496309196438</v>
      </c>
      <c r="AB140" s="140">
        <f>M140/J140</f>
        <v>0.89230695469667654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1EC3785A-B2D6-495F-B559-7D2A4DEFFC8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7BE8-216B-4720-881F-33442B80388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Z43" sqref="Z43"/>
      <selection activeCell="N43" sqref="N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100089</v>
      </c>
      <c r="E1" s="87" t="s">
        <v>4</v>
      </c>
      <c r="F1" s="88">
        <f>SUM(G5:G140)</f>
        <v>4471189.9099999992</v>
      </c>
      <c r="G1" s="89" t="s">
        <v>85</v>
      </c>
      <c r="H1" s="90">
        <f>L21+L38+L55+L72+L89+L106+L123+L140</f>
        <v>136.77619047619049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46237</v>
      </c>
      <c r="B2" s="294"/>
      <c r="C2" s="91" t="s">
        <v>41</v>
      </c>
      <c r="D2" s="92">
        <f>AVERAGE(N21,N38,N55,N72,N89,N106,N123,N140)</f>
        <v>201.37864591392716</v>
      </c>
      <c r="E2" s="92" t="s">
        <v>92</v>
      </c>
      <c r="F2" s="93">
        <f>F1/D1</f>
        <v>44.672140894603793</v>
      </c>
      <c r="G2" s="94" t="s">
        <v>93</v>
      </c>
      <c r="H2" s="95">
        <f>COUNT(H5:H140)</f>
        <v>2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50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3324</v>
      </c>
      <c r="G5" s="147">
        <f t="shared" ref="G5:G9" si="0">E5*F5</f>
        <v>65482.799999999996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1082.967288176849</v>
      </c>
      <c r="N5" s="151">
        <f>M5/L5</f>
        <v>83.30517601360377</v>
      </c>
      <c r="O5" s="153">
        <f>L5-I5</f>
        <v>0</v>
      </c>
      <c r="P5" s="154">
        <f>N5-K5</f>
        <v>-9.0025162940885366</v>
      </c>
      <c r="Q5" s="155">
        <f>N5/K5</f>
        <v>0.90247274014737422</v>
      </c>
      <c r="R5" s="321">
        <f>Q21</f>
        <v>0.90058939664391269</v>
      </c>
      <c r="S5" s="156">
        <v>0.16666666666666666</v>
      </c>
      <c r="T5" s="157">
        <v>0.29454861111111108</v>
      </c>
      <c r="U5" s="158"/>
      <c r="V5" s="159">
        <v>184.16068719467302</v>
      </c>
      <c r="W5" s="180"/>
      <c r="X5" s="151"/>
      <c r="Y5" s="12"/>
      <c r="Z5" s="197"/>
      <c r="AA5" s="324"/>
      <c r="AB5" s="325"/>
      <c r="AC5" s="12">
        <v>3</v>
      </c>
      <c r="AD5" s="197"/>
      <c r="AE5" s="177">
        <f>M5-J5</f>
        <v>-117.03271182315098</v>
      </c>
      <c r="AF5" s="131">
        <f>M5/J5</f>
        <v>0.90247274014737422</v>
      </c>
      <c r="AG5" s="367">
        <f>AF21</f>
        <v>0.90058939664391258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4730</v>
      </c>
      <c r="G6" s="102">
        <f t="shared" si="0"/>
        <v>266913.90000000002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1800.6827091726502</v>
      </c>
      <c r="N6" s="105">
        <f>M6/L6</f>
        <v>75.028446215527097</v>
      </c>
      <c r="O6" s="107">
        <f>L6-I6</f>
        <v>0</v>
      </c>
      <c r="P6" s="108">
        <f>N6-K6</f>
        <v>-8.3048871178062313</v>
      </c>
      <c r="Q6" s="109">
        <f>N6/K6</f>
        <v>0.90034135458632525</v>
      </c>
      <c r="R6" s="322"/>
      <c r="S6" s="46">
        <v>0.29861111111111105</v>
      </c>
      <c r="T6" s="47">
        <v>0.4080555555555555</v>
      </c>
      <c r="U6" s="110">
        <v>5.8499999999999552</v>
      </c>
      <c r="V6" s="111">
        <v>157.60688907286504</v>
      </c>
      <c r="W6" s="112"/>
      <c r="X6" s="115"/>
      <c r="Y6" s="12"/>
      <c r="Z6" s="197"/>
      <c r="AA6" s="331"/>
      <c r="AB6" s="332"/>
      <c r="AC6" s="12">
        <v>3</v>
      </c>
      <c r="AD6" s="197"/>
      <c r="AE6" s="116">
        <f>M6-J6</f>
        <v>-199.31729082734978</v>
      </c>
      <c r="AF6" s="109">
        <f>M6/J6</f>
        <v>0.90034135458632514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869</v>
      </c>
      <c r="G7" s="102">
        <f t="shared" si="0"/>
        <v>67217.149999999994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1801.2216040393496</v>
      </c>
      <c r="N7" s="105">
        <f>M7/L7</f>
        <v>72.048864161573988</v>
      </c>
      <c r="O7" s="107">
        <f>L7-I7</f>
        <v>0</v>
      </c>
      <c r="P7" s="108">
        <f>N7-K7</f>
        <v>-7.951135838426012</v>
      </c>
      <c r="Q7" s="109">
        <f>N7/K7</f>
        <v>0.90061080201967481</v>
      </c>
      <c r="R7" s="322"/>
      <c r="S7" s="46">
        <v>0.41180555555555548</v>
      </c>
      <c r="T7" s="47">
        <v>0.43189814814814809</v>
      </c>
      <c r="U7" s="110">
        <v>5.3999999999999648</v>
      </c>
      <c r="V7" s="111">
        <v>28.947021223303597</v>
      </c>
      <c r="W7" s="112"/>
      <c r="X7" s="115"/>
      <c r="Y7" s="12"/>
      <c r="Z7" s="197"/>
      <c r="AA7" s="331"/>
      <c r="AB7" s="332"/>
      <c r="AC7" s="12">
        <v>1</v>
      </c>
      <c r="AD7" s="197"/>
      <c r="AE7" s="116">
        <f>M7-J7</f>
        <v>-198.77839596065041</v>
      </c>
      <c r="AF7" s="109">
        <f>M7/J7</f>
        <v>0.90061080201967481</v>
      </c>
      <c r="AG7" s="368"/>
    </row>
    <row r="8" spans="1:33" ht="15.75" customHeight="1">
      <c r="A8" s="317"/>
      <c r="B8" s="99" t="s">
        <v>188</v>
      </c>
      <c r="C8" s="370" t="s">
        <v>239</v>
      </c>
      <c r="D8" s="370"/>
      <c r="E8" s="100">
        <v>77.34</v>
      </c>
      <c r="F8" s="101">
        <v>2212</v>
      </c>
      <c r="G8" s="102">
        <f t="shared" si="0"/>
        <v>171076.08000000002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1799.2404775893642</v>
      </c>
      <c r="N8" s="105">
        <f>M8/L8</f>
        <v>78.22784685171149</v>
      </c>
      <c r="O8" s="107">
        <f>L8-I8</f>
        <v>0</v>
      </c>
      <c r="P8" s="108">
        <f>N8-K8</f>
        <v>-8.728674887418947</v>
      </c>
      <c r="Q8" s="109">
        <f>N8/K8</f>
        <v>0.89962023879468211</v>
      </c>
      <c r="R8" s="322"/>
      <c r="S8" s="46">
        <v>0.43472222222222212</v>
      </c>
      <c r="T8" s="47">
        <v>0.48593749999999991</v>
      </c>
      <c r="U8" s="110">
        <v>5</v>
      </c>
      <c r="V8" s="111">
        <v>73.764458755296147</v>
      </c>
      <c r="W8" s="112">
        <v>0.48593749999999991</v>
      </c>
      <c r="X8" s="115">
        <v>0.52430555555555547</v>
      </c>
      <c r="Y8" s="12"/>
      <c r="Z8" s="197"/>
      <c r="AA8" s="331"/>
      <c r="AB8" s="332"/>
      <c r="AC8" s="12">
        <v>2</v>
      </c>
      <c r="AD8" s="197"/>
      <c r="AE8" s="116">
        <f>M8-J8</f>
        <v>-200.75952241063578</v>
      </c>
      <c r="AF8" s="109">
        <f>M8/J8</f>
        <v>0.89962023879468211</v>
      </c>
      <c r="AG8" s="368"/>
    </row>
    <row r="9" spans="1:33" ht="15.75" customHeight="1">
      <c r="A9" s="317"/>
      <c r="B9" s="99" t="s">
        <v>188</v>
      </c>
      <c r="C9" s="370" t="s">
        <v>190</v>
      </c>
      <c r="D9" s="370"/>
      <c r="E9" s="100">
        <v>59.52</v>
      </c>
      <c r="F9" s="101">
        <v>4944</v>
      </c>
      <c r="G9" s="102">
        <f t="shared" si="0"/>
        <v>294266.88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1801.3103701457846</v>
      </c>
      <c r="N9" s="105">
        <f>M9/L9</f>
        <v>75.054598756074355</v>
      </c>
      <c r="O9" s="107">
        <f>L9-I9</f>
        <v>0</v>
      </c>
      <c r="P9" s="108">
        <f>N9-K9</f>
        <v>-8.2787345772589731</v>
      </c>
      <c r="Q9" s="109">
        <f>N9/K9</f>
        <v>0.90065518507289233</v>
      </c>
      <c r="R9" s="322"/>
      <c r="S9" s="46">
        <v>0.52430555555555547</v>
      </c>
      <c r="T9" s="47">
        <v>0.63865740740740728</v>
      </c>
      <c r="U9" s="110">
        <v>55.25</v>
      </c>
      <c r="V9" s="111">
        <v>164.68011560716889</v>
      </c>
      <c r="W9" s="112"/>
      <c r="X9" s="115"/>
      <c r="Y9" s="12"/>
      <c r="Z9" s="197"/>
      <c r="AA9" s="331"/>
      <c r="AB9" s="332"/>
      <c r="AC9" s="12">
        <v>3</v>
      </c>
      <c r="AD9" s="197"/>
      <c r="AE9" s="116">
        <f>M9-J9</f>
        <v>-198.68962985421535</v>
      </c>
      <c r="AF9" s="109">
        <f>M9/J9</f>
        <v>0.90065518507289233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1657.0844898247992</v>
      </c>
      <c r="N21" s="137">
        <f t="shared" ref="N21:N29" si="5">M21/L21</f>
        <v>76.013049991963271</v>
      </c>
      <c r="O21" s="138">
        <f t="shared" ref="O21:O29" si="6">L21-I21</f>
        <v>0</v>
      </c>
      <c r="P21" s="139">
        <f t="shared" ref="P21:P29" si="7">N21-K21</f>
        <v>-8.3906197328073659</v>
      </c>
      <c r="Q21" s="140">
        <f t="shared" ref="Q21:Q29" si="8">N21/K21</f>
        <v>0.90058939664391269</v>
      </c>
      <c r="R21" s="323"/>
      <c r="S21" s="141">
        <v>0.16666666666666666</v>
      </c>
      <c r="T21" s="142">
        <v>0.63865740740740728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12</v>
      </c>
      <c r="AD21" s="179">
        <f>SUM(AD5:AD20)</f>
        <v>0</v>
      </c>
      <c r="AE21" s="167">
        <f t="shared" ref="AE21:AE29" si="9">M21-J21</f>
        <v>-182.91551017520078</v>
      </c>
      <c r="AF21" s="140">
        <f t="shared" ref="AF21:AF29" si="10">M21/J21</f>
        <v>0.90058939664391258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2816</v>
      </c>
      <c r="G22" s="147">
        <f t="shared" ref="G22:G29" si="11">E22*F22</f>
        <v>102643.20000000001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9" si="12">F22/V22*60</f>
        <v>1892.6483422374965</v>
      </c>
      <c r="N22" s="151">
        <f t="shared" si="5"/>
        <v>94.63241711187483</v>
      </c>
      <c r="O22" s="153">
        <f t="shared" si="6"/>
        <v>0</v>
      </c>
      <c r="P22" s="154">
        <f t="shared" si="7"/>
        <v>-10.36758288812517</v>
      </c>
      <c r="Q22" s="155">
        <f t="shared" si="8"/>
        <v>0.9012611153511888</v>
      </c>
      <c r="R22" s="321">
        <f>Q38</f>
        <v>0.90263829003835883</v>
      </c>
      <c r="S22" s="156">
        <v>0.16666666666666666</v>
      </c>
      <c r="T22" s="157">
        <v>0.22865740740740739</v>
      </c>
      <c r="U22" s="158"/>
      <c r="V22" s="159">
        <v>89.271734336160307</v>
      </c>
      <c r="W22" s="96"/>
      <c r="X22" s="97"/>
      <c r="Y22" s="12"/>
      <c r="Z22" s="197"/>
      <c r="AA22" s="324"/>
      <c r="AB22" s="325"/>
      <c r="AC22" s="12">
        <v>1</v>
      </c>
      <c r="AD22" s="197"/>
      <c r="AE22" s="114">
        <f t="shared" si="9"/>
        <v>-207.35165776250346</v>
      </c>
      <c r="AF22" s="155">
        <f t="shared" si="10"/>
        <v>0.9012611153511888</v>
      </c>
      <c r="AG22" s="375">
        <f>AF38</f>
        <v>0.90882074407971758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1731</v>
      </c>
      <c r="G23" s="102">
        <f t="shared" si="11"/>
        <v>54907.32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1802.2275142827241</v>
      </c>
      <c r="N23" s="105">
        <f t="shared" si="5"/>
        <v>81.919432467396547</v>
      </c>
      <c r="O23" s="107">
        <f t="shared" si="6"/>
        <v>0</v>
      </c>
      <c r="P23" s="108">
        <f t="shared" si="7"/>
        <v>-8.9896584416943597</v>
      </c>
      <c r="Q23" s="109">
        <f t="shared" si="8"/>
        <v>0.90111375714136199</v>
      </c>
      <c r="R23" s="322"/>
      <c r="S23" s="46">
        <v>0.2326388888888889</v>
      </c>
      <c r="T23" s="47">
        <v>0.27265046296296297</v>
      </c>
      <c r="U23" s="110">
        <v>5.7333333333333636</v>
      </c>
      <c r="V23" s="111">
        <v>57.628684046218034</v>
      </c>
      <c r="W23" s="112"/>
      <c r="X23" s="115"/>
      <c r="Y23" s="12"/>
      <c r="Z23" s="197"/>
      <c r="AA23" s="331"/>
      <c r="AB23" s="332"/>
      <c r="AC23" s="12">
        <v>1</v>
      </c>
      <c r="AD23" s="197"/>
      <c r="AE23" s="116">
        <f t="shared" si="9"/>
        <v>-197.77248571727591</v>
      </c>
      <c r="AF23" s="109">
        <f t="shared" si="10"/>
        <v>0.90111375714136199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1820</v>
      </c>
      <c r="G24" s="102">
        <f t="shared" si="11"/>
        <v>63317.799999999996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1808.3279954925199</v>
      </c>
      <c r="N24" s="105">
        <f t="shared" si="5"/>
        <v>164.39345413568364</v>
      </c>
      <c r="O24" s="107">
        <f t="shared" si="6"/>
        <v>0</v>
      </c>
      <c r="P24" s="108">
        <f t="shared" si="7"/>
        <v>-17.424727682498172</v>
      </c>
      <c r="Q24" s="109">
        <f t="shared" si="8"/>
        <v>0.90416399774626</v>
      </c>
      <c r="R24" s="322"/>
      <c r="S24" s="46">
        <v>0.27569444444444446</v>
      </c>
      <c r="T24" s="47">
        <v>0.31762731481481482</v>
      </c>
      <c r="U24" s="110">
        <v>5</v>
      </c>
      <c r="V24" s="111">
        <v>60.387275025434789</v>
      </c>
      <c r="W24" s="112"/>
      <c r="X24" s="115"/>
      <c r="Y24" s="12"/>
      <c r="Z24" s="197"/>
      <c r="AA24" s="331"/>
      <c r="AB24" s="332"/>
      <c r="AC24" s="12">
        <v>0</v>
      </c>
      <c r="AD24" s="197"/>
      <c r="AE24" s="116">
        <f t="shared" si="9"/>
        <v>-191.6720045074801</v>
      </c>
      <c r="AF24" s="109">
        <f t="shared" si="10"/>
        <v>0.90416399774626</v>
      </c>
      <c r="AG24" s="368"/>
    </row>
    <row r="25" spans="1:33" ht="15.75" customHeight="1">
      <c r="A25" s="356"/>
      <c r="B25" s="162" t="s">
        <v>184</v>
      </c>
      <c r="C25" s="329" t="s">
        <v>235</v>
      </c>
      <c r="D25" s="330"/>
      <c r="E25" s="100">
        <v>33.200000000000003</v>
      </c>
      <c r="F25" s="110">
        <v>3168</v>
      </c>
      <c r="G25" s="102">
        <f t="shared" si="11"/>
        <v>105177.60000000001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1807.9724640015379</v>
      </c>
      <c r="N25" s="105">
        <f t="shared" si="5"/>
        <v>164.36113309104891</v>
      </c>
      <c r="O25" s="107">
        <f t="shared" si="6"/>
        <v>0</v>
      </c>
      <c r="P25" s="108">
        <f t="shared" si="7"/>
        <v>-17.4570487271329</v>
      </c>
      <c r="Q25" s="109">
        <f t="shared" si="8"/>
        <v>0.903986232000769</v>
      </c>
      <c r="R25" s="322"/>
      <c r="S25" s="46">
        <v>0.32083333333333336</v>
      </c>
      <c r="T25" s="47">
        <v>0.39384259259259263</v>
      </c>
      <c r="U25" s="110">
        <v>4.6166666666666956</v>
      </c>
      <c r="V25" s="111">
        <v>105.13434456811413</v>
      </c>
      <c r="W25" s="112"/>
      <c r="X25" s="115"/>
      <c r="Y25" s="12"/>
      <c r="Z25" s="197"/>
      <c r="AA25" s="331"/>
      <c r="AB25" s="332"/>
      <c r="AC25" s="12">
        <v>1</v>
      </c>
      <c r="AD25" s="197"/>
      <c r="AE25" s="116">
        <f t="shared" si="9"/>
        <v>-192.0275359984621</v>
      </c>
      <c r="AF25" s="109">
        <f t="shared" si="10"/>
        <v>0.903986232000769</v>
      </c>
      <c r="AG25" s="368"/>
    </row>
    <row r="26" spans="1:33" ht="15.75" customHeight="1">
      <c r="A26" s="357"/>
      <c r="B26" s="162" t="s">
        <v>184</v>
      </c>
      <c r="C26" s="329" t="s">
        <v>196</v>
      </c>
      <c r="D26" s="330"/>
      <c r="E26" s="100">
        <v>51.44</v>
      </c>
      <c r="F26" s="110">
        <v>2163</v>
      </c>
      <c r="G26" s="102">
        <f t="shared" si="11"/>
        <v>111264.72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1803.1709154418081</v>
      </c>
      <c r="N26" s="105">
        <f t="shared" si="5"/>
        <v>94.903732391674112</v>
      </c>
      <c r="O26" s="107">
        <f t="shared" si="6"/>
        <v>0</v>
      </c>
      <c r="P26" s="108">
        <f t="shared" si="7"/>
        <v>-10.359425503062724</v>
      </c>
      <c r="Q26" s="109">
        <f t="shared" si="8"/>
        <v>0.90158545772090415</v>
      </c>
      <c r="R26" s="322"/>
      <c r="S26" s="46">
        <v>0.3979166666666667</v>
      </c>
      <c r="T26" s="47">
        <v>0.44789351851851855</v>
      </c>
      <c r="U26" s="110">
        <v>5.8666666666666512</v>
      </c>
      <c r="V26" s="111">
        <v>71.973210575106052</v>
      </c>
      <c r="W26" s="112"/>
      <c r="X26" s="115"/>
      <c r="Y26" s="12"/>
      <c r="Z26" s="197"/>
      <c r="AA26" s="331"/>
      <c r="AB26" s="332"/>
      <c r="AC26" s="12">
        <v>2</v>
      </c>
      <c r="AD26" s="197"/>
      <c r="AE26" s="116">
        <f t="shared" si="9"/>
        <v>-196.82908455819188</v>
      </c>
      <c r="AF26" s="109">
        <f t="shared" si="10"/>
        <v>0.90158545772090404</v>
      </c>
      <c r="AG26" s="368"/>
    </row>
    <row r="27" spans="1:33" ht="15.75" customHeight="1">
      <c r="A27" s="357"/>
      <c r="B27" s="162" t="s">
        <v>186</v>
      </c>
      <c r="C27" s="329" t="s">
        <v>197</v>
      </c>
      <c r="D27" s="330"/>
      <c r="E27" s="100">
        <v>46.34</v>
      </c>
      <c r="F27" s="110">
        <v>1150</v>
      </c>
      <c r="G27" s="120">
        <f t="shared" si="11"/>
        <v>53291.000000000007</v>
      </c>
      <c r="H27" s="121">
        <v>2</v>
      </c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1622.7361115169213</v>
      </c>
      <c r="N27" s="105">
        <f t="shared" si="5"/>
        <v>77.273148167472442</v>
      </c>
      <c r="O27" s="107">
        <f t="shared" si="6"/>
        <v>0</v>
      </c>
      <c r="P27" s="108">
        <f t="shared" si="7"/>
        <v>-8.4411375468132661</v>
      </c>
      <c r="Q27" s="109">
        <f t="shared" si="8"/>
        <v>0.90152006195384526</v>
      </c>
      <c r="R27" s="322"/>
      <c r="S27" s="46">
        <v>0.45069444444444445</v>
      </c>
      <c r="T27" s="119">
        <v>0.48021990740740739</v>
      </c>
      <c r="U27" s="110">
        <v>5</v>
      </c>
      <c r="V27" s="111">
        <v>42.52077679808292</v>
      </c>
      <c r="W27" s="112">
        <v>0.48021990740740739</v>
      </c>
      <c r="X27" s="115">
        <v>0.51875000000000004</v>
      </c>
      <c r="Y27" s="12"/>
      <c r="Z27" s="197"/>
      <c r="AA27" s="331"/>
      <c r="AB27" s="332"/>
      <c r="AC27" s="12">
        <v>0</v>
      </c>
      <c r="AD27" s="197"/>
      <c r="AE27" s="116">
        <f t="shared" si="9"/>
        <v>-177.26388848307874</v>
      </c>
      <c r="AF27" s="109">
        <f t="shared" si="10"/>
        <v>0.90152006195384515</v>
      </c>
      <c r="AG27" s="368"/>
    </row>
    <row r="28" spans="1:33" ht="15.75" customHeight="1">
      <c r="A28" s="357"/>
      <c r="B28" s="162" t="s">
        <v>198</v>
      </c>
      <c r="C28" s="329" t="s">
        <v>199</v>
      </c>
      <c r="D28" s="330"/>
      <c r="E28" s="100">
        <v>29.97</v>
      </c>
      <c r="F28" s="110">
        <v>2369</v>
      </c>
      <c r="G28" s="120">
        <f t="shared" si="11"/>
        <v>70998.929999999993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0.51875000000000004</v>
      </c>
      <c r="T28" s="119">
        <v>0.55631944444444448</v>
      </c>
      <c r="U28" s="110">
        <v>55.483333333333427</v>
      </c>
      <c r="V28" s="111">
        <v>54.114873521982652</v>
      </c>
      <c r="W28" s="112"/>
      <c r="X28" s="115"/>
      <c r="Y28" s="12"/>
      <c r="Z28" s="197"/>
      <c r="AA28" s="331"/>
      <c r="AB28" s="332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 t="s">
        <v>186</v>
      </c>
      <c r="C29" s="329" t="s">
        <v>197</v>
      </c>
      <c r="D29" s="330"/>
      <c r="E29" s="100">
        <v>46.34</v>
      </c>
      <c r="F29" s="110">
        <v>1751</v>
      </c>
      <c r="G29" s="120">
        <f t="shared" si="11"/>
        <v>81141.340000000011</v>
      </c>
      <c r="H29" s="61"/>
      <c r="I29" s="117">
        <v>21</v>
      </c>
      <c r="J29" s="104">
        <v>1800</v>
      </c>
      <c r="K29" s="105">
        <f t="shared" si="1"/>
        <v>85.714285714285708</v>
      </c>
      <c r="L29" s="106">
        <v>21</v>
      </c>
      <c r="M29" s="104">
        <f t="shared" si="12"/>
        <v>1622.7361115169213</v>
      </c>
      <c r="N29" s="105">
        <f t="shared" si="5"/>
        <v>77.273148167472442</v>
      </c>
      <c r="O29" s="122">
        <f t="shared" si="6"/>
        <v>0</v>
      </c>
      <c r="P29" s="123">
        <f t="shared" si="7"/>
        <v>-8.4411375468132661</v>
      </c>
      <c r="Q29" s="124">
        <f t="shared" si="8"/>
        <v>0.90152006195384526</v>
      </c>
      <c r="R29" s="322"/>
      <c r="S29" s="46">
        <v>0.56041666666666667</v>
      </c>
      <c r="T29" s="119">
        <v>0.60537037037037034</v>
      </c>
      <c r="U29" s="110">
        <v>5.8999999999999631</v>
      </c>
      <c r="V29" s="111">
        <v>64.742504498646255</v>
      </c>
      <c r="W29" s="112"/>
      <c r="X29" s="115"/>
      <c r="Y29" s="12"/>
      <c r="Z29" s="197"/>
      <c r="AA29" s="331"/>
      <c r="AB29" s="332"/>
      <c r="AC29" s="12">
        <v>1</v>
      </c>
      <c r="AD29" s="197"/>
      <c r="AE29" s="116">
        <f t="shared" si="9"/>
        <v>-177.26388848307874</v>
      </c>
      <c r="AF29" s="109">
        <f t="shared" si="10"/>
        <v>0.90152006195384515</v>
      </c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18.25</v>
      </c>
      <c r="J38" s="136">
        <f t="shared" si="13"/>
        <v>2061.25</v>
      </c>
      <c r="K38" s="137">
        <f t="shared" ref="K38" si="14">J38/I38</f>
        <v>112.94520547945206</v>
      </c>
      <c r="L38" s="135">
        <f t="shared" ref="L38:M38" si="15">AVERAGE(L22:L37)</f>
        <v>18.375</v>
      </c>
      <c r="M38" s="136">
        <f t="shared" si="15"/>
        <v>1873.3067587343178</v>
      </c>
      <c r="N38" s="137">
        <f t="shared" ref="N38:N45" si="16">M38/L38</f>
        <v>101.94866714200369</v>
      </c>
      <c r="O38" s="138">
        <f t="shared" ref="O38:O45" si="17">L38-I38</f>
        <v>0.125</v>
      </c>
      <c r="P38" s="139">
        <f t="shared" ref="P38:P45" si="18">N38-K38</f>
        <v>-10.996538337448371</v>
      </c>
      <c r="Q38" s="140">
        <f t="shared" ref="Q38:Q45" si="19">N38/K38</f>
        <v>0.90263829003835883</v>
      </c>
      <c r="R38" s="323"/>
      <c r="S38" s="141">
        <v>0.16666666666666666</v>
      </c>
      <c r="T38" s="142">
        <v>0.60537037037037034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6</v>
      </c>
      <c r="AD38" s="179">
        <f>SUM(AD22:AD37)</f>
        <v>0</v>
      </c>
      <c r="AE38" s="167">
        <f t="shared" ref="AE38:AE45" si="20">M38-J38</f>
        <v>-187.94324126568222</v>
      </c>
      <c r="AF38" s="140">
        <f t="shared" ref="AF38:AF45" si="21">M38/J38</f>
        <v>0.90882074407971758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3267</v>
      </c>
      <c r="G39" s="147">
        <f t="shared" ref="G39:G45" si="22">E39*F39</f>
        <v>175633.91999999998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1799.3908805090875</v>
      </c>
      <c r="N39" s="151">
        <f t="shared" si="16"/>
        <v>89.969544025454383</v>
      </c>
      <c r="O39" s="153">
        <f t="shared" si="17"/>
        <v>0</v>
      </c>
      <c r="P39" s="154">
        <f t="shared" si="18"/>
        <v>-10.030455974545617</v>
      </c>
      <c r="Q39" s="155">
        <f t="shared" si="19"/>
        <v>0.89969544025454384</v>
      </c>
      <c r="R39" s="321">
        <f>Q55</f>
        <v>0.90015376864834273</v>
      </c>
      <c r="S39" s="156">
        <v>0.16666666666666666</v>
      </c>
      <c r="T39" s="157">
        <v>0.24231481481481482</v>
      </c>
      <c r="U39" s="158"/>
      <c r="V39" s="159">
        <v>108.93686420403643</v>
      </c>
      <c r="W39" s="157"/>
      <c r="X39" s="168"/>
      <c r="Y39" s="12"/>
      <c r="Z39" s="197"/>
      <c r="AA39" s="324"/>
      <c r="AB39" s="325"/>
      <c r="AC39" s="12">
        <v>2</v>
      </c>
      <c r="AD39" s="197"/>
      <c r="AE39" s="114">
        <f t="shared" si="20"/>
        <v>-200.60911949091246</v>
      </c>
      <c r="AF39" s="155">
        <f t="shared" si="21"/>
        <v>0.89969544025454373</v>
      </c>
      <c r="AG39" s="326">
        <f>AF55</f>
        <v>0.90015376864834273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2317</v>
      </c>
      <c r="G40" s="102">
        <f t="shared" si="22"/>
        <v>165781.35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1799.7340140253298</v>
      </c>
      <c r="N40" s="105">
        <f t="shared" si="16"/>
        <v>81.806091546605899</v>
      </c>
      <c r="O40" s="107">
        <f t="shared" si="17"/>
        <v>0</v>
      </c>
      <c r="P40" s="108">
        <f t="shared" si="18"/>
        <v>-9.1029993624850079</v>
      </c>
      <c r="Q40" s="109">
        <f t="shared" si="19"/>
        <v>0.89986700701266487</v>
      </c>
      <c r="R40" s="322"/>
      <c r="S40" s="46">
        <v>0.24513888888888885</v>
      </c>
      <c r="T40" s="47">
        <v>0.29877314814814809</v>
      </c>
      <c r="U40" s="110">
        <v>5</v>
      </c>
      <c r="V40" s="111">
        <v>77.244747788627066</v>
      </c>
      <c r="W40" s="112"/>
      <c r="X40" s="115"/>
      <c r="Y40" s="12"/>
      <c r="Z40" s="197"/>
      <c r="AA40" s="331"/>
      <c r="AB40" s="332"/>
      <c r="AC40" s="12">
        <v>2</v>
      </c>
      <c r="AD40" s="197"/>
      <c r="AE40" s="116">
        <f t="shared" si="20"/>
        <v>-200.26598597467023</v>
      </c>
      <c r="AF40" s="109">
        <f t="shared" si="21"/>
        <v>0.89986700701266487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1899</v>
      </c>
      <c r="G41" s="102">
        <f t="shared" si="22"/>
        <v>121384.08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1801.2841751572373</v>
      </c>
      <c r="N41" s="105">
        <f t="shared" si="16"/>
        <v>75.053507298218221</v>
      </c>
      <c r="O41" s="107">
        <f t="shared" si="17"/>
        <v>0</v>
      </c>
      <c r="P41" s="108">
        <f t="shared" si="18"/>
        <v>-8.2798260351151072</v>
      </c>
      <c r="Q41" s="109">
        <f t="shared" si="19"/>
        <v>0.90064208757861874</v>
      </c>
      <c r="R41" s="322"/>
      <c r="S41" s="46">
        <v>0.3027777777777777</v>
      </c>
      <c r="T41" s="47">
        <v>0.3467013888888888</v>
      </c>
      <c r="U41" s="110">
        <v>5.7666666666666355</v>
      </c>
      <c r="V41" s="111">
        <v>63.254872035976206</v>
      </c>
      <c r="W41" s="112"/>
      <c r="X41" s="115"/>
      <c r="Y41" s="12"/>
      <c r="Z41" s="197"/>
      <c r="AA41" s="331"/>
      <c r="AB41" s="332"/>
      <c r="AC41" s="12">
        <v>1</v>
      </c>
      <c r="AD41" s="197"/>
      <c r="AE41" s="116">
        <f t="shared" si="20"/>
        <v>-198.71582484276269</v>
      </c>
      <c r="AF41" s="109">
        <f t="shared" si="21"/>
        <v>0.90064208757861863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1062</v>
      </c>
      <c r="G42" s="102">
        <f t="shared" si="22"/>
        <v>62307.54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1800.6615804078917</v>
      </c>
      <c r="N42" s="105">
        <f t="shared" si="16"/>
        <v>78.289633930777896</v>
      </c>
      <c r="O42" s="107">
        <f t="shared" si="17"/>
        <v>0</v>
      </c>
      <c r="P42" s="108">
        <f t="shared" si="18"/>
        <v>-8.6668878083525414</v>
      </c>
      <c r="Q42" s="109">
        <f t="shared" si="19"/>
        <v>0.9003307902039458</v>
      </c>
      <c r="R42" s="322"/>
      <c r="S42" s="46">
        <v>0.34999999999999992</v>
      </c>
      <c r="T42" s="47">
        <v>0.37457175925925917</v>
      </c>
      <c r="U42" s="110">
        <v>4.7500000000000231</v>
      </c>
      <c r="V42" s="111">
        <v>35.386993699041405</v>
      </c>
      <c r="W42" s="112"/>
      <c r="X42" s="115"/>
      <c r="Y42" s="12"/>
      <c r="Z42" s="197"/>
      <c r="AA42" s="331"/>
      <c r="AB42" s="332"/>
      <c r="AC42" s="12">
        <v>1</v>
      </c>
      <c r="AD42" s="197"/>
      <c r="AE42" s="116">
        <f t="shared" si="20"/>
        <v>-199.33841959210827</v>
      </c>
      <c r="AF42" s="109">
        <f t="shared" si="21"/>
        <v>0.90033079020394591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3077</v>
      </c>
      <c r="G43" s="102">
        <f t="shared" si="22"/>
        <v>183204.58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1799.7746238049858</v>
      </c>
      <c r="N43" s="105">
        <f t="shared" si="16"/>
        <v>78.251070600216778</v>
      </c>
      <c r="O43" s="107">
        <f t="shared" si="17"/>
        <v>0</v>
      </c>
      <c r="P43" s="108">
        <f t="shared" si="18"/>
        <v>-8.7054511389136593</v>
      </c>
      <c r="Q43" s="109">
        <f t="shared" si="19"/>
        <v>0.89988731190249294</v>
      </c>
      <c r="R43" s="322"/>
      <c r="S43" s="46">
        <v>0.37777777777777771</v>
      </c>
      <c r="T43" s="47">
        <v>0.44900462962962956</v>
      </c>
      <c r="U43" s="110">
        <v>4.6166666666666956</v>
      </c>
      <c r="V43" s="111">
        <v>102.57951054431827</v>
      </c>
      <c r="W43" s="112">
        <v>0.44900462962962956</v>
      </c>
      <c r="X43" s="115">
        <v>0.48749999999999993</v>
      </c>
      <c r="Y43" s="12"/>
      <c r="Z43" s="197"/>
      <c r="AA43" s="331"/>
      <c r="AB43" s="332"/>
      <c r="AC43" s="12">
        <v>2</v>
      </c>
      <c r="AD43" s="197"/>
      <c r="AE43" s="116">
        <f t="shared" si="20"/>
        <v>-200.22537619501418</v>
      </c>
      <c r="AF43" s="109">
        <f t="shared" si="21"/>
        <v>0.89988731190249294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3250</v>
      </c>
      <c r="G44" s="120">
        <f t="shared" si="22"/>
        <v>198542.5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1800.6459067643752</v>
      </c>
      <c r="N44" s="105">
        <f t="shared" si="16"/>
        <v>90.032295338218759</v>
      </c>
      <c r="O44" s="107">
        <f t="shared" si="17"/>
        <v>0</v>
      </c>
      <c r="P44" s="108">
        <f t="shared" si="18"/>
        <v>-9.9677046617812408</v>
      </c>
      <c r="Q44" s="109">
        <f t="shared" si="19"/>
        <v>0.9003229533821876</v>
      </c>
      <c r="R44" s="322"/>
      <c r="S44" s="46">
        <v>0.48749999999999993</v>
      </c>
      <c r="T44" s="119">
        <v>0.56269675925925922</v>
      </c>
      <c r="U44" s="110">
        <v>55.433333333333337</v>
      </c>
      <c r="V44" s="111">
        <v>108.2944732595429</v>
      </c>
      <c r="W44" s="112"/>
      <c r="X44" s="115"/>
      <c r="Y44" s="12"/>
      <c r="Z44" s="197"/>
      <c r="AA44" s="331"/>
      <c r="AB44" s="332"/>
      <c r="AC44" s="12">
        <v>2</v>
      </c>
      <c r="AD44" s="197"/>
      <c r="AE44" s="116">
        <f t="shared" si="20"/>
        <v>-199.35409323562476</v>
      </c>
      <c r="AF44" s="109">
        <f t="shared" si="21"/>
        <v>0.9003229533821876</v>
      </c>
      <c r="AG44" s="327"/>
    </row>
    <row r="45" spans="1:33" ht="15.75" customHeight="1">
      <c r="A45" s="317"/>
      <c r="B45" s="162" t="s">
        <v>188</v>
      </c>
      <c r="C45" s="329" t="s">
        <v>204</v>
      </c>
      <c r="D45" s="330"/>
      <c r="E45" s="100">
        <v>58.67</v>
      </c>
      <c r="F45" s="101">
        <v>2810</v>
      </c>
      <c r="G45" s="120">
        <f t="shared" si="22"/>
        <v>164862.70000000001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1800.6615804078915</v>
      </c>
      <c r="N45" s="105">
        <f t="shared" si="16"/>
        <v>78.289633930777896</v>
      </c>
      <c r="O45" s="122">
        <f t="shared" si="17"/>
        <v>0</v>
      </c>
      <c r="P45" s="123">
        <f t="shared" si="18"/>
        <v>-8.6668878083525414</v>
      </c>
      <c r="Q45" s="124">
        <f t="shared" si="19"/>
        <v>0.9003307902039458</v>
      </c>
      <c r="R45" s="322"/>
      <c r="S45" s="118">
        <v>0.5659722222222221</v>
      </c>
      <c r="T45" s="119">
        <v>0.6309837962962962</v>
      </c>
      <c r="U45" s="110">
        <v>4.7166666666665513</v>
      </c>
      <c r="V45" s="111">
        <v>93.632252631173586</v>
      </c>
      <c r="W45" s="119"/>
      <c r="X45" s="188"/>
      <c r="Y45" s="12"/>
      <c r="Z45" s="197"/>
      <c r="AA45" s="331"/>
      <c r="AB45" s="332"/>
      <c r="AC45" s="12">
        <v>2</v>
      </c>
      <c r="AD45" s="197"/>
      <c r="AE45" s="116">
        <f t="shared" si="20"/>
        <v>-199.33841959210849</v>
      </c>
      <c r="AF45" s="109">
        <f t="shared" si="21"/>
        <v>0.9003307902039458</v>
      </c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1800.3075372966855</v>
      </c>
      <c r="N55" s="137">
        <f t="shared" ref="N55:N63" si="27">M55/L55</f>
        <v>81.304211361785804</v>
      </c>
      <c r="O55" s="138">
        <f t="shared" ref="O55:O63" si="28">L55-I55</f>
        <v>0</v>
      </c>
      <c r="P55" s="139">
        <f t="shared" ref="P55:P63" si="29">N55-K55</f>
        <v>-9.0183692833754918</v>
      </c>
      <c r="Q55" s="140">
        <f t="shared" ref="Q55:Q63" si="30">N55/K55</f>
        <v>0.90015376864834273</v>
      </c>
      <c r="R55" s="323"/>
      <c r="S55" s="141">
        <v>0.16666666666666666</v>
      </c>
      <c r="T55" s="142">
        <v>0.6309837962962962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12</v>
      </c>
      <c r="AD55" s="190">
        <f>SUM(AD39:AD54)</f>
        <v>0</v>
      </c>
      <c r="AE55" s="167">
        <f t="shared" ref="AE55:AE63" si="31">M55-J55</f>
        <v>-199.6924627033145</v>
      </c>
      <c r="AF55" s="140">
        <f t="shared" ref="AF55:AF63" si="32">M55/J55</f>
        <v>0.90015376864834273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2438</v>
      </c>
      <c r="G56" s="147">
        <f t="shared" ref="G56:G63" si="33">E56*F56</f>
        <v>70360.679999999993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3191.477942324002</v>
      </c>
      <c r="N56" s="151">
        <f t="shared" si="27"/>
        <v>167.97252328021062</v>
      </c>
      <c r="O56" s="153">
        <f t="shared" si="28"/>
        <v>0</v>
      </c>
      <c r="P56" s="154">
        <f t="shared" si="29"/>
        <v>-21.501160930315706</v>
      </c>
      <c r="Q56" s="155">
        <f t="shared" si="30"/>
        <v>0.88652165064555599</v>
      </c>
      <c r="R56" s="321">
        <f>Q72</f>
        <v>0.9020498743249552</v>
      </c>
      <c r="S56" s="156">
        <v>0.16666666666666666</v>
      </c>
      <c r="T56" s="157">
        <v>0.19849537037037035</v>
      </c>
      <c r="U56" s="158"/>
      <c r="V56" s="159">
        <v>45.834563999361492</v>
      </c>
      <c r="W56" s="157"/>
      <c r="X56" s="168"/>
      <c r="Y56" s="12"/>
      <c r="Z56" s="197"/>
      <c r="AA56" s="324"/>
      <c r="AB56" s="325"/>
      <c r="AC56" s="12">
        <v>1</v>
      </c>
      <c r="AD56" s="197"/>
      <c r="AE56" s="114">
        <f t="shared" si="31"/>
        <v>-408.52205767599798</v>
      </c>
      <c r="AF56" s="155">
        <f t="shared" si="32"/>
        <v>0.8865216506455561</v>
      </c>
      <c r="AG56" s="326">
        <f>AF72</f>
        <v>0.90204987432495509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3325</v>
      </c>
      <c r="G57" s="102">
        <f t="shared" si="33"/>
        <v>119334.25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3192.2077585405868</v>
      </c>
      <c r="N57" s="105">
        <f t="shared" si="27"/>
        <v>168.0109346600309</v>
      </c>
      <c r="O57" s="107">
        <f t="shared" si="28"/>
        <v>0</v>
      </c>
      <c r="P57" s="108">
        <f t="shared" si="29"/>
        <v>-21.462749550495431</v>
      </c>
      <c r="Q57" s="109">
        <f t="shared" si="30"/>
        <v>0.88672437737238519</v>
      </c>
      <c r="R57" s="322"/>
      <c r="S57" s="46">
        <v>0.20208333333333334</v>
      </c>
      <c r="T57" s="47">
        <v>0.24547453703703703</v>
      </c>
      <c r="U57" s="110">
        <v>5.1666666666667016</v>
      </c>
      <c r="V57" s="111">
        <v>62.49593231087421</v>
      </c>
      <c r="W57" s="112"/>
      <c r="X57" s="115"/>
      <c r="Y57" s="12"/>
      <c r="Z57" s="197"/>
      <c r="AA57" s="331"/>
      <c r="AB57" s="332"/>
      <c r="AC57" s="12">
        <v>1</v>
      </c>
      <c r="AD57" s="197"/>
      <c r="AE57" s="116">
        <f t="shared" si="31"/>
        <v>-407.79224145941316</v>
      </c>
      <c r="AF57" s="109">
        <f t="shared" si="32"/>
        <v>0.88672437737238519</v>
      </c>
      <c r="AG57" s="327"/>
    </row>
    <row r="58" spans="1:33" ht="15.75" customHeight="1">
      <c r="A58" s="356"/>
      <c r="B58" s="99" t="s">
        <v>208</v>
      </c>
      <c r="C58" s="370" t="s">
        <v>212</v>
      </c>
      <c r="D58" s="370"/>
      <c r="E58" s="100">
        <v>43.96</v>
      </c>
      <c r="F58" s="101">
        <v>1792</v>
      </c>
      <c r="G58" s="102">
        <f t="shared" si="33"/>
        <v>78776.320000000007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3267.6283112263391</v>
      </c>
      <c r="N58" s="105">
        <f t="shared" si="27"/>
        <v>136.1511796344308</v>
      </c>
      <c r="O58" s="107">
        <f t="shared" si="28"/>
        <v>0</v>
      </c>
      <c r="P58" s="108">
        <f t="shared" si="29"/>
        <v>-13.848820365569196</v>
      </c>
      <c r="Q58" s="109">
        <f t="shared" si="30"/>
        <v>0.90767453089620531</v>
      </c>
      <c r="R58" s="322"/>
      <c r="S58" s="46">
        <v>0.24861111111111112</v>
      </c>
      <c r="T58" s="47">
        <v>0.27145833333333336</v>
      </c>
      <c r="U58" s="110">
        <v>4.5166666666666799</v>
      </c>
      <c r="V58" s="111">
        <v>32.904599225867216</v>
      </c>
      <c r="W58" s="112"/>
      <c r="X58" s="115"/>
      <c r="Y58" s="12"/>
      <c r="Z58" s="197"/>
      <c r="AA58" s="331"/>
      <c r="AB58" s="332"/>
      <c r="AC58" s="12">
        <v>1</v>
      </c>
      <c r="AD58" s="197"/>
      <c r="AE58" s="116">
        <f t="shared" si="31"/>
        <v>-332.37168877366094</v>
      </c>
      <c r="AF58" s="109">
        <f t="shared" si="32"/>
        <v>0.90767453089620531</v>
      </c>
      <c r="AG58" s="327"/>
    </row>
    <row r="59" spans="1:33" ht="15.75" customHeight="1">
      <c r="A59" s="356"/>
      <c r="B59" s="99" t="s">
        <v>208</v>
      </c>
      <c r="C59" s="370" t="s">
        <v>213</v>
      </c>
      <c r="D59" s="370"/>
      <c r="E59" s="100">
        <v>46.93</v>
      </c>
      <c r="F59" s="101">
        <v>1485</v>
      </c>
      <c r="G59" s="102">
        <f t="shared" si="33"/>
        <v>69691.05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3267.3842866123496</v>
      </c>
      <c r="N59" s="105">
        <f t="shared" si="27"/>
        <v>136.14101194218122</v>
      </c>
      <c r="O59" s="107">
        <f t="shared" si="28"/>
        <v>0</v>
      </c>
      <c r="P59" s="108">
        <f t="shared" si="29"/>
        <v>-13.858988057818777</v>
      </c>
      <c r="Q59" s="109">
        <f t="shared" si="30"/>
        <v>0.90760674628120819</v>
      </c>
      <c r="R59" s="322"/>
      <c r="S59" s="46">
        <v>0.27499999999999997</v>
      </c>
      <c r="T59" s="47">
        <v>0.29393518518518513</v>
      </c>
      <c r="U59" s="110">
        <v>5.0999999999999179</v>
      </c>
      <c r="V59" s="111">
        <v>27.269519647589298</v>
      </c>
      <c r="W59" s="112"/>
      <c r="X59" s="115"/>
      <c r="Y59" s="12"/>
      <c r="Z59" s="197"/>
      <c r="AA59" s="331"/>
      <c r="AB59" s="332"/>
      <c r="AC59" s="12">
        <v>1</v>
      </c>
      <c r="AD59" s="197"/>
      <c r="AE59" s="198">
        <f t="shared" si="31"/>
        <v>-332.61571338765043</v>
      </c>
      <c r="AF59" s="199">
        <f t="shared" si="32"/>
        <v>0.90760674628120819</v>
      </c>
      <c r="AG59" s="327"/>
    </row>
    <row r="60" spans="1:33" ht="15.75" customHeight="1">
      <c r="A60" s="357"/>
      <c r="B60" s="99" t="s">
        <v>208</v>
      </c>
      <c r="C60" s="370" t="s">
        <v>214</v>
      </c>
      <c r="D60" s="370"/>
      <c r="E60" s="100">
        <v>36.729999999999997</v>
      </c>
      <c r="F60" s="104">
        <v>3914</v>
      </c>
      <c r="G60" s="102">
        <f t="shared" si="33"/>
        <v>143761.22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3262.6167104351825</v>
      </c>
      <c r="N60" s="105">
        <f t="shared" si="27"/>
        <v>163.13083552175914</v>
      </c>
      <c r="O60" s="107">
        <f t="shared" si="28"/>
        <v>0</v>
      </c>
      <c r="P60" s="108">
        <f t="shared" si="29"/>
        <v>-16.869164478240862</v>
      </c>
      <c r="Q60" s="109">
        <f t="shared" si="30"/>
        <v>0.90628241956532851</v>
      </c>
      <c r="R60" s="322"/>
      <c r="S60" s="46">
        <v>0.29722222222222217</v>
      </c>
      <c r="T60" s="47">
        <v>0.34719907407407402</v>
      </c>
      <c r="U60" s="110">
        <v>4.7333333333333272</v>
      </c>
      <c r="V60" s="111">
        <v>71.979034266846497</v>
      </c>
      <c r="W60" s="112"/>
      <c r="X60" s="115"/>
      <c r="Y60" s="12"/>
      <c r="Z60" s="197"/>
      <c r="AA60" s="331"/>
      <c r="AB60" s="332"/>
      <c r="AC60" s="12">
        <v>2</v>
      </c>
      <c r="AD60" s="197"/>
      <c r="AE60" s="198">
        <f t="shared" si="31"/>
        <v>-337.38328956481746</v>
      </c>
      <c r="AF60" s="199">
        <f t="shared" si="32"/>
        <v>0.90628241956532851</v>
      </c>
      <c r="AG60" s="327"/>
    </row>
    <row r="61" spans="1:33" ht="15.75" customHeight="1">
      <c r="A61" s="357"/>
      <c r="B61" s="99" t="s">
        <v>208</v>
      </c>
      <c r="C61" s="370" t="s">
        <v>233</v>
      </c>
      <c r="D61" s="370"/>
      <c r="E61" s="100">
        <v>48.4</v>
      </c>
      <c r="F61" s="104">
        <v>3129</v>
      </c>
      <c r="G61" s="120">
        <f t="shared" si="33"/>
        <v>151443.6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3262.2652091536047</v>
      </c>
      <c r="N61" s="105">
        <f t="shared" si="27"/>
        <v>148.28478223425475</v>
      </c>
      <c r="O61" s="107">
        <f t="shared" si="28"/>
        <v>0</v>
      </c>
      <c r="P61" s="108">
        <f t="shared" si="29"/>
        <v>-15.351581402108877</v>
      </c>
      <c r="Q61" s="109">
        <f t="shared" si="30"/>
        <v>0.90618478032044569</v>
      </c>
      <c r="R61" s="322"/>
      <c r="S61" s="46">
        <v>0.35069444444444436</v>
      </c>
      <c r="T61" s="119">
        <v>0.39064814814814808</v>
      </c>
      <c r="U61" s="110">
        <v>5.0333333333332941</v>
      </c>
      <c r="V61" s="111">
        <v>57.548969186569956</v>
      </c>
      <c r="W61" s="112"/>
      <c r="X61" s="115"/>
      <c r="Y61" s="12"/>
      <c r="Z61" s="197"/>
      <c r="AA61" s="331"/>
      <c r="AB61" s="332"/>
      <c r="AC61" s="12">
        <v>1</v>
      </c>
      <c r="AD61" s="197"/>
      <c r="AE61" s="198">
        <f t="shared" si="31"/>
        <v>-337.7347908463953</v>
      </c>
      <c r="AF61" s="199">
        <f t="shared" si="32"/>
        <v>0.9061847803204458</v>
      </c>
      <c r="AG61" s="327"/>
    </row>
    <row r="62" spans="1:33" ht="15.75" customHeight="1">
      <c r="A62" s="357"/>
      <c r="B62" s="99" t="s">
        <v>208</v>
      </c>
      <c r="C62" s="370" t="s">
        <v>216</v>
      </c>
      <c r="D62" s="370"/>
      <c r="E62" s="100">
        <v>38.479999999999997</v>
      </c>
      <c r="F62" s="104">
        <v>5959</v>
      </c>
      <c r="G62" s="120">
        <f t="shared" si="33"/>
        <v>229302.31999999998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3267.2441222106399</v>
      </c>
      <c r="N62" s="105">
        <f t="shared" si="27"/>
        <v>163.36220611053199</v>
      </c>
      <c r="O62" s="122">
        <f t="shared" si="28"/>
        <v>0</v>
      </c>
      <c r="P62" s="123">
        <f t="shared" si="29"/>
        <v>-16.637793889468014</v>
      </c>
      <c r="Q62" s="124">
        <f t="shared" si="30"/>
        <v>0.90756781172517775</v>
      </c>
      <c r="R62" s="322"/>
      <c r="S62" s="46">
        <v>0.39374999999999993</v>
      </c>
      <c r="T62" s="119">
        <v>0.46973379629629625</v>
      </c>
      <c r="U62" s="110">
        <v>5</v>
      </c>
      <c r="V62" s="111">
        <v>109.431675940421</v>
      </c>
      <c r="W62" s="112">
        <v>0.46973379629629625</v>
      </c>
      <c r="X62" s="115">
        <v>0.50833333333333319</v>
      </c>
      <c r="Y62" s="12"/>
      <c r="Z62" s="197"/>
      <c r="AA62" s="331"/>
      <c r="AB62" s="332"/>
      <c r="AC62" s="12">
        <v>2</v>
      </c>
      <c r="AD62" s="197"/>
      <c r="AE62" s="198">
        <f t="shared" si="31"/>
        <v>-332.75587778936006</v>
      </c>
      <c r="AF62" s="199">
        <f t="shared" si="32"/>
        <v>0.90756781172517775</v>
      </c>
      <c r="AG62" s="327"/>
    </row>
    <row r="63" spans="1:33" ht="15.75" customHeight="1">
      <c r="A63" s="357"/>
      <c r="B63" s="99" t="s">
        <v>208</v>
      </c>
      <c r="C63" s="370" t="s">
        <v>215</v>
      </c>
      <c r="D63" s="370"/>
      <c r="E63" s="100">
        <v>37.799999999999997</v>
      </c>
      <c r="F63" s="104">
        <v>7063</v>
      </c>
      <c r="G63" s="120">
        <f t="shared" si="33"/>
        <v>266981.39999999997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3268.2120400560029</v>
      </c>
      <c r="N63" s="105">
        <f t="shared" si="27"/>
        <v>155.62914476457158</v>
      </c>
      <c r="O63" s="122">
        <f t="shared" si="28"/>
        <v>0</v>
      </c>
      <c r="P63" s="123">
        <f t="shared" si="29"/>
        <v>-15.799426663999839</v>
      </c>
      <c r="Q63" s="124">
        <f t="shared" si="30"/>
        <v>0.90783667779333432</v>
      </c>
      <c r="R63" s="322"/>
      <c r="S63" s="46">
        <v>0.50833333333333319</v>
      </c>
      <c r="T63" s="119">
        <v>0.59837962962962954</v>
      </c>
      <c r="U63" s="110">
        <v>55.583333333333201</v>
      </c>
      <c r="V63" s="111">
        <v>129.66722930031744</v>
      </c>
      <c r="W63" s="112"/>
      <c r="X63" s="115"/>
      <c r="Y63" s="12"/>
      <c r="Z63" s="197"/>
      <c r="AA63" s="331"/>
      <c r="AB63" s="332"/>
      <c r="AC63" s="12">
        <v>3</v>
      </c>
      <c r="AD63" s="197"/>
      <c r="AE63" s="198">
        <f t="shared" si="31"/>
        <v>-331.78795994399707</v>
      </c>
      <c r="AF63" s="199">
        <f t="shared" si="32"/>
        <v>0.9078366777933341</v>
      </c>
      <c r="AG63" s="327"/>
    </row>
    <row r="64" spans="1:33" ht="15.75" customHeight="1">
      <c r="A64" s="357"/>
      <c r="B64" s="99"/>
      <c r="C64" s="370"/>
      <c r="D64" s="370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12"/>
      <c r="X64" s="115"/>
      <c r="Y64" s="12"/>
      <c r="Z64" s="197"/>
      <c r="AA64" s="331"/>
      <c r="AB64" s="332"/>
      <c r="AC64" s="12"/>
      <c r="AD64" s="197"/>
      <c r="AE64" s="198"/>
      <c r="AF64" s="199"/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3247.3795475698385</v>
      </c>
      <c r="N72" s="137">
        <f>M72/L72</f>
        <v>153.72210876070241</v>
      </c>
      <c r="O72" s="138">
        <f>L72-I72</f>
        <v>0</v>
      </c>
      <c r="P72" s="139">
        <f>N72-K72</f>
        <v>-16.69209242272953</v>
      </c>
      <c r="Q72" s="140">
        <f>N72/K72</f>
        <v>0.9020498743249552</v>
      </c>
      <c r="R72" s="323"/>
      <c r="S72" s="141">
        <v>0.16666666666666666</v>
      </c>
      <c r="T72" s="142">
        <v>0.59837962962962954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12</v>
      </c>
      <c r="AD72" s="190">
        <f>SUM(AD56:AD71)</f>
        <v>0</v>
      </c>
      <c r="AE72" s="167">
        <f>M72-J72</f>
        <v>-352.62045243016155</v>
      </c>
      <c r="AF72" s="140">
        <f>M72/J72</f>
        <v>0.90204987432495509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2689</v>
      </c>
      <c r="G73" s="120">
        <f t="shared" ref="G73:G75" si="39">E73*F73</f>
        <v>63325.950000000004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2259.0793326791177</v>
      </c>
      <c r="N73" s="105">
        <f>M73/L73</f>
        <v>376.51322211318626</v>
      </c>
      <c r="O73" s="107">
        <f>L73-I73</f>
        <v>0</v>
      </c>
      <c r="P73" s="108">
        <f>N73-K73</f>
        <v>-40.153444553480426</v>
      </c>
      <c r="Q73" s="109">
        <f>N73/K73</f>
        <v>0.90363173307164701</v>
      </c>
      <c r="R73" s="321">
        <f>Q89</f>
        <v>0.85163656964471712</v>
      </c>
      <c r="S73" s="46">
        <v>0.34444444444444439</v>
      </c>
      <c r="T73" s="119">
        <v>0.39403935185185179</v>
      </c>
      <c r="U73" s="110">
        <v>5</v>
      </c>
      <c r="V73" s="111">
        <v>71.418474626414067</v>
      </c>
      <c r="W73" s="112"/>
      <c r="X73" s="161"/>
      <c r="Y73" s="12"/>
      <c r="Z73" s="197"/>
      <c r="AA73" s="324"/>
      <c r="AB73" s="325"/>
      <c r="AC73" s="12">
        <v>1</v>
      </c>
      <c r="AD73" s="197"/>
      <c r="AE73" s="114">
        <f>M73-J73</f>
        <v>-240.92066732088233</v>
      </c>
      <c r="AF73" s="155">
        <f>M73/J73</f>
        <v>0.90363173307164701</v>
      </c>
      <c r="AG73" s="326">
        <f>AF89</f>
        <v>0.90486385524751212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910</v>
      </c>
      <c r="G74" s="120">
        <f t="shared" si="39"/>
        <v>24615.5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2961.9691775921865</v>
      </c>
      <c r="N74" s="105">
        <f>M74/L74</f>
        <v>493.66152959869777</v>
      </c>
      <c r="O74" s="122">
        <f>L74-I74</f>
        <v>1</v>
      </c>
      <c r="P74" s="123">
        <f>N74-K74</f>
        <v>-160.93847040130225</v>
      </c>
      <c r="Q74" s="124">
        <f>N74/K74</f>
        <v>0.75414226947555418</v>
      </c>
      <c r="R74" s="322"/>
      <c r="S74" s="46">
        <v>0.39791666666666659</v>
      </c>
      <c r="T74" s="119">
        <v>0.4107175925925925</v>
      </c>
      <c r="U74" s="110">
        <v>5.5833333333333002</v>
      </c>
      <c r="V74" s="111">
        <v>18.433682704417901</v>
      </c>
      <c r="W74" s="112"/>
      <c r="X74" s="115"/>
      <c r="Y74" s="12"/>
      <c r="Z74" s="197"/>
      <c r="AA74" s="331"/>
      <c r="AB74" s="332"/>
      <c r="AC74" s="12">
        <v>0</v>
      </c>
      <c r="AD74" s="197"/>
      <c r="AE74" s="116">
        <f>M74-J74</f>
        <v>-311.0308224078135</v>
      </c>
      <c r="AF74" s="109">
        <f>M74/J74</f>
        <v>0.90497072337066498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1286</v>
      </c>
      <c r="G75" s="120">
        <f t="shared" si="39"/>
        <v>34786.300000000003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2964.3499242976904</v>
      </c>
      <c r="N75" s="105">
        <f>M75/L75</f>
        <v>592.86998485953814</v>
      </c>
      <c r="O75" s="122">
        <f>L75-I75</f>
        <v>0</v>
      </c>
      <c r="P75" s="123">
        <f>N75-K75</f>
        <v>-61.730015140461887</v>
      </c>
      <c r="Q75" s="124">
        <f>N75/K75</f>
        <v>0.90569811313708848</v>
      </c>
      <c r="R75" s="322"/>
      <c r="S75" s="46">
        <v>0.41388888888888881</v>
      </c>
      <c r="T75" s="119">
        <v>0.43195601851851845</v>
      </c>
      <c r="U75" s="110">
        <v>4.5666666666666877</v>
      </c>
      <c r="V75" s="111">
        <v>26.029315691628625</v>
      </c>
      <c r="W75" s="112"/>
      <c r="X75" s="115"/>
      <c r="Y75" s="12"/>
      <c r="Z75" s="197"/>
      <c r="AA75" s="331"/>
      <c r="AB75" s="332"/>
      <c r="AC75" s="12">
        <v>0</v>
      </c>
      <c r="AD75" s="197"/>
      <c r="AE75" s="116">
        <f>M75-J75</f>
        <v>-308.65007570230955</v>
      </c>
      <c r="AF75" s="109">
        <f>M75/J75</f>
        <v>0.90569811313708848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2728.4661448563315</v>
      </c>
      <c r="N89" s="137">
        <f>M89/L89</f>
        <v>481.49402556288203</v>
      </c>
      <c r="O89" s="138">
        <f>L89-I89</f>
        <v>0.33333333333333393</v>
      </c>
      <c r="P89" s="139">
        <f>N89-K89</f>
        <v>-83.880974437118084</v>
      </c>
      <c r="Q89" s="140">
        <f>N89/K89</f>
        <v>0.85163656964471712</v>
      </c>
      <c r="R89" s="323"/>
      <c r="S89" s="141">
        <v>0.16666666666666666</v>
      </c>
      <c r="T89" s="142">
        <v>0.43195601851851845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1</v>
      </c>
      <c r="AD89" s="190">
        <f>SUM(AD73:AD88)</f>
        <v>0</v>
      </c>
      <c r="AE89" s="167">
        <f>M89-J89</f>
        <v>-286.86718847700195</v>
      </c>
      <c r="AF89" s="140">
        <f>M89/J89</f>
        <v>0.90486385524751212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2484</v>
      </c>
      <c r="G90" s="147">
        <f t="shared" ref="G90:G91" si="43">E90*F90</f>
        <v>38526.839999999997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3251.8800000000019</v>
      </c>
      <c r="N90" s="151">
        <f>M90/L90</f>
        <v>541.98000000000036</v>
      </c>
      <c r="O90" s="153">
        <f>L90-I90</f>
        <v>0</v>
      </c>
      <c r="P90" s="154">
        <f>N90-K90</f>
        <v>-58.019999999999641</v>
      </c>
      <c r="Q90" s="155">
        <f>N90/K90</f>
        <v>0.90330000000000055</v>
      </c>
      <c r="R90" s="321">
        <f>Q106</f>
        <v>0.90302324647550358</v>
      </c>
      <c r="S90" s="156">
        <v>0.25</v>
      </c>
      <c r="T90" s="157">
        <v>0.28181712962962963</v>
      </c>
      <c r="U90" s="158"/>
      <c r="V90" s="159">
        <v>45.831949518432381</v>
      </c>
      <c r="W90" s="157"/>
      <c r="X90" s="168"/>
      <c r="Y90" s="12"/>
      <c r="Z90" s="197"/>
      <c r="AA90" s="324"/>
      <c r="AB90" s="325"/>
      <c r="AC90" s="12">
        <v>0</v>
      </c>
      <c r="AD90" s="197"/>
      <c r="AE90" s="114">
        <f>M90-J90</f>
        <v>-348.11999999999807</v>
      </c>
      <c r="AF90" s="155">
        <f>M90/J90</f>
        <v>0.90330000000000055</v>
      </c>
      <c r="AG90" s="326">
        <f>AF106</f>
        <v>0.90302324647550347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2606</v>
      </c>
      <c r="G91" s="102">
        <f t="shared" si="43"/>
        <v>39116.06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3249.8873746236231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22"/>
      <c r="S91" s="46">
        <v>0.28472222222222221</v>
      </c>
      <c r="T91" s="47">
        <v>0.31812499999999999</v>
      </c>
      <c r="U91" s="110">
        <v>5</v>
      </c>
      <c r="V91" s="111">
        <v>48.112436517314201</v>
      </c>
      <c r="W91" s="112"/>
      <c r="X91" s="13"/>
      <c r="Y91" s="12"/>
      <c r="Z91" s="197"/>
      <c r="AA91" s="331"/>
      <c r="AB91" s="332"/>
      <c r="AC91" s="12">
        <v>0</v>
      </c>
      <c r="AD91" s="197"/>
      <c r="AE91" s="116">
        <f>M91-J91</f>
        <v>-350.11262537637685</v>
      </c>
      <c r="AF91" s="109">
        <f>M91/J91</f>
        <v>0.9027464929510064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3250.8836873118125</v>
      </c>
      <c r="N106" s="137">
        <f>M106/L106</f>
        <v>541.81394788530213</v>
      </c>
      <c r="O106" s="138">
        <f>L106-I106</f>
        <v>0</v>
      </c>
      <c r="P106" s="139">
        <f>N106-K106</f>
        <v>-58.186052114697873</v>
      </c>
      <c r="Q106" s="140">
        <f>N106/K106</f>
        <v>0.90302324647550358</v>
      </c>
      <c r="R106" s="323"/>
      <c r="S106" s="141">
        <v>0.25</v>
      </c>
      <c r="T106" s="142">
        <v>0.31812499999999999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-349.11631268818746</v>
      </c>
      <c r="AF106" s="140">
        <f>M106/J106</f>
        <v>0.90302324647550347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1587</v>
      </c>
      <c r="G107" s="147">
        <f t="shared" ref="G107:G109" si="47">E107*F107</f>
        <v>92315.790000000008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1800.6</v>
      </c>
      <c r="N107" s="151">
        <f>M107/L107</f>
        <v>105.91764705882352</v>
      </c>
      <c r="O107" s="153">
        <f>L107-I107</f>
        <v>-1</v>
      </c>
      <c r="P107" s="154">
        <f>N107-K107</f>
        <v>-5.1934640522875952</v>
      </c>
      <c r="Q107" s="155">
        <f>N107/K107</f>
        <v>0.9532588235294116</v>
      </c>
      <c r="R107" s="321">
        <f>Q123</f>
        <v>0.94835476190476187</v>
      </c>
      <c r="S107" s="156">
        <v>0.70833333333333337</v>
      </c>
      <c r="T107" s="157">
        <v>0.74504629629629637</v>
      </c>
      <c r="U107" s="158"/>
      <c r="V107" s="159">
        <v>52.88237254248584</v>
      </c>
      <c r="W107" s="157"/>
      <c r="X107" s="168"/>
      <c r="Y107" s="195"/>
      <c r="Z107" s="196"/>
      <c r="AA107" s="324"/>
      <c r="AB107" s="325"/>
      <c r="AC107" s="195">
        <v>1</v>
      </c>
      <c r="AD107" s="196"/>
      <c r="AE107" s="114">
        <f>M107-J107</f>
        <v>-199.40000000000009</v>
      </c>
      <c r="AF107" s="155">
        <f>M107/J107</f>
        <v>0.90029999999999999</v>
      </c>
      <c r="AG107" s="326">
        <f>AF123</f>
        <v>0.90013333333333334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1352</v>
      </c>
      <c r="G108" s="102">
        <f t="shared" si="47"/>
        <v>68505.84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1800.2000000000003</v>
      </c>
      <c r="N108" s="105">
        <f>M108/L108</f>
        <v>94.747368421052641</v>
      </c>
      <c r="O108" s="107">
        <f>L108-I108</f>
        <v>-1</v>
      </c>
      <c r="P108" s="108">
        <f>N108-K108</f>
        <v>-5.2526315789473585</v>
      </c>
      <c r="Q108" s="109">
        <f>N108/K108</f>
        <v>0.94747368421052647</v>
      </c>
      <c r="R108" s="322"/>
      <c r="S108" s="46">
        <v>0.74861111111111112</v>
      </c>
      <c r="T108" s="47">
        <v>0.77989583333333334</v>
      </c>
      <c r="U108" s="110">
        <v>5.1333333333332298</v>
      </c>
      <c r="V108" s="111">
        <v>45.061659815576043</v>
      </c>
      <c r="W108" s="112"/>
      <c r="X108" s="115"/>
      <c r="Y108" s="12"/>
      <c r="Z108" s="197"/>
      <c r="AA108" s="331"/>
      <c r="AB108" s="332"/>
      <c r="AC108" s="12">
        <v>1</v>
      </c>
      <c r="AD108" s="197"/>
      <c r="AE108" s="116">
        <f>M108-J108</f>
        <v>-199.79999999999973</v>
      </c>
      <c r="AF108" s="109">
        <f>M108/J108</f>
        <v>0.90010000000000012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1713</v>
      </c>
      <c r="G109" s="102">
        <f t="shared" si="47"/>
        <v>98154.9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1800</v>
      </c>
      <c r="N109" s="105">
        <f>M109/L109</f>
        <v>90</v>
      </c>
      <c r="O109" s="107">
        <f>L109-I109</f>
        <v>-1</v>
      </c>
      <c r="P109" s="108">
        <f>N109-K109</f>
        <v>-5.2380952380952408</v>
      </c>
      <c r="Q109" s="109">
        <f>N109/K109</f>
        <v>0.94499999999999995</v>
      </c>
      <c r="R109" s="322"/>
      <c r="S109" s="46">
        <v>0.78402777777777777</v>
      </c>
      <c r="T109" s="47">
        <v>0.82368055555555553</v>
      </c>
      <c r="U109" s="110">
        <v>5.9499999999999709</v>
      </c>
      <c r="V109" s="111">
        <v>57.1</v>
      </c>
      <c r="W109" s="112"/>
      <c r="X109" s="115"/>
      <c r="Y109" s="12"/>
      <c r="Z109" s="197"/>
      <c r="AA109" s="331"/>
      <c r="AB109" s="332"/>
      <c r="AC109" s="12">
        <v>1</v>
      </c>
      <c r="AD109" s="197"/>
      <c r="AE109" s="116">
        <f>M109-J109</f>
        <v>-200</v>
      </c>
      <c r="AF109" s="109">
        <f>M109/J109</f>
        <v>0.9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1800.2666666666667</v>
      </c>
      <c r="N123" s="137">
        <f>M123/L123</f>
        <v>96.442857142857136</v>
      </c>
      <c r="O123" s="138">
        <f>L123-I123</f>
        <v>-1</v>
      </c>
      <c r="P123" s="139">
        <f>N123-K123</f>
        <v>-5.2520581113801512</v>
      </c>
      <c r="Q123" s="140">
        <f>N123/K123</f>
        <v>0.94835476190476187</v>
      </c>
      <c r="R123" s="323"/>
      <c r="S123" s="141">
        <v>0.70833333333333337</v>
      </c>
      <c r="T123" s="142">
        <v>0.82368055555555553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-199.73333333333335</v>
      </c>
      <c r="AF123" s="140">
        <f>M123/J123</f>
        <v>0.90013333333333334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1846</v>
      </c>
      <c r="G124" s="147">
        <f t="shared" ref="G124:G126" si="55">E124*F124</f>
        <v>87869.6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1801.4262087244708</v>
      </c>
      <c r="N124" s="151">
        <f>M124/L124</f>
        <v>78.322878640194389</v>
      </c>
      <c r="O124" s="153">
        <f>L124-I124</f>
        <v>0</v>
      </c>
      <c r="P124" s="154">
        <f>N124-K124</f>
        <v>-8.633643098936048</v>
      </c>
      <c r="Q124" s="155">
        <f>N124/K124</f>
        <v>0.90071310436223551</v>
      </c>
      <c r="R124" s="321">
        <f>Q140</f>
        <v>0.90033844383509098</v>
      </c>
      <c r="S124" s="156">
        <v>0.70833333333333337</v>
      </c>
      <c r="T124" s="157">
        <v>0.75103009259259268</v>
      </c>
      <c r="U124" s="158"/>
      <c r="V124" s="159">
        <v>61.484616724004155</v>
      </c>
      <c r="W124" s="96"/>
      <c r="X124" s="97"/>
      <c r="Y124" s="195"/>
      <c r="Z124" s="196"/>
      <c r="AA124" s="324"/>
      <c r="AB124" s="325"/>
      <c r="AC124" s="195">
        <v>1</v>
      </c>
      <c r="AD124" s="196"/>
      <c r="AE124" s="114">
        <f>M124-J124</f>
        <v>-198.57379127552917</v>
      </c>
      <c r="AF124" s="155">
        <f>M124/J124</f>
        <v>0.90071310436223539</v>
      </c>
      <c r="AG124" s="375">
        <f>AF140</f>
        <v>0.90033844383509098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1589</v>
      </c>
      <c r="G125" s="102">
        <f t="shared" si="55"/>
        <v>90366.43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1799.574096006857</v>
      </c>
      <c r="N125" s="105">
        <f>M125/L125</f>
        <v>78.242352000298126</v>
      </c>
      <c r="O125" s="107">
        <f>L125-I125</f>
        <v>0</v>
      </c>
      <c r="P125" s="108">
        <f>N125-K125</f>
        <v>-8.7141697388323109</v>
      </c>
      <c r="Q125" s="109">
        <f>N125/K125</f>
        <v>0.89978704800342846</v>
      </c>
      <c r="R125" s="322"/>
      <c r="S125" s="46">
        <v>0.75416666666666665</v>
      </c>
      <c r="T125" s="47">
        <v>0.79094907407407411</v>
      </c>
      <c r="U125" s="110">
        <v>4.5166666666665201</v>
      </c>
      <c r="V125" s="111">
        <v>52.979202252107058</v>
      </c>
      <c r="W125" s="112"/>
      <c r="X125" s="115"/>
      <c r="Y125" s="12"/>
      <c r="Z125" s="197"/>
      <c r="AA125" s="331"/>
      <c r="AB125" s="332"/>
      <c r="AC125" s="12">
        <v>1</v>
      </c>
      <c r="AD125" s="197"/>
      <c r="AE125" s="116">
        <f>M125-J125</f>
        <v>-200.42590399314304</v>
      </c>
      <c r="AF125" s="109">
        <f>M125/J125</f>
        <v>0.89978704800342846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2193</v>
      </c>
      <c r="G126" s="102">
        <f t="shared" si="55"/>
        <v>124540.47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1801.0303582792189</v>
      </c>
      <c r="N126" s="105">
        <f>M126/L126</f>
        <v>78.305667751270391</v>
      </c>
      <c r="O126" s="107">
        <f>L126-I126</f>
        <v>0</v>
      </c>
      <c r="P126" s="108">
        <f>N126-K126</f>
        <v>-8.6508539878600459</v>
      </c>
      <c r="Q126" s="109">
        <f>N126/K126</f>
        <v>0.90051517913960943</v>
      </c>
      <c r="R126" s="322"/>
      <c r="S126" s="46">
        <v>0.7944444444444444</v>
      </c>
      <c r="T126" s="47">
        <v>0.84517361111111111</v>
      </c>
      <c r="U126" s="110">
        <v>5.0333333333332142</v>
      </c>
      <c r="V126" s="111">
        <v>73.05817994412773</v>
      </c>
      <c r="W126" s="112"/>
      <c r="X126" s="115"/>
      <c r="Y126" s="12"/>
      <c r="Z126" s="197"/>
      <c r="AA126" s="331"/>
      <c r="AB126" s="332"/>
      <c r="AC126" s="12">
        <v>2</v>
      </c>
      <c r="AD126" s="197"/>
      <c r="AE126" s="116">
        <f>M126-J126</f>
        <v>-198.96964172078106</v>
      </c>
      <c r="AF126" s="109">
        <f>M126/J126</f>
        <v>0.90051517913960943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1800.6768876701819</v>
      </c>
      <c r="N140" s="137">
        <f>M140/L140</f>
        <v>78.29029946392096</v>
      </c>
      <c r="O140" s="138">
        <f>L140-I140</f>
        <v>0</v>
      </c>
      <c r="P140" s="139">
        <f>N140-K140</f>
        <v>-8.6662222752094777</v>
      </c>
      <c r="Q140" s="140">
        <f>N140/K140</f>
        <v>0.90033844383509098</v>
      </c>
      <c r="R140" s="323"/>
      <c r="S140" s="141">
        <v>0.70833333333333337</v>
      </c>
      <c r="T140" s="142">
        <v>0.84517361111111111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353"/>
      <c r="AB140" s="354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-199.32311232981806</v>
      </c>
      <c r="AF140" s="140">
        <f>M140/J140</f>
        <v>0.90033844383509098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96524310-4410-4BD4-8377-2613A965E1E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BA7-1D03-46A9-B0C4-3906594E20F4}">
  <sheetPr>
    <tabColor theme="9" tint="0.59999389629810485"/>
  </sheetPr>
  <dimension ref="B1:AR42"/>
  <sheetViews>
    <sheetView zoomScale="70" zoomScaleNormal="70" workbookViewId="0">
      <selection activeCell="R43" sqref="R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242</v>
      </c>
      <c r="D3" s="208"/>
      <c r="E3" s="3" t="s">
        <v>3</v>
      </c>
      <c r="F3" s="209">
        <f>'0802(18度C)'!D1+'0802(4度C)'!D1</f>
        <v>216220</v>
      </c>
      <c r="G3" s="210"/>
      <c r="H3" s="3" t="s">
        <v>4</v>
      </c>
      <c r="I3" s="211">
        <f>'0802(18度C)'!F1+'0802(4度C)'!F1</f>
        <v>6878371.4600000009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495.02872598871619</v>
      </c>
      <c r="F6" s="245" t="e">
        <f>AVERAGE(#REF!,D14:K14)</f>
        <v>#REF!</v>
      </c>
      <c r="G6" s="246">
        <f>AVERAGE(D14:K14)</f>
        <v>271.33924192556066</v>
      </c>
      <c r="H6" s="247"/>
      <c r="I6" s="246">
        <f>AVERAGE(L14:O14)</f>
        <v>94.325718496683862</v>
      </c>
      <c r="J6" s="247"/>
      <c r="K6" s="246">
        <f>AVERAGE(D32:O32)</f>
        <v>734.94318181818176</v>
      </c>
      <c r="L6" s="247"/>
      <c r="M6" s="246">
        <f>AVERAGE(P32:X32)</f>
        <v>791</v>
      </c>
      <c r="N6" s="247"/>
      <c r="O6" s="235">
        <f>'0802(4度C)'!Y2</f>
        <v>0</v>
      </c>
      <c r="P6" s="235">
        <f>'0802(4度C)'!Z2</f>
        <v>0</v>
      </c>
      <c r="Q6" s="235">
        <f>'0802(4度C)'!AC2</f>
        <v>49</v>
      </c>
      <c r="R6" s="235">
        <f>'0802(4度C)'!AD2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443.89283392882203</v>
      </c>
      <c r="F7" s="241" t="e">
        <f>AVERAGE(#REF!,D15:K15)</f>
        <v>#REF!</v>
      </c>
      <c r="G7" s="242">
        <f>AVERAGE(D15:K15)</f>
        <v>240.02642075372583</v>
      </c>
      <c r="H7" s="243"/>
      <c r="I7" s="242">
        <f>AVERAGE(L15:O15)</f>
        <v>87.339145879947949</v>
      </c>
      <c r="J7" s="243"/>
      <c r="K7" s="242">
        <f>AVERAGE(D33:O33)</f>
        <v>660.20972234143426</v>
      </c>
      <c r="L7" s="243"/>
      <c r="M7" s="242">
        <f>AVERAGE(P33:X33)</f>
        <v>711.65240930329128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0.89917273315708313</v>
      </c>
      <c r="F8" s="260" t="e">
        <f>AVERAGE(D16:K16,#REF!)</f>
        <v>#REF!</v>
      </c>
      <c r="G8" s="248">
        <f>AVERAGE(D16:K16)</f>
        <v>0.89318943019567687</v>
      </c>
      <c r="H8" s="249"/>
      <c r="I8" s="248">
        <f>AVERAGE(L16:O16)</f>
        <v>0.92406477341140292</v>
      </c>
      <c r="J8" s="249"/>
      <c r="K8" s="248">
        <f>AVERAGE(D34:O34)</f>
        <v>0.89538295512118782</v>
      </c>
      <c r="L8" s="249"/>
      <c r="M8" s="248">
        <f>AVERAGE(P34:X34)</f>
        <v>0.89949144550792737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117.52</v>
      </c>
      <c r="G14" s="28">
        <v>90.322580645161295</v>
      </c>
      <c r="H14" s="28">
        <v>170.41420118343194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76.009013294715572</v>
      </c>
      <c r="F15" s="28">
        <v>106.04466633617159</v>
      </c>
      <c r="G15" s="28">
        <v>81.282600863238002</v>
      </c>
      <c r="H15" s="28">
        <v>153.71228234475154</v>
      </c>
      <c r="I15" s="28">
        <v>481.5360137981761</v>
      </c>
      <c r="J15" s="28">
        <v>541.57394788530212</v>
      </c>
      <c r="K15" s="36" t="s">
        <v>43</v>
      </c>
      <c r="L15" s="34" t="s">
        <v>43</v>
      </c>
      <c r="M15" s="30">
        <v>96.402485049598127</v>
      </c>
      <c r="N15" s="28">
        <v>78.275806710297772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0.90054157055695627</v>
      </c>
      <c r="F16" s="42">
        <f t="shared" si="0"/>
        <v>0.9023542064003709</v>
      </c>
      <c r="G16" s="42">
        <f t="shared" si="0"/>
        <v>0.89991450955727781</v>
      </c>
      <c r="H16" s="42">
        <f t="shared" si="0"/>
        <v>0.90199221237024352</v>
      </c>
      <c r="I16" s="42">
        <f t="shared" si="0"/>
        <v>0.85171083581370954</v>
      </c>
      <c r="J16" s="42">
        <f t="shared" si="0"/>
        <v>0.90262324647550352</v>
      </c>
      <c r="K16" s="43" t="s">
        <v>43</v>
      </c>
      <c r="L16" s="41" t="s">
        <v>43</v>
      </c>
      <c r="M16" s="44">
        <f>M15/M14</f>
        <v>0.94795776965438161</v>
      </c>
      <c r="N16" s="42">
        <f>N15/N14</f>
        <v>0.90017177716842434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0.64881944444444439</v>
      </c>
      <c r="F18" s="47">
        <v>0.57431712962962955</v>
      </c>
      <c r="G18" s="47">
        <v>0.66861111111111104</v>
      </c>
      <c r="H18" s="47">
        <v>0.60166666666666657</v>
      </c>
      <c r="I18" s="47">
        <v>0.42791666666666661</v>
      </c>
      <c r="J18" s="47">
        <v>0.3130208333333333</v>
      </c>
      <c r="K18" s="47" t="s">
        <v>43</v>
      </c>
      <c r="L18" s="46" t="s">
        <v>43</v>
      </c>
      <c r="M18" s="48">
        <v>0.84163194444444445</v>
      </c>
      <c r="N18" s="47">
        <v>0.85410879629629632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>
        <v>13</v>
      </c>
      <c r="F21" s="51">
        <v>6</v>
      </c>
      <c r="G21" s="51">
        <v>13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</v>
      </c>
      <c r="G23" s="57">
        <v>22.142857142857142</v>
      </c>
      <c r="H23" s="57">
        <v>21.125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287.43517099084823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751.77759957326077</v>
      </c>
      <c r="N33" s="28">
        <v>807.50661856090676</v>
      </c>
      <c r="O33" s="28">
        <v>794.11950024072109</v>
      </c>
      <c r="P33" s="27">
        <v>438.85886039389055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646.07334903498634</v>
      </c>
      <c r="W33" s="28">
        <v>991.12849385142943</v>
      </c>
      <c r="X33" s="31">
        <v>770.54893393285874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0.87827413358314743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0.91124557524031613</v>
      </c>
      <c r="N34" s="42">
        <f>N33/N32</f>
        <v>0.89722957617878529</v>
      </c>
      <c r="O34" s="42">
        <f>O33/O32</f>
        <v>0.89478253548250264</v>
      </c>
      <c r="P34" s="41">
        <f>P33/P32</f>
        <v>0.89397175265422146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0.91112908197241671</v>
      </c>
      <c r="W34" s="42">
        <f>W33/W32</f>
        <v>0.90102590350129952</v>
      </c>
      <c r="X34" s="45">
        <f>X33/X32</f>
        <v>0.89183904390377178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0.33055555555555555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0.73472222222222228</v>
      </c>
      <c r="X35" s="49">
        <v>0.74375000000000013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0.42791666666666661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0.42572916666666666</v>
      </c>
      <c r="N36" s="47">
        <v>0.56377314814814827</v>
      </c>
      <c r="O36" s="47">
        <v>0.53605324074074079</v>
      </c>
      <c r="P36" s="46">
        <v>0.76144675925925931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0.88627314814814817</v>
      </c>
      <c r="W36" s="47">
        <v>1.1338541666666664</v>
      </c>
      <c r="X36" s="49">
        <v>1.1279398148148145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3.8571428571428572</v>
      </c>
      <c r="O37" s="47">
        <v>4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88-CEE7-4B66-9640-ACCE773ABF8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2" sqref="M42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115093</v>
      </c>
      <c r="E1" s="87" t="s">
        <v>4</v>
      </c>
      <c r="F1" s="88">
        <f>SUM(G5:G140)</f>
        <v>2295434.4699999993</v>
      </c>
      <c r="G1" s="89" t="s">
        <v>85</v>
      </c>
      <c r="H1" s="90">
        <f>L21+L38+L55+L72+L89+L106+L123+L140</f>
        <v>41.757142857142853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46236</v>
      </c>
      <c r="B2" s="294"/>
      <c r="C2" s="91" t="s">
        <v>41</v>
      </c>
      <c r="D2" s="92">
        <f>AVERAGE(N21,N38,N55,N72,N89,N106,N123,N140)</f>
        <v>685.93106582236271</v>
      </c>
      <c r="E2" s="92" t="s">
        <v>92</v>
      </c>
      <c r="F2" s="93">
        <f>F1/D1</f>
        <v>19.944170974776913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1842</v>
      </c>
      <c r="G5" s="147">
        <f t="shared" ref="G5:G9" si="0">E5*F5</f>
        <v>47228.880000000005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3217.9695511531859</v>
      </c>
      <c r="N5" s="151">
        <f>M5/L5</f>
        <v>321.79695511531861</v>
      </c>
      <c r="O5" s="153">
        <f>L5-I5</f>
        <v>0</v>
      </c>
      <c r="P5" s="154">
        <f>N5-K5</f>
        <v>-38.20304488468139</v>
      </c>
      <c r="Q5" s="155">
        <f>N5/K5</f>
        <v>0.89388043087588498</v>
      </c>
      <c r="R5" s="321">
        <f>Q21</f>
        <v>0.87827413358314743</v>
      </c>
      <c r="S5" s="156">
        <v>0.16666666666666666</v>
      </c>
      <c r="T5" s="157">
        <v>0.19050925925925924</v>
      </c>
      <c r="U5" s="158"/>
      <c r="V5" s="159">
        <v>34.344638208398912</v>
      </c>
      <c r="W5" s="160"/>
      <c r="X5" s="161"/>
      <c r="Y5" s="324"/>
      <c r="Z5" s="325"/>
      <c r="AA5" s="114">
        <f>M5-J5</f>
        <v>-382.03044884681412</v>
      </c>
      <c r="AB5" s="155">
        <f>M5/J5</f>
        <v>0.89388043087588498</v>
      </c>
      <c r="AC5" s="326">
        <f>AB21</f>
        <v>0.87827413358314743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2908</v>
      </c>
      <c r="G6" s="102">
        <f t="shared" si="0"/>
        <v>85844.160000000003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3156.3627399099655</v>
      </c>
      <c r="N6" s="105">
        <f>M6/L6</f>
        <v>286.94206726454235</v>
      </c>
      <c r="O6" s="107">
        <f>L6-I6</f>
        <v>0</v>
      </c>
      <c r="P6" s="108">
        <f>N6-K6</f>
        <v>-40.330660008184907</v>
      </c>
      <c r="Q6" s="109">
        <f>N6/K6</f>
        <v>0.87676742775276828</v>
      </c>
      <c r="R6" s="322"/>
      <c r="S6" s="46">
        <v>0.19374999999999998</v>
      </c>
      <c r="T6" s="47">
        <v>0.2321296296296296</v>
      </c>
      <c r="U6" s="110">
        <v>4.6666666666666634</v>
      </c>
      <c r="V6" s="111">
        <v>55.278817543314744</v>
      </c>
      <c r="W6" s="112"/>
      <c r="X6" s="115"/>
      <c r="Y6" s="331"/>
      <c r="Z6" s="332"/>
      <c r="AA6" s="116">
        <f>M6-J6</f>
        <v>-443.63726009003449</v>
      </c>
      <c r="AB6" s="109">
        <f>M6/J6</f>
        <v>0.87676742775276817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3406</v>
      </c>
      <c r="G7" s="102">
        <f t="shared" si="0"/>
        <v>101669.1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3156.2119051520071</v>
      </c>
      <c r="N7" s="105">
        <f>M7/L7</f>
        <v>286.92835501381882</v>
      </c>
      <c r="O7" s="107">
        <f>L7-I7</f>
        <v>0</v>
      </c>
      <c r="P7" s="108">
        <f>N7-K7</f>
        <v>-40.344372258908436</v>
      </c>
      <c r="Q7" s="109">
        <f>N7/K7</f>
        <v>0.87672552920889091</v>
      </c>
      <c r="R7" s="322"/>
      <c r="S7" s="46">
        <v>0.23541666666666664</v>
      </c>
      <c r="T7" s="47">
        <v>0.28037037037037033</v>
      </c>
      <c r="U7" s="110">
        <v>4.7333333333333272</v>
      </c>
      <c r="V7" s="111">
        <v>64.748504264373139</v>
      </c>
      <c r="W7" s="112"/>
      <c r="X7" s="115"/>
      <c r="Y7" s="331"/>
      <c r="Z7" s="332"/>
      <c r="AA7" s="116">
        <f>M7-J7</f>
        <v>-443.78809484799285</v>
      </c>
      <c r="AB7" s="109">
        <f>M7/J7</f>
        <v>0.87672552920889091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3101</v>
      </c>
      <c r="G8" s="102">
        <f t="shared" si="0"/>
        <v>93030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3157.9112524265074</v>
      </c>
      <c r="N8" s="105">
        <f>M8/L8</f>
        <v>287.08284112968249</v>
      </c>
      <c r="O8" s="107">
        <f>L8-I8</f>
        <v>0</v>
      </c>
      <c r="P8" s="108">
        <f>N8-K8</f>
        <v>-40.18988614304476</v>
      </c>
      <c r="Q8" s="109">
        <f>N8/K8</f>
        <v>0.87719757011847432</v>
      </c>
      <c r="R8" s="322"/>
      <c r="S8" s="46">
        <v>0.28402777777777771</v>
      </c>
      <c r="T8" s="47">
        <v>0.32494212962962954</v>
      </c>
      <c r="U8" s="110">
        <v>5.2666666666666373</v>
      </c>
      <c r="V8" s="111">
        <v>58.918691859067721</v>
      </c>
      <c r="W8" s="112"/>
      <c r="X8" s="115"/>
      <c r="Y8" s="331"/>
      <c r="Z8" s="332"/>
      <c r="AA8" s="116">
        <f>M8-J8</f>
        <v>-442.08874757349258</v>
      </c>
      <c r="AB8" s="109">
        <f>M8/J8</f>
        <v>0.87719757011847432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1412</v>
      </c>
      <c r="G9" s="102">
        <f t="shared" si="0"/>
        <v>40340.840000000004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3120.4789558549865</v>
      </c>
      <c r="N9" s="105">
        <f>M9/L9</f>
        <v>260.03991298791556</v>
      </c>
      <c r="O9" s="107">
        <f>L9-I9</f>
        <v>0</v>
      </c>
      <c r="P9" s="108">
        <f>N9-K9</f>
        <v>-39.960087012084443</v>
      </c>
      <c r="Q9" s="109">
        <f>N9/K9</f>
        <v>0.86679970995971856</v>
      </c>
      <c r="R9" s="322"/>
      <c r="S9" s="46">
        <v>0.32847222222222217</v>
      </c>
      <c r="T9" s="47">
        <v>0.34731481481481474</v>
      </c>
      <c r="U9" s="110">
        <v>5.0833333333333819</v>
      </c>
      <c r="V9" s="111">
        <v>27.149678366213301</v>
      </c>
      <c r="W9" s="112"/>
      <c r="X9" s="115"/>
      <c r="Y9" s="331"/>
      <c r="Z9" s="332"/>
      <c r="AA9" s="116">
        <f>M9-J9</f>
        <v>-479.52104414501355</v>
      </c>
      <c r="AB9" s="109">
        <f>M9/J9</f>
        <v>0.86679970995971845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3161.7868808993308</v>
      </c>
      <c r="N21" s="137">
        <f>M21/L21</f>
        <v>287.43517099084823</v>
      </c>
      <c r="O21" s="138">
        <f>L21-I21</f>
        <v>0</v>
      </c>
      <c r="P21" s="139">
        <f>N21-K21</f>
        <v>-39.837556281879017</v>
      </c>
      <c r="Q21" s="140">
        <f>N21/K21</f>
        <v>0.87827413358314743</v>
      </c>
      <c r="R21" s="323"/>
      <c r="S21" s="141">
        <v>0.16666666666666666</v>
      </c>
      <c r="T21" s="142">
        <v>0.42791666666666661</v>
      </c>
      <c r="U21" s="143"/>
      <c r="V21" s="165"/>
      <c r="W21" s="166"/>
      <c r="X21" s="137"/>
      <c r="Y21" s="353"/>
      <c r="Z21" s="354"/>
      <c r="AA21" s="167">
        <f>M21-J21</f>
        <v>-438.21311910066925</v>
      </c>
      <c r="AB21" s="140">
        <f>M21/J21</f>
        <v>0.87827413358314743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2535</v>
      </c>
      <c r="G22" s="147">
        <f t="shared" ref="G22:G24" si="5">E22*F22</f>
        <v>46973.55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3005.6556832401643</v>
      </c>
      <c r="N22" s="151">
        <f>M22/L22</f>
        <v>1001.8852277467214</v>
      </c>
      <c r="O22" s="153">
        <f>L22-I22</f>
        <v>0</v>
      </c>
      <c r="P22" s="154">
        <f>N22-K22</f>
        <v>-98.114772253278602</v>
      </c>
      <c r="Q22" s="155">
        <f>N22/K22</f>
        <v>0.91080475249701942</v>
      </c>
      <c r="R22" s="321">
        <f>Q38</f>
        <v>0.91124557524031613</v>
      </c>
      <c r="S22" s="156">
        <v>0.33055555555555555</v>
      </c>
      <c r="T22" s="157">
        <v>0.36569444444444443</v>
      </c>
      <c r="U22" s="158"/>
      <c r="V22" s="111">
        <v>50.60459880621881</v>
      </c>
      <c r="W22" s="160"/>
      <c r="X22" s="161"/>
      <c r="Y22" s="324"/>
      <c r="Z22" s="325"/>
      <c r="AA22" s="114">
        <f>M22-J22</f>
        <v>-294.34431675983569</v>
      </c>
      <c r="AB22" s="155">
        <f>M22/J22</f>
        <v>0.91080475249701953</v>
      </c>
      <c r="AC22" s="326">
        <f>AB38</f>
        <v>0.91124557524031613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806</v>
      </c>
      <c r="G23" s="102">
        <f t="shared" si="5"/>
        <v>17957.68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3009.4828785148693</v>
      </c>
      <c r="N23" s="105">
        <f>M23/L23</f>
        <v>601.89657570297391</v>
      </c>
      <c r="O23" s="107">
        <f>L23-I23</f>
        <v>0</v>
      </c>
      <c r="P23" s="108">
        <f>N23-K23</f>
        <v>-58.103424297026095</v>
      </c>
      <c r="Q23" s="109">
        <f>N23/K23</f>
        <v>0.91196450864086953</v>
      </c>
      <c r="R23" s="322"/>
      <c r="S23" s="46">
        <v>0.36874999999999997</v>
      </c>
      <c r="T23" s="47">
        <v>0.37990740740740736</v>
      </c>
      <c r="U23" s="110">
        <v>5</v>
      </c>
      <c r="V23" s="111">
        <v>16.069205890902051</v>
      </c>
      <c r="W23" s="112"/>
      <c r="X23" s="115"/>
      <c r="Y23" s="331"/>
      <c r="Z23" s="332"/>
      <c r="AA23" s="116">
        <f>M23-J23</f>
        <v>-290.5171214851307</v>
      </c>
      <c r="AB23" s="109">
        <f>M23/J23</f>
        <v>0.91196450864086953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3059</v>
      </c>
      <c r="G24" s="102">
        <f t="shared" si="5"/>
        <v>54725.51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3006.1926331240957</v>
      </c>
      <c r="N24" s="105">
        <f>M24/L24</f>
        <v>751.54815828102392</v>
      </c>
      <c r="O24" s="107">
        <f>L24-I24</f>
        <v>0</v>
      </c>
      <c r="P24" s="108">
        <f>N24-K24</f>
        <v>-73.451841718976084</v>
      </c>
      <c r="Q24" s="109">
        <f>N24/K24</f>
        <v>0.91096746458305933</v>
      </c>
      <c r="R24" s="322"/>
      <c r="S24" s="46">
        <v>0.3833333333333333</v>
      </c>
      <c r="T24" s="47">
        <v>0.42572916666666666</v>
      </c>
      <c r="U24" s="110">
        <v>4.9333333333333584</v>
      </c>
      <c r="V24" s="111">
        <v>61.053971717461614</v>
      </c>
      <c r="W24" s="112"/>
      <c r="X24" s="115"/>
      <c r="Y24" s="331"/>
      <c r="Z24" s="332"/>
      <c r="AA24" s="116">
        <f>M24-J24</f>
        <v>-293.80736687590434</v>
      </c>
      <c r="AB24" s="109">
        <f>M24/J24</f>
        <v>0.91096746458305933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3007.1103982930431</v>
      </c>
      <c r="N38" s="137">
        <f t="shared" ref="N38:N45" si="10">M38/L38</f>
        <v>751.77759957326077</v>
      </c>
      <c r="O38" s="138">
        <f t="shared" ref="O38:O45" si="11">L38-I38</f>
        <v>0</v>
      </c>
      <c r="P38" s="139">
        <f t="shared" ref="P38:P45" si="12">N38-K38</f>
        <v>-73.222400426739227</v>
      </c>
      <c r="Q38" s="140">
        <f t="shared" ref="Q38:Q45" si="13">N38/K38</f>
        <v>0.91124557524031613</v>
      </c>
      <c r="R38" s="323"/>
      <c r="S38" s="141">
        <v>0.33055555555555555</v>
      </c>
      <c r="T38" s="142">
        <v>0.42572916666666666</v>
      </c>
      <c r="U38" s="143"/>
      <c r="V38" s="165"/>
      <c r="W38" s="98"/>
      <c r="X38" s="68"/>
      <c r="Y38" s="353"/>
      <c r="Z38" s="354"/>
      <c r="AA38" s="167">
        <f t="shared" ref="AA38:AA45" si="14">M38-J38</f>
        <v>-292.88960170695691</v>
      </c>
      <c r="AB38" s="140">
        <f t="shared" ref="AB38:AB45" si="15">M38/J38</f>
        <v>0.91124557524031613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1043</v>
      </c>
      <c r="G39" s="147">
        <f t="shared" ref="G39:G45" si="16">E39*F39</f>
        <v>26106.29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5" si="17">F39/V39*60</f>
        <v>3212.3895508629166</v>
      </c>
      <c r="N39" s="151">
        <f t="shared" si="10"/>
        <v>642.47791017258328</v>
      </c>
      <c r="O39" s="153">
        <f t="shared" si="11"/>
        <v>0</v>
      </c>
      <c r="P39" s="154">
        <f t="shared" si="12"/>
        <v>-77.522089827416721</v>
      </c>
      <c r="Q39" s="155">
        <f t="shared" si="13"/>
        <v>0.89233043079525454</v>
      </c>
      <c r="R39" s="321">
        <f>Q55</f>
        <v>0.89722957617878529</v>
      </c>
      <c r="S39" s="156">
        <v>0.25</v>
      </c>
      <c r="T39" s="157">
        <v>0.26351851851851854</v>
      </c>
      <c r="U39" s="158"/>
      <c r="V39" s="159">
        <v>19.480825413340568</v>
      </c>
      <c r="W39" s="160"/>
      <c r="X39" s="161"/>
      <c r="Y39" s="324"/>
      <c r="Z39" s="325"/>
      <c r="AA39" s="114">
        <f t="shared" si="14"/>
        <v>-387.61044913708338</v>
      </c>
      <c r="AB39" s="155">
        <f t="shared" si="15"/>
        <v>0.89233043079525465</v>
      </c>
      <c r="AC39" s="326">
        <f>AB55</f>
        <v>0.89722957617878529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1258</v>
      </c>
      <c r="G40" s="102">
        <f t="shared" si="16"/>
        <v>22870.44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3212.401807380118</v>
      </c>
      <c r="N40" s="105">
        <f t="shared" si="10"/>
        <v>1070.8006024600393</v>
      </c>
      <c r="O40" s="107">
        <f t="shared" si="11"/>
        <v>0</v>
      </c>
      <c r="P40" s="108">
        <f t="shared" si="12"/>
        <v>-129.19939753996073</v>
      </c>
      <c r="Q40" s="109">
        <f t="shared" si="13"/>
        <v>0.89233383538336608</v>
      </c>
      <c r="R40" s="322"/>
      <c r="S40" s="46">
        <v>0.27361111111111114</v>
      </c>
      <c r="T40" s="47">
        <v>0.28991898148148149</v>
      </c>
      <c r="U40" s="110">
        <v>14.53333333333334</v>
      </c>
      <c r="V40" s="111">
        <v>23.496438031691277</v>
      </c>
      <c r="W40" s="112"/>
      <c r="X40" s="115"/>
      <c r="Y40" s="331"/>
      <c r="Z40" s="332"/>
      <c r="AA40" s="116">
        <f t="shared" si="14"/>
        <v>-387.59819261988196</v>
      </c>
      <c r="AB40" s="109">
        <f t="shared" si="15"/>
        <v>0.89233383538336608</v>
      </c>
      <c r="AC40" s="327"/>
    </row>
    <row r="41" spans="1:29" ht="15.75" customHeight="1">
      <c r="A41" s="317"/>
      <c r="B41" s="99" t="s">
        <v>121</v>
      </c>
      <c r="C41" s="329" t="s">
        <v>232</v>
      </c>
      <c r="D41" s="330"/>
      <c r="E41" s="100">
        <v>23.72</v>
      </c>
      <c r="F41" s="101">
        <v>773</v>
      </c>
      <c r="G41" s="102">
        <f t="shared" si="16"/>
        <v>18335.559999999998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3210.6711494849396</v>
      </c>
      <c r="N41" s="105">
        <f t="shared" si="10"/>
        <v>642.1342298969879</v>
      </c>
      <c r="O41" s="107">
        <f t="shared" si="11"/>
        <v>0</v>
      </c>
      <c r="P41" s="108">
        <f t="shared" si="12"/>
        <v>-77.865770103012096</v>
      </c>
      <c r="Q41" s="109">
        <f t="shared" si="13"/>
        <v>0.89185309707914984</v>
      </c>
      <c r="R41" s="322"/>
      <c r="S41" s="46">
        <v>0.30000000000000004</v>
      </c>
      <c r="T41" s="47">
        <v>0.31002314814814819</v>
      </c>
      <c r="U41" s="110">
        <v>14.516666666666724</v>
      </c>
      <c r="V41" s="111">
        <v>14.445577837344178</v>
      </c>
      <c r="W41" s="112"/>
      <c r="X41" s="115"/>
      <c r="Y41" s="331"/>
      <c r="Z41" s="332"/>
      <c r="AA41" s="116">
        <f t="shared" si="14"/>
        <v>-389.32885051506037</v>
      </c>
      <c r="AB41" s="109">
        <f t="shared" si="15"/>
        <v>0.89185309707914995</v>
      </c>
      <c r="AC41" s="327"/>
    </row>
    <row r="42" spans="1:29" ht="15.75" customHeight="1">
      <c r="A42" s="317"/>
      <c r="B42" s="99" t="s">
        <v>121</v>
      </c>
      <c r="C42" s="329" t="s">
        <v>130</v>
      </c>
      <c r="D42" s="330"/>
      <c r="E42" s="100">
        <v>24.82</v>
      </c>
      <c r="F42" s="101">
        <v>1337</v>
      </c>
      <c r="G42" s="102">
        <f t="shared" si="16"/>
        <v>33184.340000000004</v>
      </c>
      <c r="H42" s="26"/>
      <c r="I42" s="103">
        <v>5</v>
      </c>
      <c r="J42" s="104">
        <v>3600</v>
      </c>
      <c r="K42" s="105">
        <f t="shared" si="18"/>
        <v>720</v>
      </c>
      <c r="L42" s="106">
        <v>5</v>
      </c>
      <c r="M42" s="104">
        <f t="shared" si="17"/>
        <v>3208.0076587174353</v>
      </c>
      <c r="N42" s="105">
        <f t="shared" si="10"/>
        <v>641.60153174348704</v>
      </c>
      <c r="O42" s="107">
        <f t="shared" si="11"/>
        <v>0</v>
      </c>
      <c r="P42" s="108">
        <f t="shared" si="12"/>
        <v>-78.398468256512956</v>
      </c>
      <c r="Q42" s="109">
        <f t="shared" si="13"/>
        <v>0.89111323853262092</v>
      </c>
      <c r="R42" s="322"/>
      <c r="S42" s="46">
        <v>0.32013888888888897</v>
      </c>
      <c r="T42" s="47">
        <v>0.33750000000000008</v>
      </c>
      <c r="U42" s="110">
        <v>14.566666666666732</v>
      </c>
      <c r="V42" s="111">
        <v>25.006174714705026</v>
      </c>
      <c r="W42" s="112"/>
      <c r="X42" s="115"/>
      <c r="Y42" s="331"/>
      <c r="Z42" s="332"/>
      <c r="AA42" s="116">
        <f t="shared" si="14"/>
        <v>-391.99234128256467</v>
      </c>
      <c r="AB42" s="109">
        <f t="shared" si="15"/>
        <v>0.89111323853262092</v>
      </c>
      <c r="AC42" s="327"/>
    </row>
    <row r="43" spans="1:29" ht="15.75" customHeight="1">
      <c r="A43" s="317"/>
      <c r="B43" s="99" t="s">
        <v>121</v>
      </c>
      <c r="C43" s="329" t="s">
        <v>131</v>
      </c>
      <c r="D43" s="330"/>
      <c r="E43" s="100">
        <v>17.07</v>
      </c>
      <c r="F43" s="101">
        <v>2230</v>
      </c>
      <c r="G43" s="102">
        <f t="shared" si="16"/>
        <v>38066.1</v>
      </c>
      <c r="H43" s="13"/>
      <c r="I43" s="103">
        <v>3</v>
      </c>
      <c r="J43" s="104">
        <v>3300</v>
      </c>
      <c r="K43" s="105">
        <f t="shared" si="18"/>
        <v>1100</v>
      </c>
      <c r="L43" s="106">
        <v>3</v>
      </c>
      <c r="M43" s="104">
        <f t="shared" si="17"/>
        <v>3012.3671831917845</v>
      </c>
      <c r="N43" s="105">
        <f t="shared" si="10"/>
        <v>1004.1223943972615</v>
      </c>
      <c r="O43" s="107">
        <f t="shared" si="11"/>
        <v>0</v>
      </c>
      <c r="P43" s="108">
        <f t="shared" si="12"/>
        <v>-95.877605602738527</v>
      </c>
      <c r="Q43" s="109">
        <f t="shared" si="13"/>
        <v>0.91283854036114676</v>
      </c>
      <c r="R43" s="322"/>
      <c r="S43" s="46">
        <v>0.34791666666666676</v>
      </c>
      <c r="T43" s="47">
        <v>0.37876157407407418</v>
      </c>
      <c r="U43" s="110">
        <v>15.000000000000027</v>
      </c>
      <c r="V43" s="111">
        <v>44.416896036634832</v>
      </c>
      <c r="W43" s="112"/>
      <c r="X43" s="115"/>
      <c r="Y43" s="331"/>
      <c r="Z43" s="332"/>
      <c r="AA43" s="116">
        <f t="shared" si="14"/>
        <v>-287.63281680821547</v>
      </c>
      <c r="AB43" s="109">
        <f t="shared" si="15"/>
        <v>0.91283854036114687</v>
      </c>
      <c r="AC43" s="327"/>
    </row>
    <row r="44" spans="1:29" ht="15.75" customHeight="1">
      <c r="A44" s="317"/>
      <c r="B44" s="99" t="s">
        <v>121</v>
      </c>
      <c r="C44" s="329" t="s">
        <v>132</v>
      </c>
      <c r="D44" s="330"/>
      <c r="E44" s="100">
        <v>14.03</v>
      </c>
      <c r="F44" s="101">
        <v>4954</v>
      </c>
      <c r="G44" s="120">
        <f t="shared" si="16"/>
        <v>69504.62</v>
      </c>
      <c r="H44" s="121"/>
      <c r="I44" s="103">
        <v>3</v>
      </c>
      <c r="J44" s="104">
        <v>3000</v>
      </c>
      <c r="K44" s="105">
        <f t="shared" si="18"/>
        <v>1000</v>
      </c>
      <c r="L44" s="106">
        <v>3</v>
      </c>
      <c r="M44" s="104">
        <f t="shared" si="17"/>
        <v>2736.8161146167413</v>
      </c>
      <c r="N44" s="105">
        <f t="shared" si="10"/>
        <v>912.27203820558043</v>
      </c>
      <c r="O44" s="107">
        <f t="shared" si="11"/>
        <v>0</v>
      </c>
      <c r="P44" s="108">
        <f t="shared" si="12"/>
        <v>-87.727961794419571</v>
      </c>
      <c r="Q44" s="109">
        <f t="shared" si="13"/>
        <v>0.91227203820558045</v>
      </c>
      <c r="R44" s="322"/>
      <c r="S44" s="46">
        <v>0.38888888888888901</v>
      </c>
      <c r="T44" s="119">
        <v>0.46430555555555569</v>
      </c>
      <c r="U44" s="110">
        <v>14.583333333333348</v>
      </c>
      <c r="V44" s="111">
        <v>108.60795448130608</v>
      </c>
      <c r="W44" s="112"/>
      <c r="X44" s="115"/>
      <c r="Y44" s="331"/>
      <c r="Z44" s="332"/>
      <c r="AA44" s="116">
        <f t="shared" si="14"/>
        <v>-263.18388538325871</v>
      </c>
      <c r="AB44" s="109">
        <f t="shared" si="15"/>
        <v>0.91227203820558045</v>
      </c>
      <c r="AC44" s="327"/>
    </row>
    <row r="45" spans="1:29" ht="15.75" customHeight="1">
      <c r="A45" s="317"/>
      <c r="B45" s="99" t="s">
        <v>121</v>
      </c>
      <c r="C45" s="329" t="s">
        <v>133</v>
      </c>
      <c r="D45" s="330"/>
      <c r="E45" s="100">
        <v>14.28</v>
      </c>
      <c r="F45" s="101">
        <v>6893</v>
      </c>
      <c r="G45" s="120">
        <f t="shared" si="16"/>
        <v>98432.04</v>
      </c>
      <c r="H45" s="61"/>
      <c r="I45" s="103">
        <v>3</v>
      </c>
      <c r="J45" s="104">
        <v>3600</v>
      </c>
      <c r="K45" s="105">
        <f t="shared" si="18"/>
        <v>1200</v>
      </c>
      <c r="L45" s="106">
        <v>3</v>
      </c>
      <c r="M45" s="104">
        <f t="shared" si="17"/>
        <v>3210.025236890549</v>
      </c>
      <c r="N45" s="105">
        <f t="shared" si="10"/>
        <v>1070.0084122968497</v>
      </c>
      <c r="O45" s="122">
        <f t="shared" si="11"/>
        <v>0</v>
      </c>
      <c r="P45" s="123">
        <f t="shared" si="12"/>
        <v>-129.99158770315034</v>
      </c>
      <c r="Q45" s="124">
        <f t="shared" si="13"/>
        <v>0.89167367691404142</v>
      </c>
      <c r="R45" s="322"/>
      <c r="S45" s="46">
        <v>0.4743055555555557</v>
      </c>
      <c r="T45" s="119">
        <v>0.56377314814814827</v>
      </c>
      <c r="U45" s="110">
        <v>15</v>
      </c>
      <c r="V45" s="111">
        <v>128.8401085595894</v>
      </c>
      <c r="W45" s="112"/>
      <c r="X45" s="115"/>
      <c r="Y45" s="331"/>
      <c r="Z45" s="332"/>
      <c r="AA45" s="116">
        <f t="shared" si="14"/>
        <v>-389.97476310945103</v>
      </c>
      <c r="AB45" s="109">
        <f t="shared" si="15"/>
        <v>0.89167367691404142</v>
      </c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3.8571428571428572</v>
      </c>
      <c r="J55" s="136">
        <f t="shared" si="19"/>
        <v>3471.4285714285716</v>
      </c>
      <c r="K55" s="137">
        <f t="shared" ref="K55" si="20">J55/I55</f>
        <v>900</v>
      </c>
      <c r="L55" s="135">
        <f t="shared" ref="L55:M55" si="21">AVERAGE(L39:L54)</f>
        <v>3.8571428571428572</v>
      </c>
      <c r="M55" s="136">
        <f t="shared" si="21"/>
        <v>3114.6683858777833</v>
      </c>
      <c r="N55" s="137">
        <f t="shared" ref="N55:N61" si="22">M55/L55</f>
        <v>807.50661856090676</v>
      </c>
      <c r="O55" s="138">
        <f t="shared" ref="O55:O61" si="23">L55-I55</f>
        <v>0</v>
      </c>
      <c r="P55" s="139">
        <f t="shared" ref="P55:P61" si="24">N55-K55</f>
        <v>-92.493381439093241</v>
      </c>
      <c r="Q55" s="140">
        <f t="shared" ref="Q55:Q61" si="25">N55/K55</f>
        <v>0.89722957617878529</v>
      </c>
      <c r="R55" s="323"/>
      <c r="S55" s="141">
        <v>0.25</v>
      </c>
      <c r="T55" s="142">
        <v>0.56377314814814827</v>
      </c>
      <c r="U55" s="143"/>
      <c r="V55" s="165"/>
      <c r="W55" s="98"/>
      <c r="X55" s="68"/>
      <c r="Y55" s="353"/>
      <c r="Z55" s="354"/>
      <c r="AA55" s="167">
        <f t="shared" ref="AA55:AA61" si="26">M55-J55</f>
        <v>-356.76018555078826</v>
      </c>
      <c r="AB55" s="140">
        <f t="shared" ref="AB55:AB61" si="27">M55/J55</f>
        <v>0.89722957617878529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1767</v>
      </c>
      <c r="G56" s="147">
        <f t="shared" ref="G56:G61" si="28">E56*F56</f>
        <v>36612.239999999998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3211.8783578594539</v>
      </c>
      <c r="N56" s="151">
        <f t="shared" si="22"/>
        <v>1070.6261192864847</v>
      </c>
      <c r="O56" s="153">
        <f t="shared" si="23"/>
        <v>0</v>
      </c>
      <c r="P56" s="154">
        <f t="shared" si="24"/>
        <v>-129.37388071351529</v>
      </c>
      <c r="Q56" s="155">
        <f t="shared" si="25"/>
        <v>0.89218843273873727</v>
      </c>
      <c r="R56" s="321">
        <f>Q72</f>
        <v>0.89478253548250264</v>
      </c>
      <c r="S56" s="156">
        <v>0.25</v>
      </c>
      <c r="T56" s="157">
        <v>0.27291666666666664</v>
      </c>
      <c r="U56" s="158"/>
      <c r="V56" s="159">
        <v>33.008722058408431</v>
      </c>
      <c r="W56" s="157"/>
      <c r="X56" s="168"/>
      <c r="Y56" s="324"/>
      <c r="Z56" s="325"/>
      <c r="AA56" s="114">
        <f t="shared" si="26"/>
        <v>-388.1216421405461</v>
      </c>
      <c r="AB56" s="155">
        <f t="shared" si="27"/>
        <v>0.89218843273873716</v>
      </c>
      <c r="AC56" s="326">
        <f>AB72</f>
        <v>0.89478253548250264</v>
      </c>
    </row>
    <row r="57" spans="1:29" ht="15.75" customHeight="1">
      <c r="A57" s="356"/>
      <c r="B57" s="99" t="s">
        <v>121</v>
      </c>
      <c r="C57" s="329" t="s">
        <v>135</v>
      </c>
      <c r="D57" s="330"/>
      <c r="E57" s="100">
        <v>30</v>
      </c>
      <c r="F57" s="101">
        <v>1981</v>
      </c>
      <c r="G57" s="102">
        <f t="shared" si="28"/>
        <v>59430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3208.1111032386439</v>
      </c>
      <c r="N57" s="105">
        <f t="shared" si="22"/>
        <v>802.02777580966097</v>
      </c>
      <c r="O57" s="107">
        <f t="shared" si="23"/>
        <v>0</v>
      </c>
      <c r="P57" s="108">
        <f t="shared" si="24"/>
        <v>-97.972224190339034</v>
      </c>
      <c r="Q57" s="109">
        <f t="shared" si="25"/>
        <v>0.89114197312184551</v>
      </c>
      <c r="R57" s="322"/>
      <c r="S57" s="46">
        <v>0.28333333333333333</v>
      </c>
      <c r="T57" s="47">
        <v>0.30905092592592592</v>
      </c>
      <c r="U57" s="110">
        <v>15.000000000000027</v>
      </c>
      <c r="V57" s="111">
        <v>37.049839040801537</v>
      </c>
      <c r="W57" s="112"/>
      <c r="X57" s="13"/>
      <c r="Y57" s="331"/>
      <c r="Z57" s="332"/>
      <c r="AA57" s="116">
        <f t="shared" si="26"/>
        <v>-391.88889676135614</v>
      </c>
      <c r="AB57" s="109">
        <f t="shared" si="27"/>
        <v>0.89114197312184551</v>
      </c>
      <c r="AC57" s="327"/>
    </row>
    <row r="58" spans="1:29" ht="15.75" customHeight="1">
      <c r="A58" s="356"/>
      <c r="B58" s="99" t="s">
        <v>121</v>
      </c>
      <c r="C58" s="329" t="s">
        <v>136</v>
      </c>
      <c r="D58" s="330"/>
      <c r="E58" s="100">
        <v>30</v>
      </c>
      <c r="F58" s="101">
        <v>2537</v>
      </c>
      <c r="G58" s="102">
        <f t="shared" si="28"/>
        <v>76110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3011.0751217523925</v>
      </c>
      <c r="N58" s="105">
        <f t="shared" si="22"/>
        <v>752.76878043809813</v>
      </c>
      <c r="O58" s="107">
        <f t="shared" si="23"/>
        <v>0</v>
      </c>
      <c r="P58" s="108">
        <f t="shared" si="24"/>
        <v>-72.231219561901867</v>
      </c>
      <c r="Q58" s="109">
        <f t="shared" si="25"/>
        <v>0.91244700659163414</v>
      </c>
      <c r="R58" s="322"/>
      <c r="S58" s="46">
        <v>0.31944444444444448</v>
      </c>
      <c r="T58" s="47">
        <v>0.35454861111111113</v>
      </c>
      <c r="U58" s="110">
        <v>14.966666666666715</v>
      </c>
      <c r="V58" s="111">
        <v>50.553371750954739</v>
      </c>
      <c r="W58" s="112"/>
      <c r="X58" s="13"/>
      <c r="Y58" s="331"/>
      <c r="Z58" s="332"/>
      <c r="AA58" s="116">
        <f t="shared" si="26"/>
        <v>-288.92487824760747</v>
      </c>
      <c r="AB58" s="109">
        <f t="shared" si="27"/>
        <v>0.91244700659163414</v>
      </c>
      <c r="AC58" s="327"/>
    </row>
    <row r="59" spans="1:29" ht="15.75" customHeight="1">
      <c r="A59" s="356"/>
      <c r="B59" s="99" t="s">
        <v>121</v>
      </c>
      <c r="C59" s="329" t="s">
        <v>137</v>
      </c>
      <c r="D59" s="330"/>
      <c r="E59" s="100">
        <v>27.48</v>
      </c>
      <c r="F59" s="101">
        <v>3864</v>
      </c>
      <c r="G59" s="102">
        <f t="shared" si="28"/>
        <v>106182.72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3210.8458765915902</v>
      </c>
      <c r="N59" s="105">
        <f t="shared" si="22"/>
        <v>642.16917531831803</v>
      </c>
      <c r="O59" s="107">
        <f t="shared" si="23"/>
        <v>0</v>
      </c>
      <c r="P59" s="108">
        <f t="shared" si="24"/>
        <v>-77.830824681681975</v>
      </c>
      <c r="Q59" s="109">
        <f t="shared" si="25"/>
        <v>0.89190163238655285</v>
      </c>
      <c r="R59" s="322"/>
      <c r="S59" s="46">
        <v>0.36458333333333337</v>
      </c>
      <c r="T59" s="47">
        <v>0.41472222222222227</v>
      </c>
      <c r="U59" s="110">
        <v>15</v>
      </c>
      <c r="V59" s="111">
        <v>72.205272040682672</v>
      </c>
      <c r="W59" s="112"/>
      <c r="X59" s="115"/>
      <c r="Y59" s="331"/>
      <c r="Z59" s="332"/>
      <c r="AA59" s="116">
        <f t="shared" si="26"/>
        <v>-389.15412340840976</v>
      </c>
      <c r="AB59" s="109">
        <f t="shared" si="27"/>
        <v>0.89190163238655285</v>
      </c>
      <c r="AC59" s="327"/>
    </row>
    <row r="60" spans="1:29" ht="15.75" customHeight="1">
      <c r="A60" s="357"/>
      <c r="B60" s="99" t="s">
        <v>121</v>
      </c>
      <c r="C60" s="329" t="s">
        <v>138</v>
      </c>
      <c r="D60" s="330"/>
      <c r="E60" s="100">
        <v>18.18</v>
      </c>
      <c r="F60" s="101">
        <v>2205</v>
      </c>
      <c r="G60" s="102">
        <f t="shared" si="28"/>
        <v>40086.9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3208.5017186658933</v>
      </c>
      <c r="N60" s="105">
        <f t="shared" si="22"/>
        <v>1069.500572888631</v>
      </c>
      <c r="O60" s="107">
        <f t="shared" si="23"/>
        <v>0</v>
      </c>
      <c r="P60" s="108">
        <f t="shared" si="24"/>
        <v>-130.49942711136896</v>
      </c>
      <c r="Q60" s="109">
        <f t="shared" si="25"/>
        <v>0.89125047740719254</v>
      </c>
      <c r="R60" s="322"/>
      <c r="S60" s="46">
        <v>0.42500000000000004</v>
      </c>
      <c r="T60" s="47">
        <v>0.45363425925925932</v>
      </c>
      <c r="U60" s="110">
        <v>14.799999999999995</v>
      </c>
      <c r="V60" s="111">
        <v>41.234199511356607</v>
      </c>
      <c r="W60" s="112"/>
      <c r="X60" s="115"/>
      <c r="Y60" s="331"/>
      <c r="Z60" s="332"/>
      <c r="AA60" s="116">
        <f t="shared" si="26"/>
        <v>-391.49828133410665</v>
      </c>
      <c r="AB60" s="109">
        <f t="shared" si="27"/>
        <v>0.89125047740719254</v>
      </c>
      <c r="AC60" s="327"/>
    </row>
    <row r="61" spans="1:29" ht="15.75" customHeight="1">
      <c r="A61" s="357"/>
      <c r="B61" s="99" t="s">
        <v>121</v>
      </c>
      <c r="C61" s="329" t="s">
        <v>139</v>
      </c>
      <c r="D61" s="330"/>
      <c r="E61" s="100">
        <v>16.66</v>
      </c>
      <c r="F61" s="101">
        <v>5557</v>
      </c>
      <c r="G61" s="120">
        <f t="shared" si="28"/>
        <v>92579.62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3208.4558276693324</v>
      </c>
      <c r="N61" s="105">
        <f t="shared" si="22"/>
        <v>641.69116553386652</v>
      </c>
      <c r="O61" s="107">
        <f t="shared" si="23"/>
        <v>0</v>
      </c>
      <c r="P61" s="108">
        <f t="shared" si="24"/>
        <v>-78.308834466133476</v>
      </c>
      <c r="Q61" s="109">
        <f t="shared" si="25"/>
        <v>0.89123772990814798</v>
      </c>
      <c r="R61" s="322"/>
      <c r="S61" s="46">
        <v>0.46388888888888896</v>
      </c>
      <c r="T61" s="119">
        <v>0.53605324074074079</v>
      </c>
      <c r="U61" s="110">
        <v>14.766666666666683</v>
      </c>
      <c r="V61" s="111">
        <v>103.91914924451397</v>
      </c>
      <c r="W61" s="112"/>
      <c r="X61" s="49"/>
      <c r="Y61" s="331"/>
      <c r="Z61" s="332"/>
      <c r="AA61" s="116">
        <f t="shared" si="26"/>
        <v>-391.54417233066761</v>
      </c>
      <c r="AB61" s="109">
        <f t="shared" si="27"/>
        <v>0.89123772990814787</v>
      </c>
      <c r="AC61" s="327"/>
    </row>
    <row r="62" spans="1:29" ht="15.75" customHeight="1">
      <c r="A62" s="357"/>
      <c r="B62" s="99"/>
      <c r="C62" s="329"/>
      <c r="D62" s="330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22"/>
      <c r="S62" s="46"/>
      <c r="T62" s="119"/>
      <c r="U62" s="110"/>
      <c r="V62" s="111"/>
      <c r="W62" s="112"/>
      <c r="X62" s="115"/>
      <c r="Y62" s="331"/>
      <c r="Z62" s="332"/>
      <c r="AA62" s="116"/>
      <c r="AB62" s="109"/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3176.4780009628844</v>
      </c>
      <c r="N72" s="137">
        <f>M72/L72</f>
        <v>794.11950024072109</v>
      </c>
      <c r="O72" s="138">
        <f>L72-I72</f>
        <v>0</v>
      </c>
      <c r="P72" s="139">
        <f>N72-K72</f>
        <v>-93.380499759278905</v>
      </c>
      <c r="Q72" s="140">
        <f>N72/K72</f>
        <v>0.89478253548250264</v>
      </c>
      <c r="R72" s="323"/>
      <c r="S72" s="141">
        <v>0.25</v>
      </c>
      <c r="T72" s="142">
        <v>0.53605324074074079</v>
      </c>
      <c r="U72" s="143"/>
      <c r="V72" s="165"/>
      <c r="W72" s="166"/>
      <c r="X72" s="137"/>
      <c r="Y72" s="353"/>
      <c r="Z72" s="354"/>
      <c r="AA72" s="167">
        <f>M72-J72</f>
        <v>-373.52199903711562</v>
      </c>
      <c r="AB72" s="140">
        <f>M72/J72</f>
        <v>0.89478253548250264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1452</v>
      </c>
      <c r="G73" s="147">
        <f t="shared" ref="G73:G75" si="33">E73*F73</f>
        <v>41483.64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3122.1394291820802</v>
      </c>
      <c r="N73" s="151">
        <f>M73/L73</f>
        <v>260.17828576517337</v>
      </c>
      <c r="O73" s="153">
        <f>L73-I73</f>
        <v>0</v>
      </c>
      <c r="P73" s="154">
        <f>N73-K73</f>
        <v>-39.821714234826629</v>
      </c>
      <c r="Q73" s="155">
        <f>N73/K73</f>
        <v>0.86726095255057789</v>
      </c>
      <c r="R73" s="321">
        <f>Q89</f>
        <v>0.89397175265422146</v>
      </c>
      <c r="S73" s="156">
        <v>0.70833333333333337</v>
      </c>
      <c r="T73" s="157">
        <v>0.7277083333333334</v>
      </c>
      <c r="U73" s="158"/>
      <c r="V73" s="159">
        <v>27.903942785419801</v>
      </c>
      <c r="W73" s="157"/>
      <c r="X73" s="168"/>
      <c r="Y73" s="324"/>
      <c r="Z73" s="325"/>
      <c r="AA73" s="114">
        <f>M73-J73</f>
        <v>-477.86057081791978</v>
      </c>
      <c r="AB73" s="155">
        <f>M73/J73</f>
        <v>0.86726095255057789</v>
      </c>
      <c r="AC73" s="326">
        <f>AB89</f>
        <v>0.89397175265422146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733</v>
      </c>
      <c r="G74" s="102">
        <f t="shared" si="33"/>
        <v>12981.43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3266.7813009844208</v>
      </c>
      <c r="N74" s="105">
        <f>M74/L74</f>
        <v>653.35626019688414</v>
      </c>
      <c r="O74" s="107">
        <f>L74-I74</f>
        <v>0</v>
      </c>
      <c r="P74" s="108">
        <f>N74-K74</f>
        <v>-66.643739803115864</v>
      </c>
      <c r="Q74" s="109">
        <f>N74/K74</f>
        <v>0.90743925027345018</v>
      </c>
      <c r="R74" s="322"/>
      <c r="S74" s="46">
        <v>0.73125000000000007</v>
      </c>
      <c r="T74" s="47">
        <v>0.74059027777777786</v>
      </c>
      <c r="U74" s="110">
        <v>5.0999999999999979</v>
      </c>
      <c r="V74" s="111">
        <v>13.462792867936077</v>
      </c>
      <c r="W74" s="112"/>
      <c r="X74" s="13"/>
      <c r="Y74" s="331"/>
      <c r="Z74" s="332"/>
      <c r="AA74" s="116">
        <f>M74-J74</f>
        <v>-333.2186990155792</v>
      </c>
      <c r="AB74" s="109">
        <f>M74/J74</f>
        <v>0.90743925027345018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1388</v>
      </c>
      <c r="G75" s="102">
        <f t="shared" si="33"/>
        <v>26260.960000000003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3265.9741984990897</v>
      </c>
      <c r="N75" s="105">
        <f>M75/L75</f>
        <v>653.19483969981798</v>
      </c>
      <c r="O75" s="107">
        <f>L75-I75</f>
        <v>0</v>
      </c>
      <c r="P75" s="108">
        <f>N75-K75</f>
        <v>-66.805160300182024</v>
      </c>
      <c r="Q75" s="109">
        <f>N75/K75</f>
        <v>0.9072150551386361</v>
      </c>
      <c r="R75" s="322"/>
      <c r="S75" s="46">
        <v>0.74375000000000002</v>
      </c>
      <c r="T75" s="47">
        <v>0.76144675925925931</v>
      </c>
      <c r="U75" s="110">
        <v>4.5499999999999119</v>
      </c>
      <c r="V75" s="111">
        <v>25.499282890315587</v>
      </c>
      <c r="W75" s="112"/>
      <c r="X75" s="13"/>
      <c r="Y75" s="331"/>
      <c r="Z75" s="332"/>
      <c r="AA75" s="116">
        <f>M75-J75</f>
        <v>-334.02580150091035</v>
      </c>
      <c r="AB75" s="109">
        <f>M75/J75</f>
        <v>0.90721505513863598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3218.2983095551972</v>
      </c>
      <c r="N89" s="137">
        <f t="shared" ref="N89:N94" si="37">M89/L89</f>
        <v>438.85886039389055</v>
      </c>
      <c r="O89" s="138">
        <f t="shared" ref="O89:O94" si="38">L89-I89</f>
        <v>0</v>
      </c>
      <c r="P89" s="139">
        <f t="shared" ref="P89:P94" si="39">N89-K89</f>
        <v>-52.050230515200383</v>
      </c>
      <c r="Q89" s="140">
        <f t="shared" ref="Q89:Q94" si="40">N89/K89</f>
        <v>0.89397175265422146</v>
      </c>
      <c r="R89" s="323"/>
      <c r="S89" s="141">
        <v>0.70833333333333337</v>
      </c>
      <c r="T89" s="142">
        <v>0.76144675925925931</v>
      </c>
      <c r="U89" s="143"/>
      <c r="V89" s="165"/>
      <c r="W89" s="166"/>
      <c r="X89" s="137"/>
      <c r="Y89" s="353"/>
      <c r="Z89" s="354"/>
      <c r="AA89" s="167">
        <f t="shared" ref="AA89:AA94" si="41">M89-J89</f>
        <v>-381.70169044480281</v>
      </c>
      <c r="AB89" s="140">
        <f t="shared" ref="AB89:AB94" si="42">M89/J89</f>
        <v>0.89397175265422146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612</v>
      </c>
      <c r="G90" s="147">
        <f t="shared" ref="G90:G94" si="43">E90*F90</f>
        <v>14241.24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2734.6218367216979</v>
      </c>
      <c r="N90" s="151">
        <f t="shared" si="37"/>
        <v>546.92436734433954</v>
      </c>
      <c r="O90" s="153">
        <f t="shared" si="38"/>
        <v>0</v>
      </c>
      <c r="P90" s="154">
        <f t="shared" si="39"/>
        <v>-53.075632655660456</v>
      </c>
      <c r="Q90" s="155">
        <f t="shared" si="40"/>
        <v>0.91154061224056593</v>
      </c>
      <c r="R90" s="321">
        <f>Q106</f>
        <v>0.91112908197241671</v>
      </c>
      <c r="S90" s="156">
        <v>0.70833333333333337</v>
      </c>
      <c r="T90" s="157">
        <v>0.71765046296296298</v>
      </c>
      <c r="U90" s="158"/>
      <c r="V90" s="159">
        <v>13.427816419406801</v>
      </c>
      <c r="W90" s="160"/>
      <c r="X90" s="161"/>
      <c r="Y90" s="324"/>
      <c r="Z90" s="325"/>
      <c r="AA90" s="114">
        <f t="shared" si="41"/>
        <v>-265.37816327830205</v>
      </c>
      <c r="AB90" s="155">
        <f t="shared" si="42"/>
        <v>0.91154061224056593</v>
      </c>
      <c r="AC90" s="326">
        <f>AB106</f>
        <v>0.91112908197241671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1510</v>
      </c>
      <c r="G91" s="102">
        <f t="shared" si="43"/>
        <v>37055.4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2733.7786774566443</v>
      </c>
      <c r="N91" s="105">
        <f t="shared" si="37"/>
        <v>683.44466936416109</v>
      </c>
      <c r="O91" s="107">
        <f t="shared" si="38"/>
        <v>0</v>
      </c>
      <c r="P91" s="108">
        <f t="shared" si="39"/>
        <v>-66.555330635838914</v>
      </c>
      <c r="Q91" s="109">
        <f t="shared" si="40"/>
        <v>0.91125955915221479</v>
      </c>
      <c r="R91" s="322"/>
      <c r="S91" s="46">
        <v>0.72152777777777777</v>
      </c>
      <c r="T91" s="47">
        <v>0.744537037037037</v>
      </c>
      <c r="U91" s="110">
        <v>5.5833333333333002</v>
      </c>
      <c r="V91" s="111">
        <v>33.140941784025181</v>
      </c>
      <c r="W91" s="112"/>
      <c r="X91" s="115"/>
      <c r="Y91" s="331"/>
      <c r="Z91" s="332"/>
      <c r="AA91" s="116">
        <f t="shared" si="41"/>
        <v>-266.22132254335565</v>
      </c>
      <c r="AB91" s="109">
        <f t="shared" si="42"/>
        <v>0.91125955915221479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1672</v>
      </c>
      <c r="G92" s="102">
        <f t="shared" si="43"/>
        <v>40679.759999999995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2733.6766433749713</v>
      </c>
      <c r="N92" s="105">
        <f t="shared" si="37"/>
        <v>683.41916084374282</v>
      </c>
      <c r="O92" s="107">
        <f t="shared" si="38"/>
        <v>0</v>
      </c>
      <c r="P92" s="108">
        <f t="shared" si="39"/>
        <v>-66.580839156257184</v>
      </c>
      <c r="Q92" s="109">
        <f t="shared" si="40"/>
        <v>0.9112255477916571</v>
      </c>
      <c r="R92" s="322"/>
      <c r="S92" s="46">
        <v>0.74861111111111112</v>
      </c>
      <c r="T92" s="47">
        <v>0.77408564814814818</v>
      </c>
      <c r="U92" s="110">
        <v>5.8666666666667311</v>
      </c>
      <c r="V92" s="111">
        <v>36.697829731663461</v>
      </c>
      <c r="W92" s="112"/>
      <c r="X92" s="115"/>
      <c r="Y92" s="331"/>
      <c r="Z92" s="332"/>
      <c r="AA92" s="116">
        <f t="shared" si="41"/>
        <v>-266.32335662502874</v>
      </c>
      <c r="AB92" s="109">
        <f t="shared" si="42"/>
        <v>0.9112255477916571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1701</v>
      </c>
      <c r="G93" s="102">
        <f t="shared" si="43"/>
        <v>37898.28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3006.8562323054957</v>
      </c>
      <c r="N93" s="105">
        <f t="shared" si="37"/>
        <v>601.37124646109919</v>
      </c>
      <c r="O93" s="107">
        <f t="shared" si="38"/>
        <v>0</v>
      </c>
      <c r="P93" s="108">
        <f t="shared" si="39"/>
        <v>-58.62875353890081</v>
      </c>
      <c r="Q93" s="109">
        <f t="shared" si="40"/>
        <v>0.91116855524408968</v>
      </c>
      <c r="R93" s="322"/>
      <c r="S93" s="46">
        <v>0.77777777777777779</v>
      </c>
      <c r="T93" s="47">
        <v>0.80134259259259255</v>
      </c>
      <c r="U93" s="110">
        <v>5.3166666666666451</v>
      </c>
      <c r="V93" s="111">
        <v>33.942427610430137</v>
      </c>
      <c r="W93" s="112"/>
      <c r="X93" s="115"/>
      <c r="Y93" s="331"/>
      <c r="Z93" s="332"/>
      <c r="AA93" s="116">
        <f t="shared" si="41"/>
        <v>-293.14376769450428</v>
      </c>
      <c r="AB93" s="109">
        <f t="shared" si="42"/>
        <v>0.91116855524408957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5871</v>
      </c>
      <c r="G94" s="102">
        <f t="shared" si="43"/>
        <v>105032.19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3004.6802889108908</v>
      </c>
      <c r="N94" s="105">
        <f t="shared" si="37"/>
        <v>751.1700722277227</v>
      </c>
      <c r="O94" s="107">
        <f t="shared" si="38"/>
        <v>0</v>
      </c>
      <c r="P94" s="108">
        <f t="shared" si="39"/>
        <v>-73.829927772277301</v>
      </c>
      <c r="Q94" s="109">
        <f t="shared" si="40"/>
        <v>0.91050917845784574</v>
      </c>
      <c r="R94" s="322"/>
      <c r="S94" s="46">
        <v>0.80486111111111114</v>
      </c>
      <c r="T94" s="47">
        <v>0.88627314814814817</v>
      </c>
      <c r="U94" s="110">
        <v>5.0666666666667659</v>
      </c>
      <c r="V94" s="111">
        <v>117.23709883545847</v>
      </c>
      <c r="W94" s="112"/>
      <c r="X94" s="115"/>
      <c r="Y94" s="331"/>
      <c r="Z94" s="332"/>
      <c r="AA94" s="116">
        <f t="shared" si="41"/>
        <v>-295.31971108910921</v>
      </c>
      <c r="AB94" s="109">
        <f t="shared" si="42"/>
        <v>0.91050917845784574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2842.72273575394</v>
      </c>
      <c r="N106" s="137">
        <f t="shared" ref="N106:N114" si="48">M106/L106</f>
        <v>646.07334903498634</v>
      </c>
      <c r="O106" s="138">
        <f t="shared" ref="O106:O114" si="49">L106-I106</f>
        <v>0</v>
      </c>
      <c r="P106" s="139">
        <f t="shared" ref="P106:P114" si="50">N106-K106</f>
        <v>-63.017560055922672</v>
      </c>
      <c r="Q106" s="140">
        <f t="shared" ref="Q106:Q114" si="51">N106/K106</f>
        <v>0.91112908197241671</v>
      </c>
      <c r="R106" s="323"/>
      <c r="S106" s="141">
        <v>0.70833333333333337</v>
      </c>
      <c r="T106" s="142">
        <v>0.88627314814814817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-277.27726424605999</v>
      </c>
      <c r="AB106" s="140">
        <f t="shared" ref="AB106:AB114" si="53">M106/J106</f>
        <v>0.91112908197241671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717</v>
      </c>
      <c r="G107" s="147">
        <f t="shared" ref="G107:G114" si="54">E107*F107</f>
        <v>13035.06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2737.9541168696373</v>
      </c>
      <c r="N107" s="151">
        <f t="shared" si="48"/>
        <v>912.65137228987908</v>
      </c>
      <c r="O107" s="153">
        <f t="shared" si="49"/>
        <v>0</v>
      </c>
      <c r="P107" s="154">
        <f t="shared" si="50"/>
        <v>-87.348627710120923</v>
      </c>
      <c r="Q107" s="155">
        <f t="shared" si="51"/>
        <v>0.91265137228987903</v>
      </c>
      <c r="R107" s="321">
        <f>Q123</f>
        <v>0.90102590350129952</v>
      </c>
      <c r="S107" s="156">
        <v>0.73472222222222228</v>
      </c>
      <c r="T107" s="157">
        <v>0.74562500000000009</v>
      </c>
      <c r="U107" s="158"/>
      <c r="V107" s="159">
        <v>15.712461993039426</v>
      </c>
      <c r="W107" s="160"/>
      <c r="X107" s="161"/>
      <c r="Y107" s="324"/>
      <c r="Z107" s="325"/>
      <c r="AA107" s="114">
        <f t="shared" si="52"/>
        <v>-262.04588313036265</v>
      </c>
      <c r="AB107" s="155">
        <f t="shared" si="53"/>
        <v>0.91265137228987914</v>
      </c>
      <c r="AC107" s="326">
        <f>AB123</f>
        <v>0.90102590350129941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425</v>
      </c>
      <c r="G108" s="102">
        <f t="shared" si="54"/>
        <v>7726.5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3207.8429425386707</v>
      </c>
      <c r="N108" s="105">
        <f t="shared" si="48"/>
        <v>1069.2809808462237</v>
      </c>
      <c r="O108" s="107">
        <f t="shared" si="49"/>
        <v>0</v>
      </c>
      <c r="P108" s="108">
        <f t="shared" si="50"/>
        <v>-130.71901915377634</v>
      </c>
      <c r="Q108" s="109">
        <f t="shared" si="51"/>
        <v>0.89106748403851976</v>
      </c>
      <c r="R108" s="322"/>
      <c r="S108" s="46">
        <v>0.75555555555555554</v>
      </c>
      <c r="T108" s="47">
        <v>0.76106481481481481</v>
      </c>
      <c r="U108" s="110">
        <v>15</v>
      </c>
      <c r="V108" s="111">
        <v>7.9492669861883662</v>
      </c>
      <c r="W108" s="112"/>
      <c r="X108" s="115"/>
      <c r="Y108" s="331"/>
      <c r="Z108" s="332"/>
      <c r="AA108" s="116">
        <f t="shared" si="52"/>
        <v>-392.15705746132926</v>
      </c>
      <c r="AB108" s="109">
        <f t="shared" si="53"/>
        <v>0.89106748403851965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2449</v>
      </c>
      <c r="G109" s="102">
        <f t="shared" si="54"/>
        <v>34359.47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2736.7401003867822</v>
      </c>
      <c r="N109" s="105">
        <f t="shared" si="48"/>
        <v>912.24670012892739</v>
      </c>
      <c r="O109" s="107">
        <f t="shared" si="49"/>
        <v>0</v>
      </c>
      <c r="P109" s="108">
        <f t="shared" si="50"/>
        <v>-87.753299871072613</v>
      </c>
      <c r="Q109" s="109">
        <f t="shared" si="51"/>
        <v>0.91224670012892739</v>
      </c>
      <c r="R109" s="322"/>
      <c r="S109" s="46">
        <v>0.77083333333333326</v>
      </c>
      <c r="T109" s="47">
        <v>0.80811342592592583</v>
      </c>
      <c r="U109" s="110">
        <v>15</v>
      </c>
      <c r="V109" s="111">
        <v>53.691616525527223</v>
      </c>
      <c r="W109" s="112"/>
      <c r="X109" s="115"/>
      <c r="Y109" s="331"/>
      <c r="Z109" s="332"/>
      <c r="AA109" s="116">
        <f t="shared" si="52"/>
        <v>-263.25989961321784</v>
      </c>
      <c r="AB109" s="109">
        <f t="shared" si="53"/>
        <v>0.91224670012892739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3053</v>
      </c>
      <c r="G110" s="102">
        <f t="shared" si="54"/>
        <v>43596.84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3211.0047664220624</v>
      </c>
      <c r="N110" s="105">
        <f t="shared" si="48"/>
        <v>1070.3349221406875</v>
      </c>
      <c r="O110" s="107">
        <f t="shared" si="49"/>
        <v>0</v>
      </c>
      <c r="P110" s="108">
        <f t="shared" si="50"/>
        <v>-129.66507785931253</v>
      </c>
      <c r="Q110" s="109">
        <f t="shared" si="51"/>
        <v>0.89194576845057294</v>
      </c>
      <c r="R110" s="322"/>
      <c r="S110" s="46">
        <v>0.81805555555555542</v>
      </c>
      <c r="T110" s="47">
        <v>0.85766203703703692</v>
      </c>
      <c r="U110" s="110">
        <v>15</v>
      </c>
      <c r="V110" s="111">
        <v>57.04756402592097</v>
      </c>
      <c r="W110" s="112"/>
      <c r="X110" s="115"/>
      <c r="Y110" s="331"/>
      <c r="Z110" s="332"/>
      <c r="AA110" s="116">
        <f t="shared" si="52"/>
        <v>-388.9952335779376</v>
      </c>
      <c r="AB110" s="109">
        <f t="shared" si="53"/>
        <v>0.89194576845057294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1489</v>
      </c>
      <c r="G111" s="102">
        <f t="shared" si="54"/>
        <v>27070.02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2737.9541168696369</v>
      </c>
      <c r="N111" s="105">
        <f t="shared" si="48"/>
        <v>912.65137228987896</v>
      </c>
      <c r="O111" s="107">
        <f t="shared" si="49"/>
        <v>0</v>
      </c>
      <c r="P111" s="108">
        <f t="shared" si="50"/>
        <v>-87.348627710121036</v>
      </c>
      <c r="Q111" s="109">
        <f t="shared" si="51"/>
        <v>0.91265137228987891</v>
      </c>
      <c r="R111" s="322"/>
      <c r="S111" s="46">
        <v>0.86805555555555536</v>
      </c>
      <c r="T111" s="47">
        <v>0.89070601851851827</v>
      </c>
      <c r="U111" s="110">
        <v>14.966666666666555</v>
      </c>
      <c r="V111" s="111">
        <v>32.630203497399869</v>
      </c>
      <c r="W111" s="112"/>
      <c r="X111" s="115"/>
      <c r="Y111" s="331"/>
      <c r="Z111" s="332"/>
      <c r="AA111" s="116">
        <f t="shared" si="52"/>
        <v>-262.04588313036311</v>
      </c>
      <c r="AB111" s="109">
        <f t="shared" si="53"/>
        <v>0.91265137228987891</v>
      </c>
      <c r="AC111" s="327"/>
    </row>
    <row r="112" spans="1:29" ht="15.75" customHeight="1">
      <c r="A112" s="317"/>
      <c r="B112" s="99" t="s">
        <v>121</v>
      </c>
      <c r="C112" s="329" t="s">
        <v>152</v>
      </c>
      <c r="D112" s="330"/>
      <c r="E112" s="100">
        <v>18.18</v>
      </c>
      <c r="F112" s="101">
        <v>951</v>
      </c>
      <c r="G112" s="120">
        <f t="shared" si="54"/>
        <v>17289.18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3207.8429425386703</v>
      </c>
      <c r="N112" s="105">
        <f t="shared" si="48"/>
        <v>1069.2809808462234</v>
      </c>
      <c r="O112" s="107">
        <f t="shared" si="49"/>
        <v>0</v>
      </c>
      <c r="P112" s="108">
        <f t="shared" si="50"/>
        <v>-130.71901915377657</v>
      </c>
      <c r="Q112" s="109">
        <f t="shared" si="51"/>
        <v>0.89106748403851954</v>
      </c>
      <c r="R112" s="322"/>
      <c r="S112" s="46">
        <v>0.90069444444444424</v>
      </c>
      <c r="T112" s="119">
        <v>0.91304398148148125</v>
      </c>
      <c r="U112" s="110">
        <v>15</v>
      </c>
      <c r="V112" s="111">
        <v>17.787653891447381</v>
      </c>
      <c r="W112" s="112"/>
      <c r="X112" s="115"/>
      <c r="Y112" s="331"/>
      <c r="Z112" s="332"/>
      <c r="AA112" s="116">
        <f t="shared" si="52"/>
        <v>-392.15705746132971</v>
      </c>
      <c r="AB112" s="109">
        <f t="shared" si="53"/>
        <v>0.89106748403851954</v>
      </c>
      <c r="AC112" s="327"/>
    </row>
    <row r="113" spans="1:29" ht="15.75" customHeight="1">
      <c r="A113" s="317"/>
      <c r="B113" s="99" t="s">
        <v>121</v>
      </c>
      <c r="C113" s="329" t="s">
        <v>153</v>
      </c>
      <c r="D113" s="330"/>
      <c r="E113" s="100">
        <v>14.03</v>
      </c>
      <c r="F113" s="101">
        <v>6271</v>
      </c>
      <c r="G113" s="120">
        <f t="shared" si="54"/>
        <v>87982.12999999999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2736.7401003867817</v>
      </c>
      <c r="N113" s="105">
        <f t="shared" si="48"/>
        <v>912.24670012892727</v>
      </c>
      <c r="O113" s="122">
        <f t="shared" si="49"/>
        <v>0</v>
      </c>
      <c r="P113" s="123">
        <f t="shared" si="50"/>
        <v>-87.753299871072727</v>
      </c>
      <c r="Q113" s="124">
        <f t="shared" si="51"/>
        <v>0.91224670012892728</v>
      </c>
      <c r="R113" s="322"/>
      <c r="S113" s="46">
        <v>0.92291666666666639</v>
      </c>
      <c r="T113" s="119">
        <v>1.0183912037037035</v>
      </c>
      <c r="U113" s="110">
        <v>15</v>
      </c>
      <c r="V113" s="111">
        <v>137.48473958006585</v>
      </c>
      <c r="W113" s="112"/>
      <c r="X113" s="115"/>
      <c r="Y113" s="331"/>
      <c r="Z113" s="332"/>
      <c r="AA113" s="116">
        <f t="shared" si="52"/>
        <v>-263.25989961321829</v>
      </c>
      <c r="AB113" s="109">
        <f t="shared" si="53"/>
        <v>0.91224670012892728</v>
      </c>
      <c r="AC113" s="327"/>
    </row>
    <row r="114" spans="1:29" ht="15.75" customHeight="1">
      <c r="A114" s="317"/>
      <c r="B114" s="99" t="s">
        <v>121</v>
      </c>
      <c r="C114" s="329" t="s">
        <v>154</v>
      </c>
      <c r="D114" s="330"/>
      <c r="E114" s="100">
        <v>14.28</v>
      </c>
      <c r="F114" s="101">
        <v>8122</v>
      </c>
      <c r="G114" s="120">
        <f t="shared" si="54"/>
        <v>115982.15999999999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3211.0047664220629</v>
      </c>
      <c r="N114" s="105">
        <f t="shared" si="48"/>
        <v>1070.3349221406877</v>
      </c>
      <c r="O114" s="122">
        <f t="shared" si="49"/>
        <v>0</v>
      </c>
      <c r="P114" s="123">
        <f t="shared" si="50"/>
        <v>-129.66507785931231</v>
      </c>
      <c r="Q114" s="124">
        <f t="shared" si="51"/>
        <v>0.89194576845057305</v>
      </c>
      <c r="R114" s="322"/>
      <c r="S114" s="46">
        <v>1.028472222222222</v>
      </c>
      <c r="T114" s="119">
        <v>1.1338541666666664</v>
      </c>
      <c r="U114" s="110">
        <v>14.516666666666644</v>
      </c>
      <c r="V114" s="111">
        <v>151.76557976368491</v>
      </c>
      <c r="W114" s="112"/>
      <c r="X114" s="115"/>
      <c r="Y114" s="331"/>
      <c r="Z114" s="332"/>
      <c r="AA114" s="116">
        <f t="shared" si="52"/>
        <v>-388.99523357793714</v>
      </c>
      <c r="AB114" s="109">
        <f t="shared" si="53"/>
        <v>0.89194576845057305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2973.3854815542882</v>
      </c>
      <c r="N123" s="137">
        <f t="shared" ref="N123:N135" si="59">M123/L123</f>
        <v>991.12849385142943</v>
      </c>
      <c r="O123" s="138">
        <f t="shared" ref="O123:O135" si="60">L123-I123</f>
        <v>0</v>
      </c>
      <c r="P123" s="139">
        <f t="shared" ref="P123:P135" si="61">N123-K123</f>
        <v>-108.87150614857057</v>
      </c>
      <c r="Q123" s="140">
        <f t="shared" ref="Q123:Q135" si="62">N123/K123</f>
        <v>0.90102590350129952</v>
      </c>
      <c r="R123" s="323"/>
      <c r="S123" s="141">
        <v>0.73472222222222228</v>
      </c>
      <c r="T123" s="142">
        <v>1.1338541666666664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-326.61451844571184</v>
      </c>
      <c r="AB123" s="140">
        <f t="shared" ref="AB123:AB135" si="64">M123/J123</f>
        <v>0.90102590350129941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521</v>
      </c>
      <c r="G124" s="147">
        <f t="shared" ref="G124:G135" si="65">E124*F124</f>
        <v>13040.630000000001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3209.5087436999584</v>
      </c>
      <c r="N124" s="151">
        <f t="shared" si="59"/>
        <v>641.90174873999172</v>
      </c>
      <c r="O124" s="153">
        <f t="shared" si="60"/>
        <v>0</v>
      </c>
      <c r="P124" s="154">
        <f t="shared" si="61"/>
        <v>-78.098251260008283</v>
      </c>
      <c r="Q124" s="155">
        <f t="shared" si="62"/>
        <v>0.89153020658332183</v>
      </c>
      <c r="R124" s="321">
        <f>Q140</f>
        <v>0.89183904390377178</v>
      </c>
      <c r="S124" s="156">
        <v>0.74375000000000013</v>
      </c>
      <c r="T124" s="157">
        <v>0.75050925925925938</v>
      </c>
      <c r="U124" s="158"/>
      <c r="V124" s="159">
        <v>9.7398083309045962</v>
      </c>
      <c r="W124" s="157"/>
      <c r="X124" s="168"/>
      <c r="Y124" s="324"/>
      <c r="Z124" s="325"/>
      <c r="AA124" s="170">
        <f t="shared" si="63"/>
        <v>-390.49125630004164</v>
      </c>
      <c r="AB124" s="155">
        <f t="shared" si="64"/>
        <v>0.89153020658332172</v>
      </c>
      <c r="AC124" s="326">
        <f>AB140</f>
        <v>0.89183904390377178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495</v>
      </c>
      <c r="G125" s="102">
        <f t="shared" si="65"/>
        <v>8266.5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3215.8438854278302</v>
      </c>
      <c r="N125" s="105">
        <f t="shared" si="59"/>
        <v>1071.9479618092766</v>
      </c>
      <c r="O125" s="107">
        <f t="shared" si="60"/>
        <v>0</v>
      </c>
      <c r="P125" s="108">
        <f t="shared" si="61"/>
        <v>-128.05203819072335</v>
      </c>
      <c r="Q125" s="109">
        <f t="shared" si="62"/>
        <v>0.89328996817439721</v>
      </c>
      <c r="R125" s="322"/>
      <c r="S125" s="46">
        <v>0.76041666666666674</v>
      </c>
      <c r="T125" s="47">
        <v>0.76682870370370382</v>
      </c>
      <c r="U125" s="110">
        <v>15</v>
      </c>
      <c r="V125" s="111">
        <v>9.2355229476721838</v>
      </c>
      <c r="W125" s="112"/>
      <c r="X125" s="13"/>
      <c r="Y125" s="331"/>
      <c r="Z125" s="332"/>
      <c r="AA125" s="171">
        <f t="shared" si="63"/>
        <v>-384.15611457216983</v>
      </c>
      <c r="AB125" s="109">
        <f t="shared" si="64"/>
        <v>0.89328996817439732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786</v>
      </c>
      <c r="G126" s="102">
        <f t="shared" si="65"/>
        <v>23580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3209.5200309830338</v>
      </c>
      <c r="N126" s="105">
        <f t="shared" si="59"/>
        <v>802.38000774575846</v>
      </c>
      <c r="O126" s="107">
        <f t="shared" si="60"/>
        <v>0</v>
      </c>
      <c r="P126" s="108">
        <f t="shared" si="61"/>
        <v>-97.619992254241538</v>
      </c>
      <c r="Q126" s="109">
        <f t="shared" si="62"/>
        <v>0.89153334193973166</v>
      </c>
      <c r="R126" s="322"/>
      <c r="S126" s="46">
        <v>0.77708333333333335</v>
      </c>
      <c r="T126" s="47">
        <v>0.78728009259259257</v>
      </c>
      <c r="U126" s="110">
        <v>14.766666666666524</v>
      </c>
      <c r="V126" s="111">
        <v>14.693785844843447</v>
      </c>
      <c r="W126" s="112"/>
      <c r="X126" s="13"/>
      <c r="Y126" s="331"/>
      <c r="Z126" s="332"/>
      <c r="AA126" s="171">
        <f t="shared" si="63"/>
        <v>-390.47996901696615</v>
      </c>
      <c r="AB126" s="109">
        <f t="shared" si="64"/>
        <v>0.89153334193973166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736</v>
      </c>
      <c r="G127" s="102">
        <f t="shared" si="65"/>
        <v>18267.52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3208.713150673058</v>
      </c>
      <c r="N127" s="105">
        <f t="shared" si="59"/>
        <v>641.74263013461155</v>
      </c>
      <c r="O127" s="107">
        <f t="shared" si="60"/>
        <v>0</v>
      </c>
      <c r="P127" s="108">
        <f t="shared" si="61"/>
        <v>-78.257369865388455</v>
      </c>
      <c r="Q127" s="109">
        <f t="shared" si="62"/>
        <v>0.89130920852029383</v>
      </c>
      <c r="R127" s="322"/>
      <c r="S127" s="46">
        <v>0.79722222222222217</v>
      </c>
      <c r="T127" s="47">
        <v>0.80677083333333333</v>
      </c>
      <c r="U127" s="110">
        <v>15</v>
      </c>
      <c r="V127" s="111">
        <v>13.762526572603418</v>
      </c>
      <c r="W127" s="112"/>
      <c r="X127" s="13"/>
      <c r="Y127" s="331"/>
      <c r="Z127" s="332"/>
      <c r="AA127" s="171">
        <f t="shared" si="63"/>
        <v>-391.28684932694205</v>
      </c>
      <c r="AB127" s="109">
        <f t="shared" si="64"/>
        <v>0.89130920852029383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1091</v>
      </c>
      <c r="G128" s="102">
        <f t="shared" si="65"/>
        <v>19834.38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3208.109665185601</v>
      </c>
      <c r="N128" s="105">
        <f t="shared" si="59"/>
        <v>1069.3698883952004</v>
      </c>
      <c r="O128" s="107">
        <f t="shared" si="60"/>
        <v>0</v>
      </c>
      <c r="P128" s="108">
        <f t="shared" si="61"/>
        <v>-130.63011160479959</v>
      </c>
      <c r="Q128" s="109">
        <f t="shared" si="62"/>
        <v>0.891141573662667</v>
      </c>
      <c r="R128" s="322"/>
      <c r="S128" s="46">
        <v>0.81666666666666654</v>
      </c>
      <c r="T128" s="47">
        <v>0.8308333333333332</v>
      </c>
      <c r="U128" s="110">
        <v>15</v>
      </c>
      <c r="V128" s="111">
        <v>20.404539380424485</v>
      </c>
      <c r="W128" s="112"/>
      <c r="X128" s="115"/>
      <c r="Y128" s="331"/>
      <c r="Z128" s="332"/>
      <c r="AA128" s="171">
        <f t="shared" si="63"/>
        <v>-391.89033481439901</v>
      </c>
      <c r="AB128" s="109">
        <f t="shared" si="64"/>
        <v>0.89114157366266689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2569</v>
      </c>
      <c r="G129" s="120">
        <f t="shared" si="65"/>
        <v>42799.54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3212.0278723519905</v>
      </c>
      <c r="N129" s="105">
        <f t="shared" si="59"/>
        <v>642.40557447039805</v>
      </c>
      <c r="O129" s="107">
        <f t="shared" si="60"/>
        <v>0</v>
      </c>
      <c r="P129" s="108">
        <f t="shared" si="61"/>
        <v>-77.594425529601949</v>
      </c>
      <c r="Q129" s="109">
        <f t="shared" si="62"/>
        <v>0.89222996454221948</v>
      </c>
      <c r="R129" s="322"/>
      <c r="S129" s="46">
        <v>0.84097222222222201</v>
      </c>
      <c r="T129" s="119">
        <v>0.8742939814814813</v>
      </c>
      <c r="U129" s="110">
        <v>14.599999999999884</v>
      </c>
      <c r="V129" s="111">
        <v>47.988375607441974</v>
      </c>
      <c r="W129" s="112"/>
      <c r="X129" s="49"/>
      <c r="Y129" s="331"/>
      <c r="Z129" s="332"/>
      <c r="AA129" s="171">
        <f t="shared" si="63"/>
        <v>-387.97212764800952</v>
      </c>
      <c r="AB129" s="109">
        <f t="shared" si="64"/>
        <v>0.89222996454221959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1111</v>
      </c>
      <c r="G130" s="120">
        <f t="shared" si="65"/>
        <v>27808.33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3209.5087436999579</v>
      </c>
      <c r="N130" s="105">
        <f t="shared" si="59"/>
        <v>641.9017487399916</v>
      </c>
      <c r="O130" s="122">
        <f t="shared" si="60"/>
        <v>0</v>
      </c>
      <c r="P130" s="123">
        <f t="shared" si="61"/>
        <v>-78.098251260008396</v>
      </c>
      <c r="Q130" s="124">
        <f t="shared" si="62"/>
        <v>0.89153020658332172</v>
      </c>
      <c r="R130" s="322"/>
      <c r="S130" s="46">
        <v>0.88402777777777752</v>
      </c>
      <c r="T130" s="119">
        <v>0.89844907407407382</v>
      </c>
      <c r="U130" s="110">
        <v>15</v>
      </c>
      <c r="V130" s="111">
        <v>20.769533696036483</v>
      </c>
      <c r="W130" s="112"/>
      <c r="X130" s="115"/>
      <c r="Y130" s="331"/>
      <c r="Z130" s="332"/>
      <c r="AA130" s="171">
        <f t="shared" si="63"/>
        <v>-390.4912563000421</v>
      </c>
      <c r="AB130" s="109">
        <f t="shared" si="64"/>
        <v>0.8915302065833216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1114</v>
      </c>
      <c r="G131" s="120">
        <f t="shared" si="65"/>
        <v>18603.8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3215.8438854278302</v>
      </c>
      <c r="N131" s="105">
        <f t="shared" si="59"/>
        <v>1071.9479618092766</v>
      </c>
      <c r="O131" s="122">
        <f t="shared" si="60"/>
        <v>0</v>
      </c>
      <c r="P131" s="123">
        <f t="shared" si="61"/>
        <v>-128.05203819072335</v>
      </c>
      <c r="Q131" s="124">
        <f t="shared" si="62"/>
        <v>0.89328996817439721</v>
      </c>
      <c r="R131" s="322"/>
      <c r="S131" s="46">
        <v>0.90833333333333299</v>
      </c>
      <c r="T131" s="119">
        <v>0.92276620370370332</v>
      </c>
      <c r="U131" s="110">
        <v>15</v>
      </c>
      <c r="V131" s="111">
        <v>20.784591037791539</v>
      </c>
      <c r="W131" s="112"/>
      <c r="X131" s="115"/>
      <c r="Y131" s="331"/>
      <c r="Z131" s="332"/>
      <c r="AA131" s="171">
        <f t="shared" si="63"/>
        <v>-384.15611457216983</v>
      </c>
      <c r="AB131" s="109">
        <f t="shared" si="64"/>
        <v>0.89328996817439732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1816</v>
      </c>
      <c r="G132" s="120">
        <f t="shared" si="65"/>
        <v>54480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3209.5200309830338</v>
      </c>
      <c r="N132" s="105">
        <f t="shared" si="59"/>
        <v>802.38000774575846</v>
      </c>
      <c r="O132" s="122">
        <f t="shared" si="60"/>
        <v>0</v>
      </c>
      <c r="P132" s="123">
        <f t="shared" si="61"/>
        <v>-97.619992254241538</v>
      </c>
      <c r="Q132" s="124">
        <f t="shared" si="62"/>
        <v>0.89153334193973166</v>
      </c>
      <c r="R132" s="322"/>
      <c r="S132" s="46">
        <v>0.93263888888888846</v>
      </c>
      <c r="T132" s="119">
        <v>0.95620370370370322</v>
      </c>
      <c r="U132" s="110">
        <v>15</v>
      </c>
      <c r="V132" s="111">
        <v>33.949001392157378</v>
      </c>
      <c r="W132" s="125"/>
      <c r="X132" s="126"/>
      <c r="Y132" s="331"/>
      <c r="Z132" s="332"/>
      <c r="AA132" s="171">
        <f t="shared" si="63"/>
        <v>-390.47996901696615</v>
      </c>
      <c r="AB132" s="109">
        <f t="shared" si="64"/>
        <v>0.89153334193973166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1705</v>
      </c>
      <c r="G133" s="120">
        <f t="shared" si="65"/>
        <v>42318.1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3208.7131506730575</v>
      </c>
      <c r="N133" s="105">
        <f t="shared" si="59"/>
        <v>641.74263013461155</v>
      </c>
      <c r="O133" s="122">
        <f t="shared" si="60"/>
        <v>0</v>
      </c>
      <c r="P133" s="123">
        <f t="shared" si="61"/>
        <v>-78.257369865388455</v>
      </c>
      <c r="Q133" s="124">
        <f t="shared" si="62"/>
        <v>0.89130920852029383</v>
      </c>
      <c r="R133" s="322"/>
      <c r="S133" s="46">
        <v>0.96597222222222179</v>
      </c>
      <c r="T133" s="119">
        <v>0.9881018518518514</v>
      </c>
      <c r="U133" s="110">
        <v>15</v>
      </c>
      <c r="V133" s="111">
        <v>31.881939954196781</v>
      </c>
      <c r="W133" s="125"/>
      <c r="X133" s="126"/>
      <c r="Y133" s="331"/>
      <c r="Z133" s="332"/>
      <c r="AA133" s="171">
        <f t="shared" si="63"/>
        <v>-391.2868493269425</v>
      </c>
      <c r="AB133" s="109">
        <f t="shared" si="64"/>
        <v>0.89130920852029372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2721</v>
      </c>
      <c r="G134" s="120">
        <f t="shared" si="65"/>
        <v>49467.78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3208.1096651856005</v>
      </c>
      <c r="N134" s="105">
        <f t="shared" si="59"/>
        <v>1069.3698883952002</v>
      </c>
      <c r="O134" s="122">
        <f t="shared" si="60"/>
        <v>0</v>
      </c>
      <c r="P134" s="123">
        <f t="shared" si="61"/>
        <v>-130.63011160479982</v>
      </c>
      <c r="Q134" s="124">
        <f t="shared" si="62"/>
        <v>0.89114157366266677</v>
      </c>
      <c r="R134" s="322"/>
      <c r="S134" s="46">
        <v>0.99791666666666623</v>
      </c>
      <c r="T134" s="119">
        <v>1.0332523148148143</v>
      </c>
      <c r="U134" s="110">
        <v>15</v>
      </c>
      <c r="V134" s="111">
        <v>50.889781534495903</v>
      </c>
      <c r="W134" s="125"/>
      <c r="X134" s="126"/>
      <c r="Y134" s="331"/>
      <c r="Z134" s="332"/>
      <c r="AA134" s="171">
        <f t="shared" si="63"/>
        <v>-391.89033481439947</v>
      </c>
      <c r="AB134" s="109">
        <f t="shared" si="64"/>
        <v>0.89114157366266677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6544</v>
      </c>
      <c r="G135" s="120">
        <f t="shared" si="65"/>
        <v>109023.04000000001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3212.0278723519905</v>
      </c>
      <c r="N135" s="105">
        <f t="shared" si="59"/>
        <v>642.40557447039805</v>
      </c>
      <c r="O135" s="122">
        <f t="shared" si="60"/>
        <v>0</v>
      </c>
      <c r="P135" s="123">
        <f t="shared" si="61"/>
        <v>-77.594425529601949</v>
      </c>
      <c r="Q135" s="124">
        <f t="shared" si="62"/>
        <v>0.89222996454221948</v>
      </c>
      <c r="R135" s="322"/>
      <c r="S135" s="46">
        <v>1.0430555555555552</v>
      </c>
      <c r="T135" s="119">
        <v>1.1279398148148145</v>
      </c>
      <c r="U135" s="110">
        <v>15</v>
      </c>
      <c r="V135" s="111">
        <v>122.24053327174009</v>
      </c>
      <c r="W135" s="125"/>
      <c r="X135" s="126"/>
      <c r="Y135" s="331"/>
      <c r="Z135" s="332"/>
      <c r="AA135" s="171">
        <f t="shared" si="63"/>
        <v>-387.97212764800952</v>
      </c>
      <c r="AB135" s="109">
        <f t="shared" si="64"/>
        <v>0.89222996454221959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3210.6205580535784</v>
      </c>
      <c r="N140" s="137">
        <f>M140/L140</f>
        <v>770.54893393285874</v>
      </c>
      <c r="O140" s="138">
        <f>L140-I140</f>
        <v>0</v>
      </c>
      <c r="P140" s="139">
        <f>N140-K140</f>
        <v>-93.451066067141142</v>
      </c>
      <c r="Q140" s="140">
        <f>N140/K140</f>
        <v>0.89183904390377178</v>
      </c>
      <c r="R140" s="323"/>
      <c r="S140" s="141">
        <v>0.74375000000000013</v>
      </c>
      <c r="T140" s="142">
        <v>1.1279398148148145</v>
      </c>
      <c r="U140" s="143"/>
      <c r="V140" s="165"/>
      <c r="W140" s="166"/>
      <c r="X140" s="137"/>
      <c r="Y140" s="353"/>
      <c r="Z140" s="354"/>
      <c r="AA140" s="173">
        <f>M140-J140</f>
        <v>-389.37944194642159</v>
      </c>
      <c r="AB140" s="140">
        <f>M140/J140</f>
        <v>0.89183904390377178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414CB37C-B45D-4E25-9A40-6B03D1CFB9A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74E8-83F6-4D8B-963A-26AFDAEEC9F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101127</v>
      </c>
      <c r="E1" s="87" t="s">
        <v>4</v>
      </c>
      <c r="F1" s="88">
        <f>SUM(G5:G140)</f>
        <v>4582936.9900000012</v>
      </c>
      <c r="G1" s="89" t="s">
        <v>85</v>
      </c>
      <c r="H1" s="90">
        <f>L21+L38+L55+L72+L89+L106+L123+L140</f>
        <v>136.40119047619049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46236</v>
      </c>
      <c r="B2" s="294"/>
      <c r="C2" s="91" t="s">
        <v>41</v>
      </c>
      <c r="D2" s="92">
        <f>AVERAGE(N21,N38,N55,N72,N89,N106,N123,N140)</f>
        <v>201.85460203528137</v>
      </c>
      <c r="E2" s="92" t="s">
        <v>92</v>
      </c>
      <c r="F2" s="93">
        <f>F1/D1</f>
        <v>45.318628951714196</v>
      </c>
      <c r="G2" s="94" t="s">
        <v>93</v>
      </c>
      <c r="H2" s="95">
        <f>COUNT(H5:H140)</f>
        <v>1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49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3324</v>
      </c>
      <c r="G5" s="147">
        <f t="shared" ref="G5:G9" si="0">E5*F5</f>
        <v>65482.799999999996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1083.3272881768489</v>
      </c>
      <c r="N5" s="151">
        <f>M5/L5</f>
        <v>83.332868321296075</v>
      </c>
      <c r="O5" s="153">
        <f>L5-I5</f>
        <v>0</v>
      </c>
      <c r="P5" s="154">
        <f>N5-K5</f>
        <v>-8.9748239863962311</v>
      </c>
      <c r="Q5" s="155">
        <f>N5/K5</f>
        <v>0.90277274014737419</v>
      </c>
      <c r="R5" s="321">
        <f>Q21</f>
        <v>0.90054157055695627</v>
      </c>
      <c r="S5" s="156">
        <v>0.16666666666666666</v>
      </c>
      <c r="T5" s="157">
        <v>0.29450231481481481</v>
      </c>
      <c r="U5" s="158"/>
      <c r="V5" s="159">
        <v>184.09948884020193</v>
      </c>
      <c r="W5" s="180"/>
      <c r="X5" s="151"/>
      <c r="Y5" s="12"/>
      <c r="Z5" s="197"/>
      <c r="AA5" s="324"/>
      <c r="AB5" s="325"/>
      <c r="AC5" s="12">
        <v>3</v>
      </c>
      <c r="AD5" s="197"/>
      <c r="AE5" s="177">
        <f>M5-J5</f>
        <v>-116.67271182315108</v>
      </c>
      <c r="AF5" s="131">
        <f>M5/J5</f>
        <v>0.90277274014737408</v>
      </c>
      <c r="AG5" s="367">
        <f>AF21</f>
        <v>0.90054157055695627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4602</v>
      </c>
      <c r="G6" s="102">
        <f t="shared" si="0"/>
        <v>259690.86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1800.4827091726504</v>
      </c>
      <c r="N6" s="105">
        <f>M6/L6</f>
        <v>75.020112882193771</v>
      </c>
      <c r="O6" s="107">
        <f>L6-I6</f>
        <v>0</v>
      </c>
      <c r="P6" s="108">
        <f>N6-K6</f>
        <v>-8.3132204511395571</v>
      </c>
      <c r="Q6" s="109">
        <f>N6/K6</f>
        <v>0.90024135458632526</v>
      </c>
      <c r="R6" s="322"/>
      <c r="S6" s="46">
        <v>0.29861111111111105</v>
      </c>
      <c r="T6" s="47">
        <v>0.4051041666666666</v>
      </c>
      <c r="U6" s="110">
        <v>5.916666666666579</v>
      </c>
      <c r="V6" s="111">
        <v>153.35887348059089</v>
      </c>
      <c r="W6" s="112"/>
      <c r="X6" s="115"/>
      <c r="Y6" s="12"/>
      <c r="Z6" s="197"/>
      <c r="AA6" s="331"/>
      <c r="AB6" s="332"/>
      <c r="AC6" s="12">
        <v>3</v>
      </c>
      <c r="AD6" s="197"/>
      <c r="AE6" s="116">
        <f>M6-J6</f>
        <v>-199.5172908273496</v>
      </c>
      <c r="AF6" s="109">
        <f>M6/J6</f>
        <v>0.90024135458632515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791</v>
      </c>
      <c r="G7" s="102">
        <f t="shared" si="0"/>
        <v>61183.85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1800.8216040393497</v>
      </c>
      <c r="N7" s="105">
        <f>M7/L7</f>
        <v>72.032864161573983</v>
      </c>
      <c r="O7" s="107">
        <f>L7-I7</f>
        <v>0</v>
      </c>
      <c r="P7" s="108">
        <f>N7-K7</f>
        <v>-7.9671358384260174</v>
      </c>
      <c r="Q7" s="109">
        <f>N7/K7</f>
        <v>0.90041080201967483</v>
      </c>
      <c r="R7" s="322"/>
      <c r="S7" s="46">
        <v>0.40902777777777771</v>
      </c>
      <c r="T7" s="47">
        <v>0.42732638888888885</v>
      </c>
      <c r="U7" s="110">
        <v>5.6500000000000039</v>
      </c>
      <c r="V7" s="111">
        <v>26.354637179798601</v>
      </c>
      <c r="W7" s="112"/>
      <c r="X7" s="115"/>
      <c r="Y7" s="12"/>
      <c r="Z7" s="197"/>
      <c r="AA7" s="331"/>
      <c r="AB7" s="332"/>
      <c r="AC7" s="12">
        <v>1</v>
      </c>
      <c r="AD7" s="197"/>
      <c r="AE7" s="116">
        <f>M7-J7</f>
        <v>-199.17839596065028</v>
      </c>
      <c r="AF7" s="109">
        <f>M7/J7</f>
        <v>0.90041080201967483</v>
      </c>
      <c r="AG7" s="368"/>
    </row>
    <row r="8" spans="1:33" ht="15.75" customHeight="1">
      <c r="A8" s="317"/>
      <c r="B8" s="99" t="s">
        <v>188</v>
      </c>
      <c r="C8" s="370" t="s">
        <v>239</v>
      </c>
      <c r="D8" s="370"/>
      <c r="E8" s="100">
        <v>77.34</v>
      </c>
      <c r="F8" s="101">
        <v>2321</v>
      </c>
      <c r="G8" s="102">
        <f t="shared" si="0"/>
        <v>179506.14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1799.0404775893642</v>
      </c>
      <c r="N8" s="105">
        <f>M8/L8</f>
        <v>78.219151199537578</v>
      </c>
      <c r="O8" s="107">
        <f>L8-I8</f>
        <v>0</v>
      </c>
      <c r="P8" s="108">
        <f>N8-K8</f>
        <v>-8.7373705395928596</v>
      </c>
      <c r="Q8" s="109">
        <f>N8/K8</f>
        <v>0.89952023879468213</v>
      </c>
      <c r="R8" s="322"/>
      <c r="S8" s="46">
        <v>0.43055555555555547</v>
      </c>
      <c r="T8" s="47">
        <v>0.48430555555555549</v>
      </c>
      <c r="U8" s="110">
        <v>4.6499999999999275</v>
      </c>
      <c r="V8" s="111">
        <v>77.407930357743993</v>
      </c>
      <c r="W8" s="112">
        <v>0.48430555555555549</v>
      </c>
      <c r="X8" s="115">
        <v>0.52361111111111103</v>
      </c>
      <c r="Y8" s="12"/>
      <c r="Z8" s="197"/>
      <c r="AA8" s="331"/>
      <c r="AB8" s="332"/>
      <c r="AC8" s="12">
        <v>2</v>
      </c>
      <c r="AD8" s="197"/>
      <c r="AE8" s="116">
        <f>M8-J8</f>
        <v>-200.95952241063583</v>
      </c>
      <c r="AF8" s="109">
        <f>M8/J8</f>
        <v>0.89952023879468213</v>
      </c>
      <c r="AG8" s="368"/>
    </row>
    <row r="9" spans="1:33" ht="15.75" customHeight="1">
      <c r="A9" s="317"/>
      <c r="B9" s="99" t="s">
        <v>188</v>
      </c>
      <c r="C9" s="370" t="s">
        <v>190</v>
      </c>
      <c r="D9" s="370"/>
      <c r="E9" s="100">
        <v>59.52</v>
      </c>
      <c r="F9" s="101">
        <v>5413</v>
      </c>
      <c r="G9" s="102">
        <f t="shared" si="0"/>
        <v>322181.76000000001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1801.3103701457844</v>
      </c>
      <c r="N9" s="105">
        <f>M9/L9</f>
        <v>75.054598756074355</v>
      </c>
      <c r="O9" s="107">
        <f>L9-I9</f>
        <v>0</v>
      </c>
      <c r="P9" s="108">
        <f>N9-K9</f>
        <v>-8.2787345772589731</v>
      </c>
      <c r="Q9" s="109">
        <f>N9/K9</f>
        <v>0.90065518507289233</v>
      </c>
      <c r="R9" s="322"/>
      <c r="S9" s="46">
        <v>0.52361111111111103</v>
      </c>
      <c r="T9" s="47">
        <v>0.64881944444444439</v>
      </c>
      <c r="U9" s="110">
        <v>56.599999999999973</v>
      </c>
      <c r="V9" s="111">
        <v>180.30207641213701</v>
      </c>
      <c r="W9" s="112"/>
      <c r="X9" s="115"/>
      <c r="Y9" s="12"/>
      <c r="Z9" s="197"/>
      <c r="AA9" s="331"/>
      <c r="AB9" s="332"/>
      <c r="AC9" s="12">
        <v>4</v>
      </c>
      <c r="AD9" s="197"/>
      <c r="AE9" s="116">
        <f>M9-J9</f>
        <v>-198.68962985421558</v>
      </c>
      <c r="AF9" s="109">
        <f>M9/J9</f>
        <v>0.90065518507289222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1656.9964898247995</v>
      </c>
      <c r="N21" s="137">
        <f t="shared" ref="N21:N28" si="5">M21/L21</f>
        <v>76.009013294715572</v>
      </c>
      <c r="O21" s="138">
        <f t="shared" ref="O21:O28" si="6">L21-I21</f>
        <v>0</v>
      </c>
      <c r="P21" s="139">
        <f t="shared" ref="P21:P28" si="7">N21-K21</f>
        <v>-8.3946564300550648</v>
      </c>
      <c r="Q21" s="140">
        <f t="shared" ref="Q21:Q28" si="8">N21/K21</f>
        <v>0.90054157055695627</v>
      </c>
      <c r="R21" s="323"/>
      <c r="S21" s="141">
        <v>0.16666666666666666</v>
      </c>
      <c r="T21" s="142">
        <v>0.64881944444444439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13</v>
      </c>
      <c r="AD21" s="179">
        <f>SUM(AD5:AD20)</f>
        <v>0</v>
      </c>
      <c r="AE21" s="167">
        <f t="shared" ref="AE21:AE28" si="9">M21-J21</f>
        <v>-183.00351017520052</v>
      </c>
      <c r="AF21" s="140">
        <f t="shared" ref="AF21:AF28" si="10">M21/J21</f>
        <v>0.90054157055695627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2499</v>
      </c>
      <c r="G22" s="147">
        <f t="shared" ref="G22:G28" si="11">E22*F22</f>
        <v>91088.55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1893.2783422374964</v>
      </c>
      <c r="N22" s="151">
        <f t="shared" si="5"/>
        <v>94.663917111874824</v>
      </c>
      <c r="O22" s="153">
        <f t="shared" si="6"/>
        <v>0</v>
      </c>
      <c r="P22" s="154">
        <f t="shared" si="7"/>
        <v>-10.336082888125176</v>
      </c>
      <c r="Q22" s="155">
        <f t="shared" si="8"/>
        <v>0.90156111535118877</v>
      </c>
      <c r="R22" s="321">
        <f>Q38</f>
        <v>0.9023542064003709</v>
      </c>
      <c r="S22" s="156">
        <v>0.16666666666666666</v>
      </c>
      <c r="T22" s="157">
        <v>0.22165509259259258</v>
      </c>
      <c r="U22" s="158"/>
      <c r="V22" s="159">
        <v>79.195962186309757</v>
      </c>
      <c r="W22" s="96"/>
      <c r="X22" s="97"/>
      <c r="Y22" s="12"/>
      <c r="Z22" s="197"/>
      <c r="AA22" s="324"/>
      <c r="AB22" s="325"/>
      <c r="AC22" s="12">
        <v>1</v>
      </c>
      <c r="AD22" s="197"/>
      <c r="AE22" s="114">
        <f t="shared" si="9"/>
        <v>-206.72165776250358</v>
      </c>
      <c r="AF22" s="155">
        <f t="shared" si="10"/>
        <v>0.90156111535118877</v>
      </c>
      <c r="AG22" s="375">
        <f>AF38</f>
        <v>0.90957304005157402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1475</v>
      </c>
      <c r="G23" s="102">
        <f t="shared" si="11"/>
        <v>46787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1801.2275142827239</v>
      </c>
      <c r="N23" s="105">
        <f t="shared" si="5"/>
        <v>81.873977921942</v>
      </c>
      <c r="O23" s="107">
        <f t="shared" si="6"/>
        <v>0</v>
      </c>
      <c r="P23" s="108">
        <f t="shared" si="7"/>
        <v>-9.0351129871489064</v>
      </c>
      <c r="Q23" s="109">
        <f t="shared" si="8"/>
        <v>0.90061375714136205</v>
      </c>
      <c r="R23" s="322"/>
      <c r="S23" s="46">
        <v>0.22499999999999998</v>
      </c>
      <c r="T23" s="47">
        <v>0.2591087962962963</v>
      </c>
      <c r="U23" s="110">
        <v>4.8166666666666469</v>
      </c>
      <c r="V23" s="111">
        <v>49.133160191172209</v>
      </c>
      <c r="W23" s="112"/>
      <c r="X23" s="115"/>
      <c r="Y23" s="12"/>
      <c r="Z23" s="197"/>
      <c r="AA23" s="331"/>
      <c r="AB23" s="332"/>
      <c r="AC23" s="12">
        <v>1</v>
      </c>
      <c r="AD23" s="197"/>
      <c r="AE23" s="116">
        <f t="shared" si="9"/>
        <v>-198.77248571727614</v>
      </c>
      <c r="AF23" s="109">
        <f t="shared" si="10"/>
        <v>0.90061375714136194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1491</v>
      </c>
      <c r="G24" s="102">
        <f t="shared" si="11"/>
        <v>51871.89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1808.7279954925195</v>
      </c>
      <c r="N24" s="105">
        <f t="shared" si="5"/>
        <v>164.42981777204724</v>
      </c>
      <c r="O24" s="107">
        <f t="shared" si="6"/>
        <v>0</v>
      </c>
      <c r="P24" s="108">
        <f t="shared" si="7"/>
        <v>-17.388364046134569</v>
      </c>
      <c r="Q24" s="109">
        <f t="shared" si="8"/>
        <v>0.90436399774625986</v>
      </c>
      <c r="R24" s="322"/>
      <c r="S24" s="46">
        <v>0.26249999999999996</v>
      </c>
      <c r="T24" s="47">
        <v>0.29684027777777772</v>
      </c>
      <c r="U24" s="110">
        <v>4.8833333333332707</v>
      </c>
      <c r="V24" s="111">
        <v>49.460173239392965</v>
      </c>
      <c r="W24" s="112"/>
      <c r="X24" s="115"/>
      <c r="Y24" s="12"/>
      <c r="Z24" s="197"/>
      <c r="AA24" s="331"/>
      <c r="AB24" s="332"/>
      <c r="AC24" s="12">
        <v>0</v>
      </c>
      <c r="AD24" s="197"/>
      <c r="AE24" s="116">
        <f t="shared" si="9"/>
        <v>-191.27200450748046</v>
      </c>
      <c r="AF24" s="109">
        <f t="shared" si="10"/>
        <v>0.90436399774625975</v>
      </c>
      <c r="AG24" s="368"/>
    </row>
    <row r="25" spans="1:33" ht="15.75" customHeight="1">
      <c r="A25" s="356"/>
      <c r="B25" s="162" t="s">
        <v>184</v>
      </c>
      <c r="C25" s="329" t="s">
        <v>235</v>
      </c>
      <c r="D25" s="330"/>
      <c r="E25" s="100">
        <v>33.200000000000003</v>
      </c>
      <c r="F25" s="110">
        <v>2992</v>
      </c>
      <c r="G25" s="102">
        <f t="shared" si="11"/>
        <v>99334.400000000009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1806.9724640015379</v>
      </c>
      <c r="N25" s="105">
        <f t="shared" si="5"/>
        <v>164.27022400013982</v>
      </c>
      <c r="O25" s="107">
        <f t="shared" si="6"/>
        <v>0</v>
      </c>
      <c r="P25" s="108">
        <f t="shared" si="7"/>
        <v>-17.547957818041994</v>
      </c>
      <c r="Q25" s="109">
        <f t="shared" si="8"/>
        <v>0.90348623200076905</v>
      </c>
      <c r="R25" s="322"/>
      <c r="S25" s="46">
        <v>0.30069444444444438</v>
      </c>
      <c r="T25" s="47">
        <v>0.36967592592592585</v>
      </c>
      <c r="U25" s="110">
        <v>5.5499999999999883</v>
      </c>
      <c r="V25" s="111">
        <v>99.348497874977696</v>
      </c>
      <c r="W25" s="112"/>
      <c r="X25" s="115"/>
      <c r="Y25" s="12"/>
      <c r="Z25" s="197"/>
      <c r="AA25" s="331"/>
      <c r="AB25" s="332"/>
      <c r="AC25" s="12">
        <v>1</v>
      </c>
      <c r="AD25" s="197"/>
      <c r="AE25" s="116">
        <f t="shared" si="9"/>
        <v>-193.0275359984621</v>
      </c>
      <c r="AF25" s="109">
        <f t="shared" si="10"/>
        <v>0.90348623200076894</v>
      </c>
      <c r="AG25" s="368"/>
    </row>
    <row r="26" spans="1:33" ht="15.75" customHeight="1">
      <c r="A26" s="357"/>
      <c r="B26" s="162" t="s">
        <v>184</v>
      </c>
      <c r="C26" s="329" t="s">
        <v>196</v>
      </c>
      <c r="D26" s="330"/>
      <c r="E26" s="100">
        <v>51.44</v>
      </c>
      <c r="F26" s="110">
        <v>1881</v>
      </c>
      <c r="G26" s="102">
        <f t="shared" si="11"/>
        <v>96758.64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1802.7709154418078</v>
      </c>
      <c r="N26" s="105">
        <f t="shared" si="5"/>
        <v>94.882679760095144</v>
      </c>
      <c r="O26" s="107">
        <f t="shared" si="6"/>
        <v>0</v>
      </c>
      <c r="P26" s="108">
        <f t="shared" si="7"/>
        <v>-10.380478134641692</v>
      </c>
      <c r="Q26" s="109">
        <f t="shared" si="8"/>
        <v>0.90138545772090395</v>
      </c>
      <c r="R26" s="322"/>
      <c r="S26" s="46">
        <v>0.37361111111111101</v>
      </c>
      <c r="T26" s="47">
        <v>0.41708333333333325</v>
      </c>
      <c r="U26" s="110">
        <v>5.6666666666666199</v>
      </c>
      <c r="V26" s="111">
        <v>62.603628133384454</v>
      </c>
      <c r="W26" s="112"/>
      <c r="X26" s="115"/>
      <c r="Y26" s="12"/>
      <c r="Z26" s="197"/>
      <c r="AA26" s="331"/>
      <c r="AB26" s="332"/>
      <c r="AC26" s="12">
        <v>1</v>
      </c>
      <c r="AD26" s="197"/>
      <c r="AE26" s="116">
        <f t="shared" si="9"/>
        <v>-197.2290845581922</v>
      </c>
      <c r="AF26" s="109">
        <f t="shared" si="10"/>
        <v>0.90138545772090395</v>
      </c>
      <c r="AG26" s="368"/>
    </row>
    <row r="27" spans="1:33" ht="15.75" customHeight="1">
      <c r="A27" s="357"/>
      <c r="B27" s="162" t="s">
        <v>186</v>
      </c>
      <c r="C27" s="329" t="s">
        <v>197</v>
      </c>
      <c r="D27" s="330"/>
      <c r="E27" s="100">
        <v>46.34</v>
      </c>
      <c r="F27" s="110">
        <v>2842</v>
      </c>
      <c r="G27" s="120">
        <f t="shared" si="11"/>
        <v>131698.28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22"/>
      <c r="S27" s="46">
        <v>0.42013888888888878</v>
      </c>
      <c r="T27" s="119">
        <v>0.49313657407407396</v>
      </c>
      <c r="U27" s="110">
        <v>5</v>
      </c>
      <c r="V27" s="111">
        <v>105.12842553735699</v>
      </c>
      <c r="W27" s="112">
        <v>0.49313657407407396</v>
      </c>
      <c r="X27" s="115">
        <v>0.53124999999999989</v>
      </c>
      <c r="Y27" s="12"/>
      <c r="Z27" s="197"/>
      <c r="AA27" s="331"/>
      <c r="AB27" s="332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68"/>
    </row>
    <row r="28" spans="1:33" ht="15.75" customHeight="1">
      <c r="A28" s="357"/>
      <c r="B28" s="162" t="s">
        <v>198</v>
      </c>
      <c r="C28" s="329" t="s">
        <v>199</v>
      </c>
      <c r="D28" s="330"/>
      <c r="E28" s="100">
        <v>29.97</v>
      </c>
      <c r="F28" s="110">
        <v>2715</v>
      </c>
      <c r="G28" s="120">
        <f t="shared" si="11"/>
        <v>81368.55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0.53124999999999989</v>
      </c>
      <c r="T28" s="119">
        <v>0.57431712962962955</v>
      </c>
      <c r="U28" s="110">
        <v>54.883333333333333</v>
      </c>
      <c r="V28" s="111">
        <v>62.018523263901599</v>
      </c>
      <c r="W28" s="112"/>
      <c r="X28" s="115"/>
      <c r="Y28" s="12"/>
      <c r="Z28" s="197"/>
      <c r="AA28" s="331"/>
      <c r="AB28" s="332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1908.8039940510887</v>
      </c>
      <c r="N38" s="137">
        <f t="shared" ref="N38:N45" si="16">M38/L38</f>
        <v>106.04466633617159</v>
      </c>
      <c r="O38" s="138">
        <f t="shared" ref="O38:O45" si="17">L38-I38</f>
        <v>0.14285714285714235</v>
      </c>
      <c r="P38" s="139">
        <f t="shared" ref="P38:P45" si="18">N38-K38</f>
        <v>-11.475333663828408</v>
      </c>
      <c r="Q38" s="140">
        <f t="shared" ref="Q38:Q45" si="19">N38/K38</f>
        <v>0.9023542064003709</v>
      </c>
      <c r="R38" s="323"/>
      <c r="S38" s="141">
        <v>0.16666666666666666</v>
      </c>
      <c r="T38" s="142">
        <v>0.57431712962962955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6</v>
      </c>
      <c r="AD38" s="179">
        <f>SUM(AD22:AD37)</f>
        <v>0</v>
      </c>
      <c r="AE38" s="167">
        <f t="shared" ref="AE38:AE45" si="20">M38-J38</f>
        <v>-189.76743452033975</v>
      </c>
      <c r="AF38" s="140">
        <f t="shared" ref="AF38:AF45" si="21">M38/J38</f>
        <v>0.90957304005157402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3552</v>
      </c>
      <c r="G39" s="147">
        <f t="shared" ref="G39:G45" si="22">E39*F39</f>
        <v>190955.51999999999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1799.1908805090873</v>
      </c>
      <c r="N39" s="151">
        <f t="shared" si="16"/>
        <v>89.959544025454363</v>
      </c>
      <c r="O39" s="153">
        <f t="shared" si="17"/>
        <v>0</v>
      </c>
      <c r="P39" s="154">
        <f t="shared" si="18"/>
        <v>-10.040455974545637</v>
      </c>
      <c r="Q39" s="155">
        <f t="shared" si="19"/>
        <v>0.89959544025454363</v>
      </c>
      <c r="R39" s="321">
        <f>Q55</f>
        <v>0.89991450955727781</v>
      </c>
      <c r="S39" s="156">
        <v>0.16666666666666666</v>
      </c>
      <c r="T39" s="157">
        <v>0.24892361111111111</v>
      </c>
      <c r="U39" s="158"/>
      <c r="V39" s="159">
        <v>118.45324601673001</v>
      </c>
      <c r="W39" s="157"/>
      <c r="X39" s="168"/>
      <c r="Y39" s="12"/>
      <c r="Z39" s="197"/>
      <c r="AA39" s="324"/>
      <c r="AB39" s="325"/>
      <c r="AC39" s="12">
        <v>2</v>
      </c>
      <c r="AD39" s="197"/>
      <c r="AE39" s="114">
        <f t="shared" si="20"/>
        <v>-200.80911949091274</v>
      </c>
      <c r="AF39" s="155">
        <f t="shared" si="21"/>
        <v>0.89959544025454363</v>
      </c>
      <c r="AG39" s="326">
        <f>AF55</f>
        <v>0.89991450955727792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2431</v>
      </c>
      <c r="G40" s="102">
        <f t="shared" si="22"/>
        <v>173938.05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1799.5340140253297</v>
      </c>
      <c r="N40" s="105">
        <f t="shared" si="16"/>
        <v>81.797000637514984</v>
      </c>
      <c r="O40" s="107">
        <f t="shared" si="17"/>
        <v>0</v>
      </c>
      <c r="P40" s="108">
        <f t="shared" si="18"/>
        <v>-9.1120902715759229</v>
      </c>
      <c r="Q40" s="109">
        <f t="shared" si="19"/>
        <v>0.89976700701266488</v>
      </c>
      <c r="R40" s="322"/>
      <c r="S40" s="46">
        <v>0.25208333333333333</v>
      </c>
      <c r="T40" s="47">
        <v>0.30836805555555558</v>
      </c>
      <c r="U40" s="110">
        <v>4.5499999999999918</v>
      </c>
      <c r="V40" s="111">
        <v>81.054316763776896</v>
      </c>
      <c r="W40" s="112"/>
      <c r="X40" s="115"/>
      <c r="Y40" s="12"/>
      <c r="Z40" s="197"/>
      <c r="AA40" s="331"/>
      <c r="AB40" s="332"/>
      <c r="AC40" s="12">
        <v>2</v>
      </c>
      <c r="AD40" s="197"/>
      <c r="AE40" s="116">
        <f t="shared" si="20"/>
        <v>-200.46598597467028</v>
      </c>
      <c r="AF40" s="109">
        <f t="shared" si="21"/>
        <v>0.89976700701266488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1956</v>
      </c>
      <c r="G41" s="102">
        <f t="shared" si="22"/>
        <v>125027.52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1801.0841751572375</v>
      </c>
      <c r="N41" s="105">
        <f t="shared" si="16"/>
        <v>75.045173964884896</v>
      </c>
      <c r="O41" s="107">
        <f t="shared" si="17"/>
        <v>0</v>
      </c>
      <c r="P41" s="108">
        <f t="shared" si="18"/>
        <v>-8.2881593684484329</v>
      </c>
      <c r="Q41" s="109">
        <f t="shared" si="19"/>
        <v>0.90054208757861876</v>
      </c>
      <c r="R41" s="322"/>
      <c r="S41" s="46">
        <v>0.3125</v>
      </c>
      <c r="T41" s="47">
        <v>0.35774305555555558</v>
      </c>
      <c r="U41" s="110">
        <v>5.9499999999999709</v>
      </c>
      <c r="V41" s="111">
        <v>65.160752406119101</v>
      </c>
      <c r="W41" s="112"/>
      <c r="X41" s="115"/>
      <c r="Y41" s="12"/>
      <c r="Z41" s="197"/>
      <c r="AA41" s="331"/>
      <c r="AB41" s="332"/>
      <c r="AC41" s="12">
        <v>1</v>
      </c>
      <c r="AD41" s="197"/>
      <c r="AE41" s="116">
        <f t="shared" si="20"/>
        <v>-198.9158248427625</v>
      </c>
      <c r="AF41" s="109">
        <f t="shared" si="21"/>
        <v>0.90054208757861876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1246</v>
      </c>
      <c r="G42" s="102">
        <f t="shared" si="22"/>
        <v>73102.820000000007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1800.2615804078919</v>
      </c>
      <c r="N42" s="105">
        <f t="shared" si="16"/>
        <v>78.272242626430085</v>
      </c>
      <c r="O42" s="107">
        <f t="shared" si="17"/>
        <v>0</v>
      </c>
      <c r="P42" s="108">
        <f t="shared" si="18"/>
        <v>-8.6842791127003522</v>
      </c>
      <c r="Q42" s="109">
        <f t="shared" si="19"/>
        <v>0.90013079020394593</v>
      </c>
      <c r="R42" s="322"/>
      <c r="S42" s="46">
        <v>0.36180555555555555</v>
      </c>
      <c r="T42" s="47">
        <v>0.39063657407407404</v>
      </c>
      <c r="U42" s="110">
        <v>5.8499999999999552</v>
      </c>
      <c r="V42" s="111">
        <v>41.527298484624303</v>
      </c>
      <c r="W42" s="112"/>
      <c r="X42" s="115"/>
      <c r="Y42" s="12"/>
      <c r="Z42" s="197"/>
      <c r="AA42" s="331"/>
      <c r="AB42" s="332"/>
      <c r="AC42" s="12">
        <v>1</v>
      </c>
      <c r="AD42" s="197"/>
      <c r="AE42" s="116">
        <f t="shared" si="20"/>
        <v>-199.73841959210813</v>
      </c>
      <c r="AF42" s="109">
        <f t="shared" si="21"/>
        <v>0.90013079020394593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3403</v>
      </c>
      <c r="G43" s="102">
        <f t="shared" si="22"/>
        <v>202614.62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1799.1746238049861</v>
      </c>
      <c r="N43" s="105">
        <f t="shared" si="16"/>
        <v>78.224983643695055</v>
      </c>
      <c r="O43" s="107">
        <f t="shared" si="17"/>
        <v>0</v>
      </c>
      <c r="P43" s="108">
        <f t="shared" si="18"/>
        <v>-8.7315380954353827</v>
      </c>
      <c r="Q43" s="109">
        <f t="shared" si="19"/>
        <v>0.89958731190249308</v>
      </c>
      <c r="R43" s="322"/>
      <c r="S43" s="46">
        <v>0.39374999999999999</v>
      </c>
      <c r="T43" s="47">
        <v>0.47255787037037034</v>
      </c>
      <c r="U43" s="110">
        <v>5</v>
      </c>
      <c r="V43" s="111">
        <v>113.485371179919</v>
      </c>
      <c r="W43" s="112">
        <v>0.47255787037037034</v>
      </c>
      <c r="X43" s="115">
        <v>0.51111111111111107</v>
      </c>
      <c r="Y43" s="12"/>
      <c r="Z43" s="197"/>
      <c r="AA43" s="331"/>
      <c r="AB43" s="332"/>
      <c r="AC43" s="12">
        <v>3</v>
      </c>
      <c r="AD43" s="197"/>
      <c r="AE43" s="116">
        <f t="shared" si="20"/>
        <v>-200.82537619501386</v>
      </c>
      <c r="AF43" s="109">
        <f t="shared" si="21"/>
        <v>0.89958731190249308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3552</v>
      </c>
      <c r="G44" s="120">
        <f t="shared" si="22"/>
        <v>216991.68000000002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1800.2459067643751</v>
      </c>
      <c r="N44" s="105">
        <f t="shared" si="16"/>
        <v>90.012295338218763</v>
      </c>
      <c r="O44" s="107">
        <f t="shared" si="17"/>
        <v>0</v>
      </c>
      <c r="P44" s="108">
        <f t="shared" si="18"/>
        <v>-9.9877046617812368</v>
      </c>
      <c r="Q44" s="109">
        <f t="shared" si="19"/>
        <v>0.90012295338218762</v>
      </c>
      <c r="R44" s="322"/>
      <c r="S44" s="46">
        <v>0.51111111111111107</v>
      </c>
      <c r="T44" s="119">
        <v>0.59332175925925923</v>
      </c>
      <c r="U44" s="110">
        <v>55.516666666666659</v>
      </c>
      <c r="V44" s="111">
        <v>118.38382700896993</v>
      </c>
      <c r="W44" s="112"/>
      <c r="X44" s="115"/>
      <c r="Y44" s="12"/>
      <c r="Z44" s="197"/>
      <c r="AA44" s="331"/>
      <c r="AB44" s="332"/>
      <c r="AC44" s="12">
        <v>2</v>
      </c>
      <c r="AD44" s="197"/>
      <c r="AE44" s="116">
        <f t="shared" si="20"/>
        <v>-199.75409323562485</v>
      </c>
      <c r="AF44" s="109">
        <f t="shared" si="21"/>
        <v>0.90012295338218762</v>
      </c>
      <c r="AG44" s="327"/>
    </row>
    <row r="45" spans="1:33" ht="15.75" customHeight="1">
      <c r="A45" s="317"/>
      <c r="B45" s="162" t="s">
        <v>188</v>
      </c>
      <c r="C45" s="329" t="s">
        <v>204</v>
      </c>
      <c r="D45" s="330"/>
      <c r="E45" s="100">
        <v>58.67</v>
      </c>
      <c r="F45" s="101">
        <v>3083</v>
      </c>
      <c r="G45" s="120">
        <f t="shared" si="22"/>
        <v>180879.61000000002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1799.3119531329821</v>
      </c>
      <c r="N45" s="105">
        <f t="shared" si="16"/>
        <v>78.230954484042698</v>
      </c>
      <c r="O45" s="122">
        <f t="shared" si="17"/>
        <v>0</v>
      </c>
      <c r="P45" s="123">
        <f t="shared" si="18"/>
        <v>-8.7255672550877392</v>
      </c>
      <c r="Q45" s="124">
        <f t="shared" si="19"/>
        <v>0.89965597656649099</v>
      </c>
      <c r="R45" s="322"/>
      <c r="S45" s="118">
        <v>0.59722222222222221</v>
      </c>
      <c r="T45" s="119">
        <v>0.66861111111111104</v>
      </c>
      <c r="U45" s="110">
        <v>5.616666666666692</v>
      </c>
      <c r="V45" s="111">
        <v>102.80596406749299</v>
      </c>
      <c r="W45" s="119"/>
      <c r="X45" s="188"/>
      <c r="Y45" s="12"/>
      <c r="Z45" s="197"/>
      <c r="AA45" s="331"/>
      <c r="AB45" s="332"/>
      <c r="AC45" s="12">
        <v>2</v>
      </c>
      <c r="AD45" s="197"/>
      <c r="AE45" s="116">
        <f t="shared" si="20"/>
        <v>-200.68804686701787</v>
      </c>
      <c r="AF45" s="109">
        <f t="shared" si="21"/>
        <v>0.8996559765664911</v>
      </c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1799.8290191145559</v>
      </c>
      <c r="N55" s="137">
        <f t="shared" ref="N55:N63" si="27">M55/L55</f>
        <v>81.282600863238002</v>
      </c>
      <c r="O55" s="138">
        <f t="shared" ref="O55:O63" si="28">L55-I55</f>
        <v>0</v>
      </c>
      <c r="P55" s="139">
        <f t="shared" ref="P55:P63" si="29">N55-K55</f>
        <v>-9.039979781923293</v>
      </c>
      <c r="Q55" s="140">
        <f t="shared" ref="Q55:Q63" si="30">N55/K55</f>
        <v>0.89991450955727781</v>
      </c>
      <c r="R55" s="323"/>
      <c r="S55" s="141">
        <v>0.16666666666666666</v>
      </c>
      <c r="T55" s="142">
        <v>0.66861111111111104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13</v>
      </c>
      <c r="AD55" s="190">
        <f>SUM(AD39:AD54)</f>
        <v>0</v>
      </c>
      <c r="AE55" s="167">
        <f t="shared" ref="AE55:AE63" si="31">M55-J55</f>
        <v>-200.17098088544412</v>
      </c>
      <c r="AF55" s="140">
        <f t="shared" ref="AF55:AF63" si="32">M55/J55</f>
        <v>0.89991450955727792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2493</v>
      </c>
      <c r="G56" s="147">
        <f t="shared" ref="G56:G63" si="33">E56*F56</f>
        <v>71947.98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3192.9179423240021</v>
      </c>
      <c r="N56" s="151">
        <f t="shared" si="27"/>
        <v>168.04831275389483</v>
      </c>
      <c r="O56" s="153">
        <f t="shared" si="28"/>
        <v>0</v>
      </c>
      <c r="P56" s="154">
        <f t="shared" si="29"/>
        <v>-21.425371456631495</v>
      </c>
      <c r="Q56" s="155">
        <f t="shared" si="30"/>
        <v>0.88692165064555606</v>
      </c>
      <c r="R56" s="321">
        <f>Q72</f>
        <v>0.90199221237024352</v>
      </c>
      <c r="S56" s="156">
        <v>0.16666666666666666</v>
      </c>
      <c r="T56" s="157">
        <v>0.19918981481481479</v>
      </c>
      <c r="U56" s="158"/>
      <c r="V56" s="159">
        <v>46.847430063024568</v>
      </c>
      <c r="W56" s="157"/>
      <c r="X56" s="168"/>
      <c r="Y56" s="12"/>
      <c r="Z56" s="197"/>
      <c r="AA56" s="324"/>
      <c r="AB56" s="325"/>
      <c r="AC56" s="12">
        <v>1</v>
      </c>
      <c r="AD56" s="197"/>
      <c r="AE56" s="114">
        <f t="shared" si="31"/>
        <v>-407.08205767599793</v>
      </c>
      <c r="AF56" s="155">
        <f t="shared" si="32"/>
        <v>0.88692165064555617</v>
      </c>
      <c r="AG56" s="326">
        <f>AF72</f>
        <v>0.90199221237024341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3582</v>
      </c>
      <c r="G57" s="102">
        <f t="shared" si="33"/>
        <v>128557.98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3191.8477585405881</v>
      </c>
      <c r="N57" s="105">
        <f t="shared" si="27"/>
        <v>167.99198729160989</v>
      </c>
      <c r="O57" s="107">
        <f t="shared" si="28"/>
        <v>0</v>
      </c>
      <c r="P57" s="108">
        <f t="shared" si="29"/>
        <v>-21.481696918916441</v>
      </c>
      <c r="Q57" s="109">
        <f t="shared" si="30"/>
        <v>0.88662437737238542</v>
      </c>
      <c r="R57" s="322"/>
      <c r="S57" s="46">
        <v>0.20208333333333331</v>
      </c>
      <c r="T57" s="47">
        <v>0.24884259259259256</v>
      </c>
      <c r="U57" s="110">
        <v>5</v>
      </c>
      <c r="V57" s="111">
        <v>67.334038543952389</v>
      </c>
      <c r="W57" s="112"/>
      <c r="X57" s="115"/>
      <c r="Y57" s="12"/>
      <c r="Z57" s="197"/>
      <c r="AA57" s="331"/>
      <c r="AB57" s="332"/>
      <c r="AC57" s="12">
        <v>1</v>
      </c>
      <c r="AD57" s="197"/>
      <c r="AE57" s="116">
        <f t="shared" si="31"/>
        <v>-408.15224145941193</v>
      </c>
      <c r="AF57" s="109">
        <f t="shared" si="32"/>
        <v>0.88662437737238553</v>
      </c>
      <c r="AG57" s="327"/>
    </row>
    <row r="58" spans="1:33" ht="15.75" customHeight="1">
      <c r="A58" s="356"/>
      <c r="B58" s="99" t="s">
        <v>208</v>
      </c>
      <c r="C58" s="370" t="s">
        <v>212</v>
      </c>
      <c r="D58" s="370"/>
      <c r="E58" s="100">
        <v>43.96</v>
      </c>
      <c r="F58" s="101">
        <v>1835</v>
      </c>
      <c r="G58" s="102">
        <f t="shared" si="33"/>
        <v>80666.600000000006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3267.2683112263394</v>
      </c>
      <c r="N58" s="105">
        <f t="shared" si="27"/>
        <v>136.13617963443082</v>
      </c>
      <c r="O58" s="107">
        <f t="shared" si="28"/>
        <v>0</v>
      </c>
      <c r="P58" s="108">
        <f t="shared" si="29"/>
        <v>-13.863820365569183</v>
      </c>
      <c r="Q58" s="109">
        <f t="shared" si="30"/>
        <v>0.90757453089620543</v>
      </c>
      <c r="R58" s="322"/>
      <c r="S58" s="46">
        <v>0.25277777777777777</v>
      </c>
      <c r="T58" s="47">
        <v>0.27616898148148145</v>
      </c>
      <c r="U58" s="110">
        <v>5.6666666666666998</v>
      </c>
      <c r="V58" s="111">
        <v>33.697875262247734</v>
      </c>
      <c r="W58" s="112"/>
      <c r="X58" s="115"/>
      <c r="Y58" s="12"/>
      <c r="Z58" s="197"/>
      <c r="AA58" s="331"/>
      <c r="AB58" s="332"/>
      <c r="AC58" s="12">
        <v>1</v>
      </c>
      <c r="AD58" s="197"/>
      <c r="AE58" s="116">
        <f t="shared" si="31"/>
        <v>-332.73168877366061</v>
      </c>
      <c r="AF58" s="109">
        <f t="shared" si="32"/>
        <v>0.90757453089620543</v>
      </c>
      <c r="AG58" s="327"/>
    </row>
    <row r="59" spans="1:33" ht="15.75" customHeight="1">
      <c r="A59" s="356"/>
      <c r="B59" s="99" t="s">
        <v>208</v>
      </c>
      <c r="C59" s="370" t="s">
        <v>213</v>
      </c>
      <c r="D59" s="370"/>
      <c r="E59" s="100">
        <v>46.93</v>
      </c>
      <c r="F59" s="101">
        <v>1349</v>
      </c>
      <c r="G59" s="102">
        <f t="shared" si="33"/>
        <v>63308.57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3266.5465440095381</v>
      </c>
      <c r="N59" s="105">
        <f t="shared" si="27"/>
        <v>136.10610600039743</v>
      </c>
      <c r="O59" s="107">
        <f t="shared" si="28"/>
        <v>0</v>
      </c>
      <c r="P59" s="108">
        <f t="shared" si="29"/>
        <v>-13.893893999602568</v>
      </c>
      <c r="Q59" s="109">
        <f t="shared" si="30"/>
        <v>0.90737404000264954</v>
      </c>
      <c r="R59" s="322"/>
      <c r="S59" s="46">
        <v>0.27916666666666662</v>
      </c>
      <c r="T59" s="47">
        <v>0.29636574074074068</v>
      </c>
      <c r="U59" s="110">
        <v>5</v>
      </c>
      <c r="V59" s="111">
        <v>24.778462180015293</v>
      </c>
      <c r="W59" s="112"/>
      <c r="X59" s="115"/>
      <c r="Y59" s="12"/>
      <c r="Z59" s="197"/>
      <c r="AA59" s="331"/>
      <c r="AB59" s="332"/>
      <c r="AC59" s="12">
        <v>1</v>
      </c>
      <c r="AD59" s="197"/>
      <c r="AE59" s="198">
        <f t="shared" si="31"/>
        <v>-333.45345599046186</v>
      </c>
      <c r="AF59" s="199">
        <f t="shared" si="32"/>
        <v>0.90737404000264943</v>
      </c>
      <c r="AG59" s="327"/>
    </row>
    <row r="60" spans="1:33" ht="15.75" customHeight="1">
      <c r="A60" s="357"/>
      <c r="B60" s="99" t="s">
        <v>208</v>
      </c>
      <c r="C60" s="370" t="s">
        <v>214</v>
      </c>
      <c r="D60" s="370"/>
      <c r="E60" s="100">
        <v>36.729999999999997</v>
      </c>
      <c r="F60" s="104">
        <v>3750</v>
      </c>
      <c r="G60" s="102">
        <f t="shared" si="33"/>
        <v>137737.5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3261.1767104351829</v>
      </c>
      <c r="N60" s="105">
        <f t="shared" si="27"/>
        <v>163.05883552175914</v>
      </c>
      <c r="O60" s="107">
        <f t="shared" si="28"/>
        <v>0</v>
      </c>
      <c r="P60" s="108">
        <f t="shared" si="29"/>
        <v>-16.941164478240864</v>
      </c>
      <c r="Q60" s="109">
        <f t="shared" si="30"/>
        <v>0.90588241956532856</v>
      </c>
      <c r="R60" s="322"/>
      <c r="S60" s="46">
        <v>0.29999999999999993</v>
      </c>
      <c r="T60" s="47">
        <v>0.3479050925925925</v>
      </c>
      <c r="U60" s="110">
        <v>5.2333333333333254</v>
      </c>
      <c r="V60" s="111">
        <v>68.993501419300642</v>
      </c>
      <c r="W60" s="112"/>
      <c r="X60" s="115"/>
      <c r="Y60" s="12"/>
      <c r="Z60" s="197"/>
      <c r="AA60" s="331"/>
      <c r="AB60" s="332"/>
      <c r="AC60" s="12">
        <v>1</v>
      </c>
      <c r="AD60" s="197"/>
      <c r="AE60" s="198">
        <f t="shared" si="31"/>
        <v>-338.82328956481706</v>
      </c>
      <c r="AF60" s="199">
        <f t="shared" si="32"/>
        <v>0.90588241956532856</v>
      </c>
      <c r="AG60" s="327"/>
    </row>
    <row r="61" spans="1:33" ht="15.75" customHeight="1">
      <c r="A61" s="357"/>
      <c r="B61" s="99" t="s">
        <v>208</v>
      </c>
      <c r="C61" s="370" t="s">
        <v>233</v>
      </c>
      <c r="D61" s="370"/>
      <c r="E61" s="100">
        <v>48.4</v>
      </c>
      <c r="F61" s="104">
        <v>3106</v>
      </c>
      <c r="G61" s="120">
        <f t="shared" si="33"/>
        <v>150330.4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3263.3452091536046</v>
      </c>
      <c r="N61" s="105">
        <f t="shared" si="27"/>
        <v>148.33387314334567</v>
      </c>
      <c r="O61" s="107">
        <f t="shared" si="28"/>
        <v>0</v>
      </c>
      <c r="P61" s="108">
        <f t="shared" si="29"/>
        <v>-15.302490493017956</v>
      </c>
      <c r="Q61" s="109">
        <f t="shared" si="30"/>
        <v>0.90648478032044577</v>
      </c>
      <c r="R61" s="322"/>
      <c r="S61" s="46">
        <v>0.35069444444444436</v>
      </c>
      <c r="T61" s="119">
        <v>0.39034722222222212</v>
      </c>
      <c r="U61" s="110">
        <v>5</v>
      </c>
      <c r="V61" s="111">
        <v>57.107044476099162</v>
      </c>
      <c r="W61" s="112"/>
      <c r="X61" s="115"/>
      <c r="Y61" s="12"/>
      <c r="Z61" s="197"/>
      <c r="AA61" s="331"/>
      <c r="AB61" s="332"/>
      <c r="AC61" s="12">
        <v>1</v>
      </c>
      <c r="AD61" s="197"/>
      <c r="AE61" s="198">
        <f t="shared" si="31"/>
        <v>-336.65479084639537</v>
      </c>
      <c r="AF61" s="199">
        <f t="shared" si="32"/>
        <v>0.90648478032044577</v>
      </c>
      <c r="AG61" s="327"/>
    </row>
    <row r="62" spans="1:33" ht="15.75" customHeight="1">
      <c r="A62" s="357"/>
      <c r="B62" s="99" t="s">
        <v>208</v>
      </c>
      <c r="C62" s="370" t="s">
        <v>216</v>
      </c>
      <c r="D62" s="370"/>
      <c r="E62" s="100">
        <v>38.479999999999997</v>
      </c>
      <c r="F62" s="104">
        <v>5801</v>
      </c>
      <c r="G62" s="120">
        <f t="shared" si="33"/>
        <v>223222.47999999998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3265.3412005177529</v>
      </c>
      <c r="N62" s="105">
        <f t="shared" si="27"/>
        <v>163.26706002588764</v>
      </c>
      <c r="O62" s="122">
        <f t="shared" si="28"/>
        <v>0</v>
      </c>
      <c r="P62" s="123">
        <f t="shared" si="29"/>
        <v>-16.732939974112355</v>
      </c>
      <c r="Q62" s="124">
        <f t="shared" si="30"/>
        <v>0.90703922236604251</v>
      </c>
      <c r="R62" s="322"/>
      <c r="S62" s="46">
        <v>0.39444444444444438</v>
      </c>
      <c r="T62" s="119">
        <v>0.46846064814814808</v>
      </c>
      <c r="U62" s="110">
        <v>5.900000000000043</v>
      </c>
      <c r="V62" s="111">
        <v>106.59222991606867</v>
      </c>
      <c r="W62" s="112">
        <v>0.46846064814814808</v>
      </c>
      <c r="X62" s="115">
        <v>0.50763888888888875</v>
      </c>
      <c r="Y62" s="12"/>
      <c r="Z62" s="197"/>
      <c r="AA62" s="331"/>
      <c r="AB62" s="332"/>
      <c r="AC62" s="12">
        <v>2</v>
      </c>
      <c r="AD62" s="197"/>
      <c r="AE62" s="198">
        <f t="shared" si="31"/>
        <v>-334.6587994822471</v>
      </c>
      <c r="AF62" s="199">
        <f t="shared" si="32"/>
        <v>0.90703922236604251</v>
      </c>
      <c r="AG62" s="327"/>
    </row>
    <row r="63" spans="1:33" ht="15.75" customHeight="1">
      <c r="A63" s="357"/>
      <c r="B63" s="99" t="s">
        <v>208</v>
      </c>
      <c r="C63" s="370" t="s">
        <v>215</v>
      </c>
      <c r="D63" s="370"/>
      <c r="E63" s="100">
        <v>37.799999999999997</v>
      </c>
      <c r="F63" s="104">
        <v>7377</v>
      </c>
      <c r="G63" s="120">
        <f t="shared" si="33"/>
        <v>278850.59999999998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3268.9320400560023</v>
      </c>
      <c r="N63" s="105">
        <f t="shared" si="27"/>
        <v>155.66343047885726</v>
      </c>
      <c r="O63" s="122">
        <f t="shared" si="28"/>
        <v>0</v>
      </c>
      <c r="P63" s="123">
        <f t="shared" si="29"/>
        <v>-15.765140949714151</v>
      </c>
      <c r="Q63" s="124">
        <f t="shared" si="30"/>
        <v>0.90803667779333408</v>
      </c>
      <c r="R63" s="322"/>
      <c r="S63" s="46">
        <v>0.50763888888888875</v>
      </c>
      <c r="T63" s="119">
        <v>0.60166666666666657</v>
      </c>
      <c r="U63" s="110">
        <v>56.416666666666558</v>
      </c>
      <c r="V63" s="111">
        <v>135.40201955144261</v>
      </c>
      <c r="W63" s="112"/>
      <c r="X63" s="115"/>
      <c r="Y63" s="12"/>
      <c r="Z63" s="197"/>
      <c r="AA63" s="331"/>
      <c r="AB63" s="332"/>
      <c r="AC63" s="12">
        <v>2</v>
      </c>
      <c r="AD63" s="197"/>
      <c r="AE63" s="198">
        <f t="shared" si="31"/>
        <v>-331.06795994399772</v>
      </c>
      <c r="AF63" s="199">
        <f t="shared" si="32"/>
        <v>0.90803667779333397</v>
      </c>
      <c r="AG63" s="327"/>
    </row>
    <row r="64" spans="1:33" ht="15.75" customHeight="1">
      <c r="A64" s="357"/>
      <c r="B64" s="99"/>
      <c r="C64" s="370"/>
      <c r="D64" s="370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12"/>
      <c r="X64" s="115"/>
      <c r="Y64" s="12"/>
      <c r="Z64" s="197"/>
      <c r="AA64" s="331"/>
      <c r="AB64" s="332"/>
      <c r="AC64" s="12"/>
      <c r="AD64" s="197"/>
      <c r="AE64" s="198"/>
      <c r="AF64" s="199"/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3247.1719645328762</v>
      </c>
      <c r="N72" s="137">
        <f>M72/L72</f>
        <v>153.71228234475154</v>
      </c>
      <c r="O72" s="138">
        <f>L72-I72</f>
        <v>0</v>
      </c>
      <c r="P72" s="139">
        <f>N72-K72</f>
        <v>-16.701918838680399</v>
      </c>
      <c r="Q72" s="140">
        <f>N72/K72</f>
        <v>0.90199221237024352</v>
      </c>
      <c r="R72" s="323"/>
      <c r="S72" s="141">
        <v>0.16666666666666666</v>
      </c>
      <c r="T72" s="142">
        <v>0.60166666666666657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10</v>
      </c>
      <c r="AD72" s="190">
        <f>SUM(AD56:AD71)</f>
        <v>0</v>
      </c>
      <c r="AE72" s="167">
        <f>M72-J72</f>
        <v>-352.82803546712375</v>
      </c>
      <c r="AF72" s="140">
        <f>M72/J72</f>
        <v>0.90199221237024341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2472</v>
      </c>
      <c r="G73" s="120">
        <f t="shared" ref="G73:G75" si="39">E73*F73</f>
        <v>58215.6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2257.8293326791177</v>
      </c>
      <c r="N73" s="105">
        <f>M73/L73</f>
        <v>376.30488877985294</v>
      </c>
      <c r="O73" s="107">
        <f>L73-I73</f>
        <v>0</v>
      </c>
      <c r="P73" s="108">
        <f>N73-K73</f>
        <v>-40.361777886813741</v>
      </c>
      <c r="Q73" s="109">
        <f>N73/K73</f>
        <v>0.90313173307164707</v>
      </c>
      <c r="R73" s="321">
        <f>Q89</f>
        <v>0.85171083581370954</v>
      </c>
      <c r="S73" s="46">
        <v>0.35069444444444436</v>
      </c>
      <c r="T73" s="119">
        <v>0.3963078703703703</v>
      </c>
      <c r="U73" s="110">
        <v>4.8666666666666547</v>
      </c>
      <c r="V73" s="111">
        <v>65.691413364713881</v>
      </c>
      <c r="W73" s="160"/>
      <c r="X73" s="161"/>
      <c r="Y73" s="12"/>
      <c r="Z73" s="197"/>
      <c r="AA73" s="324"/>
      <c r="AB73" s="325"/>
      <c r="AC73" s="12">
        <v>0</v>
      </c>
      <c r="AD73" s="197"/>
      <c r="AE73" s="114">
        <f>M73-J73</f>
        <v>-242.17066732088233</v>
      </c>
      <c r="AF73" s="155">
        <f>M73/J73</f>
        <v>0.90313173307164707</v>
      </c>
      <c r="AG73" s="326">
        <f>AF89</f>
        <v>0.90494276305206656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758</v>
      </c>
      <c r="G74" s="120">
        <f t="shared" si="39"/>
        <v>20503.900000000001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2962.6237775921859</v>
      </c>
      <c r="N74" s="105">
        <f>M74/L74</f>
        <v>493.77062959869767</v>
      </c>
      <c r="O74" s="122">
        <f>L74-I74</f>
        <v>1</v>
      </c>
      <c r="P74" s="123">
        <f>N74-K74</f>
        <v>-160.82937040130236</v>
      </c>
      <c r="Q74" s="124">
        <f>N74/K74</f>
        <v>0.75430893614222072</v>
      </c>
      <c r="R74" s="322"/>
      <c r="S74" s="46">
        <v>0.39930555555555547</v>
      </c>
      <c r="T74" s="119">
        <v>0.40996527777777769</v>
      </c>
      <c r="U74" s="110">
        <v>5</v>
      </c>
      <c r="V74" s="111">
        <v>15.351257336145114</v>
      </c>
      <c r="W74" s="112"/>
      <c r="X74" s="115"/>
      <c r="Y74" s="12"/>
      <c r="Z74" s="197"/>
      <c r="AA74" s="331"/>
      <c r="AB74" s="332"/>
      <c r="AC74" s="12">
        <v>0</v>
      </c>
      <c r="AD74" s="197"/>
      <c r="AE74" s="116">
        <f>M74-J74</f>
        <v>-310.37622240781411</v>
      </c>
      <c r="AF74" s="109">
        <f>M74/J74</f>
        <v>0.90517072337066484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999</v>
      </c>
      <c r="G75" s="120">
        <f t="shared" si="39"/>
        <v>27022.95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2965.6591242976906</v>
      </c>
      <c r="N75" s="105">
        <f>M75/L75</f>
        <v>593.13182485953814</v>
      </c>
      <c r="O75" s="122">
        <f>L75-I75</f>
        <v>0</v>
      </c>
      <c r="P75" s="123">
        <f>N75-K75</f>
        <v>-61.468175140461881</v>
      </c>
      <c r="Q75" s="124">
        <f>N75/K75</f>
        <v>0.90609811313708843</v>
      </c>
      <c r="R75" s="322"/>
      <c r="S75" s="46">
        <v>0.41388888888888881</v>
      </c>
      <c r="T75" s="119">
        <v>0.42791666666666661</v>
      </c>
      <c r="U75" s="110">
        <v>5.6500000000000039</v>
      </c>
      <c r="V75" s="111">
        <v>20.211358584306154</v>
      </c>
      <c r="W75" s="112"/>
      <c r="X75" s="115"/>
      <c r="Y75" s="12"/>
      <c r="Z75" s="197"/>
      <c r="AA75" s="331"/>
      <c r="AB75" s="332"/>
      <c r="AC75" s="12">
        <v>0</v>
      </c>
      <c r="AD75" s="197"/>
      <c r="AE75" s="116">
        <f>M75-J75</f>
        <v>-307.3408757023094</v>
      </c>
      <c r="AF75" s="109">
        <f>M75/J75</f>
        <v>0.90609811313708843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2728.7040781896649</v>
      </c>
      <c r="N89" s="137">
        <f>M89/L89</f>
        <v>481.5360137981761</v>
      </c>
      <c r="O89" s="138">
        <f>L89-I89</f>
        <v>0.33333333333333393</v>
      </c>
      <c r="P89" s="139">
        <f>N89-K89</f>
        <v>-83.838986201824014</v>
      </c>
      <c r="Q89" s="140">
        <f>N89/K89</f>
        <v>0.85171083581370954</v>
      </c>
      <c r="R89" s="323"/>
      <c r="S89" s="141">
        <v>0.16666666666666666</v>
      </c>
      <c r="T89" s="142">
        <v>0.42791666666666661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-286.62925514366862</v>
      </c>
      <c r="AF89" s="140">
        <f>M89/J89</f>
        <v>0.90494276305206656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2287</v>
      </c>
      <c r="G90" s="147">
        <f t="shared" ref="G90:G91" si="43">E90*F90</f>
        <v>35471.370000000003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3250.0800000000027</v>
      </c>
      <c r="N90" s="151">
        <f>M90/L90</f>
        <v>541.6800000000004</v>
      </c>
      <c r="O90" s="153">
        <f>L90-I90</f>
        <v>0</v>
      </c>
      <c r="P90" s="154">
        <f>N90-K90</f>
        <v>-58.319999999999595</v>
      </c>
      <c r="Q90" s="155">
        <f>N90/K90</f>
        <v>0.90280000000000071</v>
      </c>
      <c r="R90" s="321">
        <f>Q106</f>
        <v>0.90262324647550352</v>
      </c>
      <c r="S90" s="156">
        <v>0.25</v>
      </c>
      <c r="T90" s="157">
        <v>0.27931712962962962</v>
      </c>
      <c r="U90" s="158"/>
      <c r="V90" s="159">
        <v>42.220499187712271</v>
      </c>
      <c r="W90" s="157"/>
      <c r="X90" s="168"/>
      <c r="Y90" s="12"/>
      <c r="Z90" s="197"/>
      <c r="AA90" s="324"/>
      <c r="AB90" s="325"/>
      <c r="AC90" s="12">
        <v>0</v>
      </c>
      <c r="AD90" s="197"/>
      <c r="AE90" s="114">
        <f>M90-J90</f>
        <v>-349.91999999999734</v>
      </c>
      <c r="AF90" s="155">
        <f>M90/J90</f>
        <v>0.90280000000000071</v>
      </c>
      <c r="AG90" s="326">
        <f>AF106</f>
        <v>0.90262324647550363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2369</v>
      </c>
      <c r="G91" s="102">
        <f t="shared" si="43"/>
        <v>35558.69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3248.8073746236237</v>
      </c>
      <c r="N91" s="105">
        <f>M91/L91</f>
        <v>541.46789577060395</v>
      </c>
      <c r="O91" s="107">
        <f>L91-I91</f>
        <v>0</v>
      </c>
      <c r="P91" s="108">
        <f>N91-K91</f>
        <v>-58.532104229396055</v>
      </c>
      <c r="Q91" s="109">
        <f>N91/K91</f>
        <v>0.90244649295100654</v>
      </c>
      <c r="R91" s="322"/>
      <c r="S91" s="46">
        <v>0.28263888888888888</v>
      </c>
      <c r="T91" s="47">
        <v>0.3130208333333333</v>
      </c>
      <c r="U91" s="110">
        <v>4.783333333333335</v>
      </c>
      <c r="V91" s="111">
        <v>43.751439716079503</v>
      </c>
      <c r="W91" s="112"/>
      <c r="X91" s="13"/>
      <c r="Y91" s="12"/>
      <c r="Z91" s="197"/>
      <c r="AA91" s="331"/>
      <c r="AB91" s="332"/>
      <c r="AC91" s="12">
        <v>0</v>
      </c>
      <c r="AD91" s="197"/>
      <c r="AE91" s="116">
        <f>M91-J91</f>
        <v>-351.19262537637633</v>
      </c>
      <c r="AF91" s="109">
        <f>M91/J91</f>
        <v>0.90244649295100654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3249.4436873118129</v>
      </c>
      <c r="N106" s="137">
        <f>M106/L106</f>
        <v>541.57394788530212</v>
      </c>
      <c r="O106" s="138">
        <f>L106-I106</f>
        <v>0</v>
      </c>
      <c r="P106" s="139">
        <f>N106-K106</f>
        <v>-58.426052114697882</v>
      </c>
      <c r="Q106" s="140">
        <f>N106/K106</f>
        <v>0.90262324647550352</v>
      </c>
      <c r="R106" s="323"/>
      <c r="S106" s="141">
        <v>0.25</v>
      </c>
      <c r="T106" s="142">
        <v>0.3130208333333333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-350.55631268818706</v>
      </c>
      <c r="AF106" s="140">
        <f>M106/J106</f>
        <v>0.90262324647550363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1842</v>
      </c>
      <c r="G107" s="147">
        <f t="shared" ref="G107:G109" si="47">E107*F107</f>
        <v>107149.14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1799.8777278277169</v>
      </c>
      <c r="N107" s="151">
        <f>M107/L107</f>
        <v>105.87516046045393</v>
      </c>
      <c r="O107" s="153">
        <f>L107-I107</f>
        <v>-1</v>
      </c>
      <c r="P107" s="154">
        <f>N107-K107</f>
        <v>-5.2359506506571876</v>
      </c>
      <c r="Q107" s="155">
        <f>N107/K107</f>
        <v>0.95287644414408534</v>
      </c>
      <c r="R107" s="321">
        <f>Q123</f>
        <v>0.94795776965438161</v>
      </c>
      <c r="S107" s="156">
        <v>0.70833333333333337</v>
      </c>
      <c r="T107" s="157">
        <v>0.75097222222222226</v>
      </c>
      <c r="U107" s="158"/>
      <c r="V107" s="159">
        <v>61.404171122994697</v>
      </c>
      <c r="W107" s="157"/>
      <c r="X107" s="168"/>
      <c r="Y107" s="195"/>
      <c r="Z107" s="196"/>
      <c r="AA107" s="324"/>
      <c r="AB107" s="325"/>
      <c r="AC107" s="195">
        <v>1</v>
      </c>
      <c r="AD107" s="196"/>
      <c r="AE107" s="114">
        <f>M107-J107</f>
        <v>-200.12227217228315</v>
      </c>
      <c r="AF107" s="155">
        <f>M107/J107</f>
        <v>0.89993886391385847</v>
      </c>
      <c r="AG107" s="326">
        <f>AF123</f>
        <v>0.89975652712958254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1654</v>
      </c>
      <c r="G108" s="102">
        <f t="shared" si="47"/>
        <v>83808.180000000008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1799.331365354949</v>
      </c>
      <c r="N108" s="105">
        <f>M108/L108</f>
        <v>94.701650808155208</v>
      </c>
      <c r="O108" s="107">
        <f>L108-I108</f>
        <v>-1</v>
      </c>
      <c r="P108" s="108">
        <f>N108-K108</f>
        <v>-5.2983491918447925</v>
      </c>
      <c r="Q108" s="109">
        <f>N108/K108</f>
        <v>0.94701650808155202</v>
      </c>
      <c r="R108" s="322"/>
      <c r="S108" s="46">
        <v>0.75486111111111109</v>
      </c>
      <c r="T108" s="47">
        <v>0.7931597222222222</v>
      </c>
      <c r="U108" s="110">
        <v>5.5999999999999162</v>
      </c>
      <c r="V108" s="111">
        <v>55.153820975283899</v>
      </c>
      <c r="W108" s="112"/>
      <c r="X108" s="115"/>
      <c r="Y108" s="12"/>
      <c r="Z108" s="197"/>
      <c r="AA108" s="331"/>
      <c r="AB108" s="332"/>
      <c r="AC108" s="12">
        <v>1</v>
      </c>
      <c r="AD108" s="197"/>
      <c r="AE108" s="116">
        <f>M108-J108</f>
        <v>-200.66863464505104</v>
      </c>
      <c r="AF108" s="109">
        <f>M108/J108</f>
        <v>0.89966568267747449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1918</v>
      </c>
      <c r="G109" s="102">
        <f t="shared" si="47"/>
        <v>109901.4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1799.330069594829</v>
      </c>
      <c r="N109" s="105">
        <f>M109/L109</f>
        <v>89.966503479741448</v>
      </c>
      <c r="O109" s="107">
        <f>L109-I109</f>
        <v>-1</v>
      </c>
      <c r="P109" s="108">
        <f>N109-K109</f>
        <v>-5.271591758353793</v>
      </c>
      <c r="Q109" s="109">
        <f>N109/K109</f>
        <v>0.94464828653728516</v>
      </c>
      <c r="R109" s="322"/>
      <c r="S109" s="46">
        <v>0.79722222222222217</v>
      </c>
      <c r="T109" s="47">
        <v>0.84163194444444445</v>
      </c>
      <c r="U109" s="110">
        <v>5.8499999999999552</v>
      </c>
      <c r="V109" s="111">
        <v>63.957137128216601</v>
      </c>
      <c r="W109" s="112"/>
      <c r="X109" s="115"/>
      <c r="Y109" s="12"/>
      <c r="Z109" s="197"/>
      <c r="AA109" s="331"/>
      <c r="AB109" s="332"/>
      <c r="AC109" s="12">
        <v>1</v>
      </c>
      <c r="AD109" s="197"/>
      <c r="AE109" s="116">
        <f>M109-J109</f>
        <v>-200.66993040517104</v>
      </c>
      <c r="AF109" s="109">
        <f>M109/J109</f>
        <v>0.89966503479741444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1799.5130542591651</v>
      </c>
      <c r="N123" s="137">
        <f>M123/L123</f>
        <v>96.402485049598127</v>
      </c>
      <c r="O123" s="138">
        <f>L123-I123</f>
        <v>-1</v>
      </c>
      <c r="P123" s="139">
        <f>N123-K123</f>
        <v>-5.2924302046391603</v>
      </c>
      <c r="Q123" s="140">
        <f>N123/K123</f>
        <v>0.94795776965438161</v>
      </c>
      <c r="R123" s="323"/>
      <c r="S123" s="141">
        <v>0.70833333333333337</v>
      </c>
      <c r="T123" s="142">
        <v>0.84163194444444445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-200.48694574083493</v>
      </c>
      <c r="AF123" s="140">
        <f>M123/J123</f>
        <v>0.89975652712958254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2037</v>
      </c>
      <c r="G124" s="147">
        <f t="shared" ref="G124:G126" si="55">E124*F124</f>
        <v>96961.2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1801.026208724471</v>
      </c>
      <c r="N124" s="151">
        <f>M124/L124</f>
        <v>78.305487335846564</v>
      </c>
      <c r="O124" s="153">
        <f>L124-I124</f>
        <v>0</v>
      </c>
      <c r="P124" s="154">
        <f>N124-K124</f>
        <v>-8.6510344032838731</v>
      </c>
      <c r="Q124" s="155">
        <f>N124/K124</f>
        <v>0.90051310436223542</v>
      </c>
      <c r="R124" s="321">
        <f>Q140</f>
        <v>0.90017177716842434</v>
      </c>
      <c r="S124" s="156">
        <v>0.70833333333333337</v>
      </c>
      <c r="T124" s="157">
        <v>0.75545138888888896</v>
      </c>
      <c r="U124" s="158"/>
      <c r="V124" s="159">
        <v>67.861311183560773</v>
      </c>
      <c r="W124" s="96"/>
      <c r="X124" s="97"/>
      <c r="Y124" s="195"/>
      <c r="Z124" s="196"/>
      <c r="AA124" s="324"/>
      <c r="AB124" s="325"/>
      <c r="AC124" s="195">
        <v>1</v>
      </c>
      <c r="AD124" s="196"/>
      <c r="AE124" s="114">
        <f>M124-J124</f>
        <v>-198.97379127552904</v>
      </c>
      <c r="AF124" s="155">
        <f>M124/J124</f>
        <v>0.90051310436223553</v>
      </c>
      <c r="AG124" s="375">
        <f>AF140</f>
        <v>0.90017177716842434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1650</v>
      </c>
      <c r="G125" s="102">
        <f t="shared" si="55"/>
        <v>93835.5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1799.1740960068569</v>
      </c>
      <c r="N125" s="105">
        <f>M125/L125</f>
        <v>78.224960695950301</v>
      </c>
      <c r="O125" s="107">
        <f>L125-I125</f>
        <v>0</v>
      </c>
      <c r="P125" s="108">
        <f>N125-K125</f>
        <v>-8.731561043180136</v>
      </c>
      <c r="Q125" s="109">
        <f>N125/K125</f>
        <v>0.89958704800342848</v>
      </c>
      <c r="R125" s="322"/>
      <c r="S125" s="46">
        <v>0.75902777777777786</v>
      </c>
      <c r="T125" s="47">
        <v>0.79723379629629643</v>
      </c>
      <c r="U125" s="110">
        <v>5.1500000000000057</v>
      </c>
      <c r="V125" s="111">
        <v>55.025247539814899</v>
      </c>
      <c r="W125" s="112"/>
      <c r="X125" s="115"/>
      <c r="Y125" s="12"/>
      <c r="Z125" s="197"/>
      <c r="AA125" s="331"/>
      <c r="AB125" s="332"/>
      <c r="AC125" s="12">
        <v>1</v>
      </c>
      <c r="AD125" s="197"/>
      <c r="AE125" s="116">
        <f>M125-J125</f>
        <v>-200.82590399314313</v>
      </c>
      <c r="AF125" s="109">
        <f>M125/J125</f>
        <v>0.89958704800342848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2279</v>
      </c>
      <c r="G126" s="102">
        <f t="shared" si="55"/>
        <v>129424.41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1800.8303582792187</v>
      </c>
      <c r="N126" s="105">
        <f>M126/L126</f>
        <v>78.296972099096465</v>
      </c>
      <c r="O126" s="107">
        <f>L126-I126</f>
        <v>0</v>
      </c>
      <c r="P126" s="108">
        <f>N126-K126</f>
        <v>-8.6595496400339727</v>
      </c>
      <c r="Q126" s="109">
        <f>N126/K126</f>
        <v>0.90041517913960933</v>
      </c>
      <c r="R126" s="322"/>
      <c r="S126" s="46">
        <v>0.80138888888888893</v>
      </c>
      <c r="T126" s="47">
        <v>0.85410879629629632</v>
      </c>
      <c r="U126" s="110">
        <v>5.9833333333332028</v>
      </c>
      <c r="V126" s="111">
        <v>75.93163863067133</v>
      </c>
      <c r="W126" s="112"/>
      <c r="X126" s="115"/>
      <c r="Y126" s="12"/>
      <c r="Z126" s="197"/>
      <c r="AA126" s="331"/>
      <c r="AB126" s="332"/>
      <c r="AC126" s="12">
        <v>2</v>
      </c>
      <c r="AD126" s="197"/>
      <c r="AE126" s="116">
        <f>M126-J126</f>
        <v>-199.16964172078133</v>
      </c>
      <c r="AF126" s="109">
        <f>M126/J126</f>
        <v>0.90041517913960933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1800.3435543368487</v>
      </c>
      <c r="N140" s="137">
        <f>M140/L140</f>
        <v>78.275806710297772</v>
      </c>
      <c r="O140" s="138">
        <f>L140-I140</f>
        <v>0</v>
      </c>
      <c r="P140" s="139">
        <f>N140-K140</f>
        <v>-8.6807150288326653</v>
      </c>
      <c r="Q140" s="140">
        <f>N140/K140</f>
        <v>0.90017177716842434</v>
      </c>
      <c r="R140" s="323"/>
      <c r="S140" s="141">
        <v>0.70833333333333337</v>
      </c>
      <c r="T140" s="142">
        <v>0.85410879629629632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353"/>
      <c r="AB140" s="354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-199.65644566315132</v>
      </c>
      <c r="AF140" s="140">
        <f>M140/J140</f>
        <v>0.90017177716842434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7ACD9D2A-9A62-4CA8-BCD5-04D1C2D28B0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393A-8633-4ACF-9B87-35F4E7AF0A2D}">
  <sheetPr>
    <tabColor theme="8" tint="0.59999389629810485"/>
  </sheetPr>
  <dimension ref="B1:AR42"/>
  <sheetViews>
    <sheetView zoomScale="70" zoomScaleNormal="70" workbookViewId="0">
      <selection activeCell="S41" sqref="S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243</v>
      </c>
      <c r="D3" s="208"/>
      <c r="E3" s="3" t="s">
        <v>3</v>
      </c>
      <c r="F3" s="209">
        <f>'0801(18度C)'!D1+'0801(4度C)'!D1</f>
        <v>170810</v>
      </c>
      <c r="G3" s="210"/>
      <c r="H3" s="3" t="s">
        <v>4</v>
      </c>
      <c r="I3" s="211">
        <f>'0801(18度C)'!F1+'0801(4度C)'!F1</f>
        <v>5278918.5599999987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495.06538288021181</v>
      </c>
      <c r="F6" s="245" t="e">
        <f>AVERAGE(#REF!,D14:K14)</f>
        <v>#REF!</v>
      </c>
      <c r="G6" s="246">
        <f>AVERAGE(D14:K14)</f>
        <v>271.43699363621562</v>
      </c>
      <c r="H6" s="247"/>
      <c r="I6" s="246">
        <f>AVERAGE(L14:O14)</f>
        <v>94.325718496683862</v>
      </c>
      <c r="J6" s="247"/>
      <c r="K6" s="246">
        <f>AVERAGE(D32:O32)</f>
        <v>734.94318181818176</v>
      </c>
      <c r="L6" s="247"/>
      <c r="M6" s="246">
        <f>AVERAGE(P32:X32)</f>
        <v>791</v>
      </c>
      <c r="N6" s="247"/>
      <c r="O6" s="235">
        <f>'0801(4度C)'!Y2</f>
        <v>0</v>
      </c>
      <c r="P6" s="235">
        <f>'0801(4度C)'!Z2</f>
        <v>0</v>
      </c>
      <c r="Q6" s="235">
        <f>'0801(4度C)'!AC2</f>
        <v>42</v>
      </c>
      <c r="R6" s="235">
        <f>'0801(4度C)'!AD2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443.7999820460866</v>
      </c>
      <c r="F7" s="241" t="e">
        <f>AVERAGE(#REF!,D15:K15)</f>
        <v>#REF!</v>
      </c>
      <c r="G7" s="242">
        <f>AVERAGE(D15:K15)</f>
        <v>240.06851350024689</v>
      </c>
      <c r="H7" s="243"/>
      <c r="I7" s="242">
        <f>AVERAGE(L15:O15)</f>
        <v>87.279509662957508</v>
      </c>
      <c r="J7" s="243"/>
      <c r="K7" s="242">
        <f>AVERAGE(D33:O33)</f>
        <v>659.98786038876426</v>
      </c>
      <c r="L7" s="243"/>
      <c r="M7" s="242">
        <f>AVERAGE(P33:X33)</f>
        <v>711.46954271373295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0.89889496255551193</v>
      </c>
      <c r="F8" s="260" t="e">
        <f>AVERAGE(D16:K16,#REF!)</f>
        <v>#REF!</v>
      </c>
      <c r="G8" s="248">
        <f>AVERAGE(D16:K16)</f>
        <v>0.89296625723573275</v>
      </c>
      <c r="H8" s="249"/>
      <c r="I8" s="248">
        <f>AVERAGE(L16:O16)</f>
        <v>0.92346079375915868</v>
      </c>
      <c r="J8" s="249"/>
      <c r="K8" s="248">
        <f>AVERAGE(D34:O34)</f>
        <v>0.89514422279080286</v>
      </c>
      <c r="L8" s="249"/>
      <c r="M8" s="248">
        <f>AVERAGE(P34:X34)</f>
        <v>0.89925584469806574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117.52</v>
      </c>
      <c r="G14" s="28">
        <v>90.909090909090907</v>
      </c>
      <c r="H14" s="28">
        <v>170.41420118343194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75.962222928340225</v>
      </c>
      <c r="F15" s="28">
        <v>106.05268220918748</v>
      </c>
      <c r="G15" s="28">
        <v>81.751646176134216</v>
      </c>
      <c r="H15" s="28">
        <v>153.73784447492906</v>
      </c>
      <c r="I15" s="28">
        <v>481.36273732758804</v>
      </c>
      <c r="J15" s="28">
        <v>541.54394788530215</v>
      </c>
      <c r="K15" s="36" t="s">
        <v>43</v>
      </c>
      <c r="L15" s="34" t="s">
        <v>43</v>
      </c>
      <c r="M15" s="30">
        <v>96.304280837823157</v>
      </c>
      <c r="N15" s="28">
        <v>78.25473848809186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0.8999872064335962</v>
      </c>
      <c r="F16" s="42">
        <f t="shared" si="0"/>
        <v>0.90242241498627884</v>
      </c>
      <c r="G16" s="42">
        <f t="shared" si="0"/>
        <v>0.89926810793747636</v>
      </c>
      <c r="H16" s="42">
        <f t="shared" si="0"/>
        <v>0.9021422123702435</v>
      </c>
      <c r="I16" s="42">
        <f t="shared" si="0"/>
        <v>0.85140435521129854</v>
      </c>
      <c r="J16" s="42">
        <f t="shared" si="0"/>
        <v>0.90257324647550352</v>
      </c>
      <c r="K16" s="43" t="s">
        <v>43</v>
      </c>
      <c r="L16" s="41" t="s">
        <v>43</v>
      </c>
      <c r="M16" s="44">
        <f>M15/M14</f>
        <v>0.94699209490526104</v>
      </c>
      <c r="N16" s="42">
        <f>N15/N14</f>
        <v>0.89992949261305633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0.59248842592592599</v>
      </c>
      <c r="F18" s="47">
        <v>0.52278935185185171</v>
      </c>
      <c r="G18" s="47">
        <v>0.54288194444444438</v>
      </c>
      <c r="H18" s="47">
        <v>0.60565972222222209</v>
      </c>
      <c r="I18" s="47">
        <v>0.44018518518518512</v>
      </c>
      <c r="J18" s="47">
        <v>0.29862268518518514</v>
      </c>
      <c r="K18" s="47" t="s">
        <v>43</v>
      </c>
      <c r="L18" s="46" t="s">
        <v>43</v>
      </c>
      <c r="M18" s="48">
        <v>0.81769675925925922</v>
      </c>
      <c r="N18" s="47">
        <v>0.8376851851851852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>
        <v>10</v>
      </c>
      <c r="F21" s="51">
        <v>5</v>
      </c>
      <c r="G21" s="51">
        <v>9</v>
      </c>
      <c r="H21" s="51">
        <v>11</v>
      </c>
      <c r="I21" s="51">
        <v>1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</v>
      </c>
      <c r="G23" s="57">
        <v>22</v>
      </c>
      <c r="H23" s="57">
        <v>21.125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287.47175095794586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751.42009957326081</v>
      </c>
      <c r="N33" s="28">
        <v>807.18884078312919</v>
      </c>
      <c r="O33" s="28">
        <v>793.87075024072101</v>
      </c>
      <c r="P33" s="27">
        <v>438.72281221747562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645.96153085316814</v>
      </c>
      <c r="W33" s="28">
        <v>990.91849385142916</v>
      </c>
      <c r="X33" s="31">
        <v>770.27533393285887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0.87838590570483466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0.91081224190698284</v>
      </c>
      <c r="N34" s="42">
        <f>N33/N32</f>
        <v>0.89687648975903245</v>
      </c>
      <c r="O34" s="42">
        <f>O33/O32</f>
        <v>0.8945022537923617</v>
      </c>
      <c r="P34" s="41">
        <f>P33/P32</f>
        <v>0.89369461748004286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0.91097138966472446</v>
      </c>
      <c r="W34" s="42">
        <f>W33/W32</f>
        <v>0.90083499441039017</v>
      </c>
      <c r="X34" s="45">
        <f>X33/X32</f>
        <v>0.89152237723710526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0.31597222222222215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0.73263888888888884</v>
      </c>
      <c r="X35" s="49">
        <v>0.73819444444444438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0.44018518518518512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0.3840162037037036</v>
      </c>
      <c r="N36" s="47">
        <v>0.48070601851851857</v>
      </c>
      <c r="O36" s="47">
        <v>0.46449074074074082</v>
      </c>
      <c r="P36" s="46">
        <v>0.75651620370370376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0.8647800925925927</v>
      </c>
      <c r="W36" s="47">
        <v>1.0899537037037033</v>
      </c>
      <c r="X36" s="49">
        <v>1.0894791666666661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3.8571428571428572</v>
      </c>
      <c r="O37" s="47">
        <v>4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681D-2569-4EF2-8745-742D60184A3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7" sqref="M47:N48"/>
      <selection activeCell="M47" sqref="M47:N48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90684</v>
      </c>
      <c r="E1" s="87" t="s">
        <v>4</v>
      </c>
      <c r="F1" s="88">
        <f>SUM(G5:G140)</f>
        <v>1799039.9099999997</v>
      </c>
      <c r="G1" s="89" t="s">
        <v>85</v>
      </c>
      <c r="H1" s="90">
        <f>L21+L38+L55+L72+L89+L106+L123+L140</f>
        <v>41.757142857142853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46235</v>
      </c>
      <c r="B2" s="294"/>
      <c r="C2" s="91" t="s">
        <v>41</v>
      </c>
      <c r="D2" s="92">
        <f>AVERAGE(N21,N38,N55,N72,N89,N106,N123,N140)</f>
        <v>685.72870155124861</v>
      </c>
      <c r="E2" s="92" t="s">
        <v>92</v>
      </c>
      <c r="F2" s="93">
        <f>F1/D1</f>
        <v>19.838559282784171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1392</v>
      </c>
      <c r="G5" s="147">
        <f t="shared" ref="G5:G9" si="0">E5*F5</f>
        <v>35690.879999999997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3216.5295511531858</v>
      </c>
      <c r="N5" s="151">
        <f>M5/L5</f>
        <v>321.6529551153186</v>
      </c>
      <c r="O5" s="153">
        <f>L5-I5</f>
        <v>0</v>
      </c>
      <c r="P5" s="154">
        <f>N5-K5</f>
        <v>-38.347044884681395</v>
      </c>
      <c r="Q5" s="155">
        <f>N5/K5</f>
        <v>0.89348043087588502</v>
      </c>
      <c r="R5" s="321">
        <f>Q21</f>
        <v>0.87838590570483466</v>
      </c>
      <c r="S5" s="156">
        <v>0.20833333333333334</v>
      </c>
      <c r="T5" s="157">
        <v>0.22635416666666669</v>
      </c>
      <c r="U5" s="158"/>
      <c r="V5" s="159">
        <v>25.965873675886648</v>
      </c>
      <c r="W5" s="160"/>
      <c r="X5" s="161"/>
      <c r="Y5" s="324"/>
      <c r="Z5" s="325"/>
      <c r="AA5" s="114">
        <f>M5-J5</f>
        <v>-383.47044884681418</v>
      </c>
      <c r="AB5" s="155">
        <f>M5/J5</f>
        <v>0.89348043087588491</v>
      </c>
      <c r="AC5" s="326">
        <f>AB21</f>
        <v>0.87838590570483466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2071</v>
      </c>
      <c r="G6" s="102">
        <f t="shared" si="0"/>
        <v>61135.92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3155.6427399099653</v>
      </c>
      <c r="N6" s="105">
        <f>M6/L6</f>
        <v>286.87661271908775</v>
      </c>
      <c r="O6" s="107">
        <f>L6-I6</f>
        <v>0</v>
      </c>
      <c r="P6" s="108">
        <f>N6-K6</f>
        <v>-40.396114553639507</v>
      </c>
      <c r="Q6" s="109">
        <f>N6/K6</f>
        <v>0.87656742775276819</v>
      </c>
      <c r="R6" s="322"/>
      <c r="S6" s="46">
        <v>0.22986111111111113</v>
      </c>
      <c r="T6" s="47">
        <v>0.25719907407407411</v>
      </c>
      <c r="U6" s="110">
        <v>5.0499999999999901</v>
      </c>
      <c r="V6" s="111">
        <v>39.377081070826577</v>
      </c>
      <c r="W6" s="112"/>
      <c r="X6" s="115"/>
      <c r="Y6" s="331"/>
      <c r="Z6" s="332"/>
      <c r="AA6" s="116">
        <f>M6-J6</f>
        <v>-444.35726009003474</v>
      </c>
      <c r="AB6" s="109">
        <f>M6/J6</f>
        <v>0.87656742775276808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2500</v>
      </c>
      <c r="G7" s="102">
        <f t="shared" si="0"/>
        <v>74625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22"/>
      <c r="S7" s="46">
        <v>0.26041666666666669</v>
      </c>
      <c r="T7" s="47">
        <v>0.29340277777777779</v>
      </c>
      <c r="U7" s="110">
        <v>4.6333333333333115</v>
      </c>
      <c r="V7" s="111">
        <v>47.503652874232543</v>
      </c>
      <c r="W7" s="112"/>
      <c r="X7" s="115"/>
      <c r="Y7" s="331"/>
      <c r="Z7" s="332"/>
      <c r="AA7" s="116">
        <f>M7-J7</f>
        <v>-442.3480948479928</v>
      </c>
      <c r="AB7" s="109">
        <f>M7/J7</f>
        <v>0.87712552920889086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2430</v>
      </c>
      <c r="G8" s="102">
        <f t="shared" si="0"/>
        <v>72900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3158.2712524265062</v>
      </c>
      <c r="N8" s="105">
        <f>M8/L8</f>
        <v>287.11556840240968</v>
      </c>
      <c r="O8" s="107">
        <f>L8-I8</f>
        <v>0</v>
      </c>
      <c r="P8" s="108">
        <f>N8-K8</f>
        <v>-40.157158870317573</v>
      </c>
      <c r="Q8" s="109">
        <f>N8/K8</f>
        <v>0.87729757011847409</v>
      </c>
      <c r="R8" s="322"/>
      <c r="S8" s="46">
        <v>0.29652777777777778</v>
      </c>
      <c r="T8" s="47">
        <v>0.3285763888888889</v>
      </c>
      <c r="U8" s="110">
        <v>5</v>
      </c>
      <c r="V8" s="111">
        <v>46.164495810162464</v>
      </c>
      <c r="W8" s="112"/>
      <c r="X8" s="115"/>
      <c r="Y8" s="331"/>
      <c r="Z8" s="332"/>
      <c r="AA8" s="116">
        <f>M8-J8</f>
        <v>-441.72874757349382</v>
      </c>
      <c r="AB8" s="109">
        <f>M8/J8</f>
        <v>0.87729757011847398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1034</v>
      </c>
      <c r="G9" s="102">
        <f t="shared" si="0"/>
        <v>29541.38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3122.8508540453586</v>
      </c>
      <c r="N9" s="105">
        <f>M9/L9</f>
        <v>260.23757117044653</v>
      </c>
      <c r="O9" s="107">
        <f>L9-I9</f>
        <v>0</v>
      </c>
      <c r="P9" s="108">
        <f>N9-K9</f>
        <v>-39.762428829553471</v>
      </c>
      <c r="Q9" s="109">
        <f>N9/K9</f>
        <v>0.86745857056815512</v>
      </c>
      <c r="R9" s="322"/>
      <c r="S9" s="46">
        <v>0.33263888888888887</v>
      </c>
      <c r="T9" s="47">
        <v>0.34642361111111108</v>
      </c>
      <c r="U9" s="110">
        <v>5.8499999999999552</v>
      </c>
      <c r="V9" s="111">
        <v>19.866462696940214</v>
      </c>
      <c r="W9" s="112"/>
      <c r="X9" s="115"/>
      <c r="Y9" s="331"/>
      <c r="Z9" s="332"/>
      <c r="AA9" s="116">
        <f>M9-J9</f>
        <v>-477.14914595464143</v>
      </c>
      <c r="AB9" s="109">
        <f>M9/J9</f>
        <v>0.86745857056815512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3162.1892605374046</v>
      </c>
      <c r="N21" s="137">
        <f>M21/L21</f>
        <v>287.47175095794586</v>
      </c>
      <c r="O21" s="138">
        <f>L21-I21</f>
        <v>0</v>
      </c>
      <c r="P21" s="139">
        <f>N21-K21</f>
        <v>-39.800976314781394</v>
      </c>
      <c r="Q21" s="140">
        <f>N21/K21</f>
        <v>0.87838590570483466</v>
      </c>
      <c r="R21" s="323"/>
      <c r="S21" s="141">
        <v>0.20833333333333334</v>
      </c>
      <c r="T21" s="142">
        <v>0.44018518518518512</v>
      </c>
      <c r="U21" s="143"/>
      <c r="V21" s="165"/>
      <c r="W21" s="166"/>
      <c r="X21" s="137"/>
      <c r="Y21" s="353"/>
      <c r="Z21" s="354"/>
      <c r="AA21" s="167">
        <f>M21-J21</f>
        <v>-437.81073946259539</v>
      </c>
      <c r="AB21" s="140">
        <f>M21/J21</f>
        <v>0.87838590570483466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1763</v>
      </c>
      <c r="G22" s="147">
        <f t="shared" ref="G22:G24" si="5">E22*F22</f>
        <v>32668.390000000003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3004.0056832401647</v>
      </c>
      <c r="N22" s="151">
        <f>M22/L22</f>
        <v>1001.3352277467216</v>
      </c>
      <c r="O22" s="153">
        <f>L22-I22</f>
        <v>0</v>
      </c>
      <c r="P22" s="154">
        <f>N22-K22</f>
        <v>-98.664772253278443</v>
      </c>
      <c r="Q22" s="155">
        <f>N22/K22</f>
        <v>0.91030475249701959</v>
      </c>
      <c r="R22" s="321">
        <f>Q38</f>
        <v>0.91081224190698284</v>
      </c>
      <c r="S22" s="156">
        <v>0.31597222222222215</v>
      </c>
      <c r="T22" s="157">
        <v>0.34041666666666659</v>
      </c>
      <c r="U22" s="158"/>
      <c r="V22" s="111">
        <v>35.212982648522868</v>
      </c>
      <c r="W22" s="160"/>
      <c r="X22" s="161"/>
      <c r="Y22" s="324"/>
      <c r="Z22" s="325"/>
      <c r="AA22" s="114">
        <f>M22-J22</f>
        <v>-295.99431675983533</v>
      </c>
      <c r="AB22" s="155">
        <f>M22/J22</f>
        <v>0.91030475249701959</v>
      </c>
      <c r="AC22" s="326">
        <f>AB38</f>
        <v>0.91081224190698284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534</v>
      </c>
      <c r="G23" s="102">
        <f t="shared" si="5"/>
        <v>11897.52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3007.8328785148701</v>
      </c>
      <c r="N23" s="105">
        <f>M23/L23</f>
        <v>601.56657570297398</v>
      </c>
      <c r="O23" s="107">
        <f>L23-I23</f>
        <v>0</v>
      </c>
      <c r="P23" s="108">
        <f>N23-K23</f>
        <v>-58.433424297026022</v>
      </c>
      <c r="Q23" s="109">
        <f>N23/K23</f>
        <v>0.9114645086408697</v>
      </c>
      <c r="R23" s="322"/>
      <c r="S23" s="46">
        <v>0.34374999999999994</v>
      </c>
      <c r="T23" s="47">
        <v>0.35114583333333327</v>
      </c>
      <c r="U23" s="110">
        <v>4.8000000000000309</v>
      </c>
      <c r="V23" s="111">
        <v>10.652187569616528</v>
      </c>
      <c r="W23" s="112"/>
      <c r="X23" s="115"/>
      <c r="Y23" s="331"/>
      <c r="Z23" s="332"/>
      <c r="AA23" s="116">
        <f>M23-J23</f>
        <v>-292.16712148512988</v>
      </c>
      <c r="AB23" s="109">
        <f>M23/J23</f>
        <v>0.9114645086408697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2103</v>
      </c>
      <c r="G24" s="102">
        <f t="shared" si="5"/>
        <v>37622.67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3005.2026331240959</v>
      </c>
      <c r="N24" s="105">
        <f>M24/L24</f>
        <v>751.30065828102397</v>
      </c>
      <c r="O24" s="107">
        <f>L24-I24</f>
        <v>0</v>
      </c>
      <c r="P24" s="108">
        <f>N24-K24</f>
        <v>-73.699341718976029</v>
      </c>
      <c r="Q24" s="109">
        <f>N24/K24</f>
        <v>0.91066746458305936</v>
      </c>
      <c r="R24" s="322"/>
      <c r="S24" s="46">
        <v>0.35486111111111102</v>
      </c>
      <c r="T24" s="47">
        <v>0.3840162037037036</v>
      </c>
      <c r="U24" s="110">
        <v>5.349999999999957</v>
      </c>
      <c r="V24" s="111">
        <v>41.987185359553607</v>
      </c>
      <c r="W24" s="112"/>
      <c r="X24" s="115"/>
      <c r="Y24" s="331"/>
      <c r="Z24" s="332"/>
      <c r="AA24" s="116">
        <f>M24-J24</f>
        <v>-294.79736687590412</v>
      </c>
      <c r="AB24" s="109">
        <f>M24/J24</f>
        <v>0.91066746458305936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3005.6803982930433</v>
      </c>
      <c r="N38" s="137">
        <f t="shared" ref="N38:N45" si="10">M38/L38</f>
        <v>751.42009957326081</v>
      </c>
      <c r="O38" s="138">
        <f t="shared" ref="O38:O45" si="11">L38-I38</f>
        <v>0</v>
      </c>
      <c r="P38" s="139">
        <f t="shared" ref="P38:P45" si="12">N38-K38</f>
        <v>-73.579900426739187</v>
      </c>
      <c r="Q38" s="140">
        <f t="shared" ref="Q38:Q45" si="13">N38/K38</f>
        <v>0.91081224190698284</v>
      </c>
      <c r="R38" s="323"/>
      <c r="S38" s="141">
        <v>0.31597222222222215</v>
      </c>
      <c r="T38" s="142">
        <v>0.3840162037037036</v>
      </c>
      <c r="U38" s="143"/>
      <c r="V38" s="165"/>
      <c r="W38" s="98"/>
      <c r="X38" s="68"/>
      <c r="Y38" s="353"/>
      <c r="Z38" s="354"/>
      <c r="AA38" s="167">
        <f t="shared" ref="AA38:AA45" si="14">M38-J38</f>
        <v>-294.31960170695675</v>
      </c>
      <c r="AB38" s="140">
        <f t="shared" ref="AB38:AB45" si="15">M38/J38</f>
        <v>0.91081224190698284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607</v>
      </c>
      <c r="G39" s="147">
        <f t="shared" ref="G39:G45" si="16">E39*F39</f>
        <v>15193.210000000001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5" si="17">F39/V39*60</f>
        <v>3210.5895508629173</v>
      </c>
      <c r="N39" s="151">
        <f t="shared" si="10"/>
        <v>642.11791017258349</v>
      </c>
      <c r="O39" s="153">
        <f t="shared" si="11"/>
        <v>0</v>
      </c>
      <c r="P39" s="154">
        <f t="shared" si="12"/>
        <v>-77.882089827416507</v>
      </c>
      <c r="Q39" s="155">
        <f t="shared" si="13"/>
        <v>0.89183043079525481</v>
      </c>
      <c r="R39" s="321">
        <f>Q55</f>
        <v>0.89687648975903245</v>
      </c>
      <c r="S39" s="156">
        <v>0.25</v>
      </c>
      <c r="T39" s="157">
        <v>0.25787037037037036</v>
      </c>
      <c r="U39" s="158"/>
      <c r="V39" s="159">
        <v>11.34371099856452</v>
      </c>
      <c r="W39" s="160"/>
      <c r="X39" s="161"/>
      <c r="Y39" s="324"/>
      <c r="Z39" s="325"/>
      <c r="AA39" s="114">
        <f t="shared" si="14"/>
        <v>-389.41044913708265</v>
      </c>
      <c r="AB39" s="155">
        <f t="shared" si="15"/>
        <v>0.89183043079525481</v>
      </c>
      <c r="AC39" s="326">
        <f>AB55</f>
        <v>0.89687648975903245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827</v>
      </c>
      <c r="G40" s="102">
        <f t="shared" si="16"/>
        <v>15034.86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3211.6818073801178</v>
      </c>
      <c r="N40" s="105">
        <f t="shared" si="10"/>
        <v>1070.5606024600393</v>
      </c>
      <c r="O40" s="107">
        <f t="shared" si="11"/>
        <v>0</v>
      </c>
      <c r="P40" s="108">
        <f t="shared" si="12"/>
        <v>-129.43939753996074</v>
      </c>
      <c r="Q40" s="109">
        <f t="shared" si="13"/>
        <v>0.8921338353833661</v>
      </c>
      <c r="R40" s="322"/>
      <c r="S40" s="46">
        <v>0.26805555555555555</v>
      </c>
      <c r="T40" s="47">
        <v>0.27877314814814813</v>
      </c>
      <c r="U40" s="110">
        <v>14.666666666666668</v>
      </c>
      <c r="V40" s="111">
        <v>15.449849323796116</v>
      </c>
      <c r="W40" s="112"/>
      <c r="X40" s="115"/>
      <c r="Y40" s="331"/>
      <c r="Z40" s="332"/>
      <c r="AA40" s="116">
        <f t="shared" si="14"/>
        <v>-388.31819261988221</v>
      </c>
      <c r="AB40" s="109">
        <f t="shared" si="15"/>
        <v>0.8921338353833661</v>
      </c>
      <c r="AC40" s="327"/>
    </row>
    <row r="41" spans="1:29" ht="15.75" customHeight="1">
      <c r="A41" s="317"/>
      <c r="B41" s="99" t="s">
        <v>121</v>
      </c>
      <c r="C41" s="329" t="s">
        <v>232</v>
      </c>
      <c r="D41" s="330"/>
      <c r="E41" s="100">
        <v>23.72</v>
      </c>
      <c r="F41" s="101">
        <v>414</v>
      </c>
      <c r="G41" s="102">
        <f t="shared" si="16"/>
        <v>9820.08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3209.5911494849397</v>
      </c>
      <c r="N41" s="105">
        <f t="shared" si="10"/>
        <v>641.9182298969879</v>
      </c>
      <c r="O41" s="107">
        <f t="shared" si="11"/>
        <v>0</v>
      </c>
      <c r="P41" s="108">
        <f t="shared" si="12"/>
        <v>-78.081770103012104</v>
      </c>
      <c r="Q41" s="109">
        <f t="shared" si="13"/>
        <v>0.89155309707914987</v>
      </c>
      <c r="R41" s="322"/>
      <c r="S41" s="46">
        <v>0.28888888888888892</v>
      </c>
      <c r="T41" s="47">
        <v>0.29425925925925928</v>
      </c>
      <c r="U41" s="110">
        <v>14.566666666666732</v>
      </c>
      <c r="V41" s="111">
        <v>7.7393034947726003</v>
      </c>
      <c r="W41" s="112"/>
      <c r="X41" s="115"/>
      <c r="Y41" s="331"/>
      <c r="Z41" s="332"/>
      <c r="AA41" s="116">
        <f t="shared" si="14"/>
        <v>-390.40885051506029</v>
      </c>
      <c r="AB41" s="109">
        <f t="shared" si="15"/>
        <v>0.89155309707914987</v>
      </c>
      <c r="AC41" s="327"/>
    </row>
    <row r="42" spans="1:29" ht="15.75" customHeight="1">
      <c r="A42" s="317"/>
      <c r="B42" s="99" t="s">
        <v>121</v>
      </c>
      <c r="C42" s="329" t="s">
        <v>130</v>
      </c>
      <c r="D42" s="330"/>
      <c r="E42" s="100">
        <v>24.82</v>
      </c>
      <c r="F42" s="101">
        <v>898</v>
      </c>
      <c r="G42" s="102">
        <f t="shared" si="16"/>
        <v>22288.36</v>
      </c>
      <c r="H42" s="26"/>
      <c r="I42" s="103">
        <v>5</v>
      </c>
      <c r="J42" s="104">
        <v>3600</v>
      </c>
      <c r="K42" s="105">
        <f t="shared" si="18"/>
        <v>720</v>
      </c>
      <c r="L42" s="106">
        <v>5</v>
      </c>
      <c r="M42" s="104">
        <f t="shared" si="17"/>
        <v>3207.2876587174351</v>
      </c>
      <c r="N42" s="105">
        <f t="shared" si="10"/>
        <v>641.45753174348704</v>
      </c>
      <c r="O42" s="107">
        <f t="shared" si="11"/>
        <v>0</v>
      </c>
      <c r="P42" s="108">
        <f t="shared" si="12"/>
        <v>-78.542468256512961</v>
      </c>
      <c r="Q42" s="109">
        <f t="shared" si="13"/>
        <v>0.89091323853262083</v>
      </c>
      <c r="R42" s="322"/>
      <c r="S42" s="46">
        <v>0.3041666666666667</v>
      </c>
      <c r="T42" s="47">
        <v>0.31582175925925926</v>
      </c>
      <c r="U42" s="110">
        <v>15</v>
      </c>
      <c r="V42" s="111">
        <v>16.799241519092838</v>
      </c>
      <c r="W42" s="112"/>
      <c r="X42" s="115"/>
      <c r="Y42" s="331"/>
      <c r="Z42" s="332"/>
      <c r="AA42" s="116">
        <f t="shared" si="14"/>
        <v>-392.71234128256492</v>
      </c>
      <c r="AB42" s="109">
        <f t="shared" si="15"/>
        <v>0.89091323853262083</v>
      </c>
      <c r="AC42" s="327"/>
    </row>
    <row r="43" spans="1:29" ht="15.75" customHeight="1">
      <c r="A43" s="317"/>
      <c r="B43" s="99" t="s">
        <v>121</v>
      </c>
      <c r="C43" s="329" t="s">
        <v>131</v>
      </c>
      <c r="D43" s="330"/>
      <c r="E43" s="100">
        <v>17.07</v>
      </c>
      <c r="F43" s="101">
        <v>1536</v>
      </c>
      <c r="G43" s="102">
        <f t="shared" si="16"/>
        <v>26219.52</v>
      </c>
      <c r="H43" s="13"/>
      <c r="I43" s="103">
        <v>3</v>
      </c>
      <c r="J43" s="104">
        <v>3300</v>
      </c>
      <c r="K43" s="105">
        <f t="shared" si="18"/>
        <v>1100</v>
      </c>
      <c r="L43" s="106">
        <v>3</v>
      </c>
      <c r="M43" s="104">
        <f t="shared" si="17"/>
        <v>3011.0471831917839</v>
      </c>
      <c r="N43" s="105">
        <f t="shared" si="10"/>
        <v>1003.6823943972613</v>
      </c>
      <c r="O43" s="107">
        <f t="shared" si="11"/>
        <v>0</v>
      </c>
      <c r="P43" s="108">
        <f t="shared" si="12"/>
        <v>-96.317605602738695</v>
      </c>
      <c r="Q43" s="109">
        <f t="shared" si="13"/>
        <v>0.91243854036114669</v>
      </c>
      <c r="R43" s="322"/>
      <c r="S43" s="46">
        <v>0.32569444444444451</v>
      </c>
      <c r="T43" s="47">
        <v>0.3469444444444445</v>
      </c>
      <c r="U43" s="110">
        <v>15</v>
      </c>
      <c r="V43" s="111">
        <v>30.607291879866242</v>
      </c>
      <c r="W43" s="112"/>
      <c r="X43" s="115"/>
      <c r="Y43" s="331"/>
      <c r="Z43" s="332"/>
      <c r="AA43" s="116">
        <f t="shared" si="14"/>
        <v>-288.95281680821608</v>
      </c>
      <c r="AB43" s="109">
        <f t="shared" si="15"/>
        <v>0.91243854036114669</v>
      </c>
      <c r="AC43" s="327"/>
    </row>
    <row r="44" spans="1:29" ht="15.75" customHeight="1">
      <c r="A44" s="317"/>
      <c r="B44" s="99" t="s">
        <v>121</v>
      </c>
      <c r="C44" s="329" t="s">
        <v>132</v>
      </c>
      <c r="D44" s="330"/>
      <c r="E44" s="100">
        <v>14.03</v>
      </c>
      <c r="F44" s="101">
        <v>3554</v>
      </c>
      <c r="G44" s="120">
        <f t="shared" si="16"/>
        <v>49862.619999999995</v>
      </c>
      <c r="H44" s="121"/>
      <c r="I44" s="103">
        <v>3</v>
      </c>
      <c r="J44" s="104">
        <v>3000</v>
      </c>
      <c r="K44" s="105">
        <f t="shared" si="18"/>
        <v>1000</v>
      </c>
      <c r="L44" s="106">
        <v>3</v>
      </c>
      <c r="M44" s="104">
        <f t="shared" si="17"/>
        <v>2735.3161146167417</v>
      </c>
      <c r="N44" s="105">
        <f t="shared" si="10"/>
        <v>911.77203820558054</v>
      </c>
      <c r="O44" s="107">
        <f t="shared" si="11"/>
        <v>0</v>
      </c>
      <c r="P44" s="108">
        <f t="shared" si="12"/>
        <v>-88.227961794419457</v>
      </c>
      <c r="Q44" s="109">
        <f t="shared" si="13"/>
        <v>0.9117720382055805</v>
      </c>
      <c r="R44" s="322"/>
      <c r="S44" s="46">
        <v>0.35694444444444451</v>
      </c>
      <c r="T44" s="119">
        <v>0.41107638888888898</v>
      </c>
      <c r="U44" s="110">
        <v>15</v>
      </c>
      <c r="V44" s="111">
        <v>77.958082746088039</v>
      </c>
      <c r="W44" s="112"/>
      <c r="X44" s="115"/>
      <c r="Y44" s="331"/>
      <c r="Z44" s="332"/>
      <c r="AA44" s="116">
        <f t="shared" si="14"/>
        <v>-264.68388538325826</v>
      </c>
      <c r="AB44" s="109">
        <f t="shared" si="15"/>
        <v>0.91177203820558061</v>
      </c>
      <c r="AC44" s="327"/>
    </row>
    <row r="45" spans="1:29" ht="15.75" customHeight="1">
      <c r="A45" s="317"/>
      <c r="B45" s="99" t="s">
        <v>121</v>
      </c>
      <c r="C45" s="329" t="s">
        <v>133</v>
      </c>
      <c r="D45" s="330"/>
      <c r="E45" s="100">
        <v>14.28</v>
      </c>
      <c r="F45" s="101">
        <v>4611</v>
      </c>
      <c r="G45" s="120">
        <f t="shared" si="16"/>
        <v>65845.08</v>
      </c>
      <c r="H45" s="61"/>
      <c r="I45" s="103">
        <v>3</v>
      </c>
      <c r="J45" s="104">
        <v>3600</v>
      </c>
      <c r="K45" s="105">
        <f t="shared" si="18"/>
        <v>1200</v>
      </c>
      <c r="L45" s="106">
        <v>3</v>
      </c>
      <c r="M45" s="104">
        <f t="shared" si="17"/>
        <v>3208.5852368905489</v>
      </c>
      <c r="N45" s="105">
        <f t="shared" si="10"/>
        <v>1069.5284122968496</v>
      </c>
      <c r="O45" s="122">
        <f t="shared" si="11"/>
        <v>0</v>
      </c>
      <c r="P45" s="123">
        <f t="shared" si="12"/>
        <v>-130.47158770315036</v>
      </c>
      <c r="Q45" s="124">
        <f t="shared" si="13"/>
        <v>0.89127367691404136</v>
      </c>
      <c r="R45" s="322"/>
      <c r="S45" s="46">
        <v>0.42083333333333339</v>
      </c>
      <c r="T45" s="119">
        <v>0.48070601851851857</v>
      </c>
      <c r="U45" s="110">
        <v>15</v>
      </c>
      <c r="V45" s="111">
        <v>86.224918328213761</v>
      </c>
      <c r="W45" s="112"/>
      <c r="X45" s="115"/>
      <c r="Y45" s="331"/>
      <c r="Z45" s="332"/>
      <c r="AA45" s="116">
        <f t="shared" si="14"/>
        <v>-391.41476310945109</v>
      </c>
      <c r="AB45" s="109">
        <f t="shared" si="15"/>
        <v>0.89127367691404136</v>
      </c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3.8571428571428572</v>
      </c>
      <c r="J55" s="136">
        <f t="shared" si="19"/>
        <v>3471.4285714285716</v>
      </c>
      <c r="K55" s="137">
        <f t="shared" ref="K55" si="20">J55/I55</f>
        <v>900</v>
      </c>
      <c r="L55" s="135">
        <f t="shared" ref="L55:M55" si="21">AVERAGE(L39:L54)</f>
        <v>3.8571428571428572</v>
      </c>
      <c r="M55" s="136">
        <f t="shared" si="21"/>
        <v>3113.4426715920699</v>
      </c>
      <c r="N55" s="137">
        <f t="shared" ref="N55:N61" si="22">M55/L55</f>
        <v>807.18884078312919</v>
      </c>
      <c r="O55" s="138">
        <f t="shared" ref="O55:O61" si="23">L55-I55</f>
        <v>0</v>
      </c>
      <c r="P55" s="139">
        <f t="shared" ref="P55:P61" si="24">N55-K55</f>
        <v>-92.811159216870806</v>
      </c>
      <c r="Q55" s="140">
        <f t="shared" ref="Q55:Q61" si="25">N55/K55</f>
        <v>0.89687648975903245</v>
      </c>
      <c r="R55" s="323"/>
      <c r="S55" s="141">
        <v>0.25</v>
      </c>
      <c r="T55" s="142">
        <v>0.48070601851851857</v>
      </c>
      <c r="U55" s="143"/>
      <c r="V55" s="165"/>
      <c r="W55" s="98"/>
      <c r="X55" s="68"/>
      <c r="Y55" s="353"/>
      <c r="Z55" s="354"/>
      <c r="AA55" s="167">
        <f t="shared" ref="AA55:AA61" si="26">M55-J55</f>
        <v>-357.98589983650163</v>
      </c>
      <c r="AB55" s="140">
        <f t="shared" ref="AB55:AB61" si="27">M55/J55</f>
        <v>0.89687648975903245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1091</v>
      </c>
      <c r="G56" s="147">
        <f t="shared" ref="G56:G61" si="28">E56*F56</f>
        <v>22605.52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3211.1583578594532</v>
      </c>
      <c r="N56" s="151">
        <f t="shared" si="22"/>
        <v>1070.3861192864845</v>
      </c>
      <c r="O56" s="153">
        <f t="shared" si="23"/>
        <v>0</v>
      </c>
      <c r="P56" s="154">
        <f t="shared" si="24"/>
        <v>-129.61388071351553</v>
      </c>
      <c r="Q56" s="155">
        <f t="shared" si="25"/>
        <v>0.89198843273873707</v>
      </c>
      <c r="R56" s="321">
        <f>Q72</f>
        <v>0.8945022537923617</v>
      </c>
      <c r="S56" s="156">
        <v>0.25</v>
      </c>
      <c r="T56" s="157">
        <v>0.26415509259259257</v>
      </c>
      <c r="U56" s="158"/>
      <c r="V56" s="159">
        <v>20.38516719045753</v>
      </c>
      <c r="W56" s="157"/>
      <c r="X56" s="168"/>
      <c r="Y56" s="324"/>
      <c r="Z56" s="325"/>
      <c r="AA56" s="114">
        <f t="shared" si="26"/>
        <v>-388.84164214054681</v>
      </c>
      <c r="AB56" s="155">
        <f t="shared" si="27"/>
        <v>0.89198843273873696</v>
      </c>
      <c r="AC56" s="326">
        <f>AB72</f>
        <v>0.8945022537923617</v>
      </c>
    </row>
    <row r="57" spans="1:29" ht="15.75" customHeight="1">
      <c r="A57" s="356"/>
      <c r="B57" s="99" t="s">
        <v>121</v>
      </c>
      <c r="C57" s="329" t="s">
        <v>135</v>
      </c>
      <c r="D57" s="330"/>
      <c r="E57" s="100">
        <v>30</v>
      </c>
      <c r="F57" s="101">
        <v>1357</v>
      </c>
      <c r="G57" s="102">
        <f t="shared" si="28"/>
        <v>40710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3207.7511032386433</v>
      </c>
      <c r="N57" s="105">
        <f t="shared" si="22"/>
        <v>801.93777580966082</v>
      </c>
      <c r="O57" s="107">
        <f t="shared" si="23"/>
        <v>0</v>
      </c>
      <c r="P57" s="108">
        <f t="shared" si="24"/>
        <v>-98.06222419033918</v>
      </c>
      <c r="Q57" s="109">
        <f t="shared" si="25"/>
        <v>0.89104197312184541</v>
      </c>
      <c r="R57" s="322"/>
      <c r="S57" s="46">
        <v>0.27430555555555558</v>
      </c>
      <c r="T57" s="47">
        <v>0.29192129629629632</v>
      </c>
      <c r="U57" s="110">
        <v>14.61666666666674</v>
      </c>
      <c r="V57" s="111">
        <v>25.382268567469552</v>
      </c>
      <c r="W57" s="112"/>
      <c r="X57" s="13"/>
      <c r="Y57" s="331"/>
      <c r="Z57" s="332"/>
      <c r="AA57" s="116">
        <f t="shared" si="26"/>
        <v>-392.24889676135672</v>
      </c>
      <c r="AB57" s="109">
        <f t="shared" si="27"/>
        <v>0.89104197312184541</v>
      </c>
      <c r="AC57" s="327"/>
    </row>
    <row r="58" spans="1:29" ht="15.75" customHeight="1">
      <c r="A58" s="356"/>
      <c r="B58" s="99" t="s">
        <v>121</v>
      </c>
      <c r="C58" s="329" t="s">
        <v>136</v>
      </c>
      <c r="D58" s="330"/>
      <c r="E58" s="100">
        <v>30</v>
      </c>
      <c r="F58" s="101">
        <v>1829</v>
      </c>
      <c r="G58" s="102">
        <f t="shared" si="28"/>
        <v>54870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3009.4251217523929</v>
      </c>
      <c r="N58" s="105">
        <f t="shared" si="22"/>
        <v>752.35628043809822</v>
      </c>
      <c r="O58" s="107">
        <f t="shared" si="23"/>
        <v>0</v>
      </c>
      <c r="P58" s="108">
        <f t="shared" si="24"/>
        <v>-72.643719561901776</v>
      </c>
      <c r="Q58" s="109">
        <f t="shared" si="25"/>
        <v>0.91194700659163419</v>
      </c>
      <c r="R58" s="322"/>
      <c r="S58" s="46">
        <v>0.30208333333333337</v>
      </c>
      <c r="T58" s="47">
        <v>0.32739583333333339</v>
      </c>
      <c r="U58" s="110">
        <v>14.633333333333356</v>
      </c>
      <c r="V58" s="111">
        <v>36.465436274453054</v>
      </c>
      <c r="W58" s="112"/>
      <c r="X58" s="13"/>
      <c r="Y58" s="331"/>
      <c r="Z58" s="332"/>
      <c r="AA58" s="116">
        <f t="shared" si="26"/>
        <v>-290.5748782476071</v>
      </c>
      <c r="AB58" s="109">
        <f t="shared" si="27"/>
        <v>0.91194700659163419</v>
      </c>
      <c r="AC58" s="327"/>
    </row>
    <row r="59" spans="1:29" ht="15.75" customHeight="1">
      <c r="A59" s="356"/>
      <c r="B59" s="99" t="s">
        <v>121</v>
      </c>
      <c r="C59" s="329" t="s">
        <v>137</v>
      </c>
      <c r="D59" s="330"/>
      <c r="E59" s="100">
        <v>27.48</v>
      </c>
      <c r="F59" s="101">
        <v>2817</v>
      </c>
      <c r="G59" s="102">
        <f t="shared" si="28"/>
        <v>77411.16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3208.6858765915904</v>
      </c>
      <c r="N59" s="105">
        <f t="shared" si="22"/>
        <v>641.73717531831812</v>
      </c>
      <c r="O59" s="107">
        <f t="shared" si="23"/>
        <v>0</v>
      </c>
      <c r="P59" s="108">
        <f t="shared" si="24"/>
        <v>-78.262824681681877</v>
      </c>
      <c r="Q59" s="109">
        <f t="shared" si="25"/>
        <v>0.89130163238655291</v>
      </c>
      <c r="R59" s="322"/>
      <c r="S59" s="46">
        <v>0.33750000000000008</v>
      </c>
      <c r="T59" s="47">
        <v>0.37407407407407417</v>
      </c>
      <c r="U59" s="110">
        <v>14.550000000000036</v>
      </c>
      <c r="V59" s="111">
        <v>52.675770237609115</v>
      </c>
      <c r="W59" s="112"/>
      <c r="X59" s="115"/>
      <c r="Y59" s="331"/>
      <c r="Z59" s="332"/>
      <c r="AA59" s="116">
        <f t="shared" si="26"/>
        <v>-391.31412340840961</v>
      </c>
      <c r="AB59" s="109">
        <f t="shared" si="27"/>
        <v>0.89130163238655291</v>
      </c>
      <c r="AC59" s="327"/>
    </row>
    <row r="60" spans="1:29" ht="15.75" customHeight="1">
      <c r="A60" s="357"/>
      <c r="B60" s="99" t="s">
        <v>121</v>
      </c>
      <c r="C60" s="329" t="s">
        <v>138</v>
      </c>
      <c r="D60" s="330"/>
      <c r="E60" s="100">
        <v>18.18</v>
      </c>
      <c r="F60" s="101">
        <v>1508</v>
      </c>
      <c r="G60" s="102">
        <f t="shared" si="28"/>
        <v>27415.439999999999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3208.5017186658933</v>
      </c>
      <c r="N60" s="105">
        <f t="shared" si="22"/>
        <v>1069.500572888631</v>
      </c>
      <c r="O60" s="107">
        <f t="shared" si="23"/>
        <v>0</v>
      </c>
      <c r="P60" s="108">
        <f t="shared" si="24"/>
        <v>-130.49942711136896</v>
      </c>
      <c r="Q60" s="109">
        <f t="shared" si="25"/>
        <v>0.89125047740719254</v>
      </c>
      <c r="R60" s="322"/>
      <c r="S60" s="46">
        <v>0.38402777777777786</v>
      </c>
      <c r="T60" s="47">
        <v>0.4036111111111112</v>
      </c>
      <c r="U60" s="110">
        <v>15</v>
      </c>
      <c r="V60" s="111">
        <v>28.200078395975403</v>
      </c>
      <c r="W60" s="112"/>
      <c r="X60" s="115"/>
      <c r="Y60" s="331"/>
      <c r="Z60" s="332"/>
      <c r="AA60" s="116">
        <f t="shared" si="26"/>
        <v>-391.49828133410665</v>
      </c>
      <c r="AB60" s="109">
        <f t="shared" si="27"/>
        <v>0.89125047740719254</v>
      </c>
      <c r="AC60" s="327"/>
    </row>
    <row r="61" spans="1:29" ht="15.75" customHeight="1">
      <c r="A61" s="357"/>
      <c r="B61" s="99" t="s">
        <v>121</v>
      </c>
      <c r="C61" s="329" t="s">
        <v>139</v>
      </c>
      <c r="D61" s="330"/>
      <c r="E61" s="100">
        <v>16.66</v>
      </c>
      <c r="F61" s="101">
        <v>3896</v>
      </c>
      <c r="G61" s="120">
        <f t="shared" si="28"/>
        <v>64907.360000000001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3207.3758276693325</v>
      </c>
      <c r="N61" s="105">
        <f t="shared" si="22"/>
        <v>641.47516553386652</v>
      </c>
      <c r="O61" s="107">
        <f t="shared" si="23"/>
        <v>0</v>
      </c>
      <c r="P61" s="108">
        <f t="shared" si="24"/>
        <v>-78.524834466133484</v>
      </c>
      <c r="Q61" s="109">
        <f t="shared" si="25"/>
        <v>0.8909377299081479</v>
      </c>
      <c r="R61" s="322"/>
      <c r="S61" s="46">
        <v>0.41388888888888897</v>
      </c>
      <c r="T61" s="119">
        <v>0.46449074074074082</v>
      </c>
      <c r="U61" s="110">
        <v>14.799999999999995</v>
      </c>
      <c r="V61" s="111">
        <v>72.88201088983817</v>
      </c>
      <c r="W61" s="112"/>
      <c r="X61" s="49"/>
      <c r="Y61" s="331"/>
      <c r="Z61" s="332"/>
      <c r="AA61" s="116">
        <f t="shared" si="26"/>
        <v>-392.62417233066753</v>
      </c>
      <c r="AB61" s="109">
        <f t="shared" si="27"/>
        <v>0.8909377299081479</v>
      </c>
      <c r="AC61" s="327"/>
    </row>
    <row r="62" spans="1:29" ht="15.75" customHeight="1">
      <c r="A62" s="357"/>
      <c r="B62" s="99"/>
      <c r="C62" s="329"/>
      <c r="D62" s="330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22"/>
      <c r="S62" s="46"/>
      <c r="T62" s="119"/>
      <c r="U62" s="110"/>
      <c r="V62" s="111"/>
      <c r="W62" s="112"/>
      <c r="X62" s="115"/>
      <c r="Y62" s="331"/>
      <c r="Z62" s="332"/>
      <c r="AA62" s="116"/>
      <c r="AB62" s="109"/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3175.483000962884</v>
      </c>
      <c r="N72" s="137">
        <f>M72/L72</f>
        <v>793.87075024072101</v>
      </c>
      <c r="O72" s="138">
        <f>L72-I72</f>
        <v>0</v>
      </c>
      <c r="P72" s="139">
        <f>N72-K72</f>
        <v>-93.629249759278991</v>
      </c>
      <c r="Q72" s="140">
        <f>N72/K72</f>
        <v>0.8945022537923617</v>
      </c>
      <c r="R72" s="323"/>
      <c r="S72" s="141">
        <v>0.25</v>
      </c>
      <c r="T72" s="142">
        <v>0.46449074074074082</v>
      </c>
      <c r="U72" s="143"/>
      <c r="V72" s="165"/>
      <c r="W72" s="166"/>
      <c r="X72" s="137"/>
      <c r="Y72" s="353"/>
      <c r="Z72" s="354"/>
      <c r="AA72" s="167">
        <f>M72-J72</f>
        <v>-374.51699903711597</v>
      </c>
      <c r="AB72" s="140">
        <f>M72/J72</f>
        <v>0.8945022537923617</v>
      </c>
      <c r="AC72" s="328"/>
    </row>
    <row r="73" spans="1:29" ht="15.75" customHeight="1">
      <c r="A73" s="316" t="s">
        <v>140</v>
      </c>
      <c r="B73" s="113" t="s">
        <v>121</v>
      </c>
      <c r="C73" s="319" t="s">
        <v>141</v>
      </c>
      <c r="D73" s="320"/>
      <c r="E73" s="146">
        <v>28.57</v>
      </c>
      <c r="F73" s="96">
        <v>1316</v>
      </c>
      <c r="G73" s="147">
        <f t="shared" ref="G73:G75" si="33">E73*F73</f>
        <v>37598.120000000003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3120.5863693009533</v>
      </c>
      <c r="N73" s="151">
        <f>M73/L73</f>
        <v>260.04886410841277</v>
      </c>
      <c r="O73" s="153">
        <f>L73-I73</f>
        <v>0</v>
      </c>
      <c r="P73" s="154">
        <f>N73-K73</f>
        <v>-39.951135891587228</v>
      </c>
      <c r="Q73" s="155">
        <f>N73/K73</f>
        <v>0.8668295470280426</v>
      </c>
      <c r="R73" s="321">
        <f>Q89</f>
        <v>0.89369461748004286</v>
      </c>
      <c r="S73" s="156">
        <v>0.70833333333333337</v>
      </c>
      <c r="T73" s="157">
        <v>0.72590277777777779</v>
      </c>
      <c r="U73" s="158"/>
      <c r="V73" s="159">
        <v>25.302936902107898</v>
      </c>
      <c r="W73" s="157"/>
      <c r="X73" s="168"/>
      <c r="Y73" s="324"/>
      <c r="Z73" s="325"/>
      <c r="AA73" s="114">
        <f>M73-J73</f>
        <v>-479.41363069904673</v>
      </c>
      <c r="AB73" s="155">
        <f>M73/J73</f>
        <v>0.8668295470280426</v>
      </c>
      <c r="AC73" s="326">
        <f>AB89</f>
        <v>0.89369461748004297</v>
      </c>
    </row>
    <row r="74" spans="1:29" ht="15.75" customHeight="1">
      <c r="A74" s="317"/>
      <c r="B74" s="99" t="s">
        <v>121</v>
      </c>
      <c r="C74" s="329" t="s">
        <v>142</v>
      </c>
      <c r="D74" s="330"/>
      <c r="E74" s="100">
        <v>17.71</v>
      </c>
      <c r="F74" s="101">
        <v>609</v>
      </c>
      <c r="G74" s="102">
        <f t="shared" si="33"/>
        <v>10785.390000000001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3266.7813009844208</v>
      </c>
      <c r="N74" s="105">
        <f>M74/L74</f>
        <v>653.35626019688414</v>
      </c>
      <c r="O74" s="107">
        <f>L74-I74</f>
        <v>0</v>
      </c>
      <c r="P74" s="108">
        <f>N74-K74</f>
        <v>-66.643739803115864</v>
      </c>
      <c r="Q74" s="109">
        <f>N74/K74</f>
        <v>0.90743925027345018</v>
      </c>
      <c r="R74" s="322"/>
      <c r="S74" s="46">
        <v>0.72986111111111118</v>
      </c>
      <c r="T74" s="47">
        <v>0.73762731481481492</v>
      </c>
      <c r="U74" s="110">
        <v>5.7000000000000917</v>
      </c>
      <c r="V74" s="111">
        <v>11.185321768858214</v>
      </c>
      <c r="W74" s="112"/>
      <c r="X74" s="13"/>
      <c r="Y74" s="331"/>
      <c r="Z74" s="332"/>
      <c r="AA74" s="116">
        <f>M74-J74</f>
        <v>-333.2186990155792</v>
      </c>
      <c r="AB74" s="109">
        <f>M74/J74</f>
        <v>0.90743925027345018</v>
      </c>
      <c r="AC74" s="327"/>
    </row>
    <row r="75" spans="1:29" ht="15.75" customHeight="1">
      <c r="A75" s="317"/>
      <c r="B75" s="99" t="s">
        <v>121</v>
      </c>
      <c r="C75" s="329" t="s">
        <v>143</v>
      </c>
      <c r="D75" s="330"/>
      <c r="E75" s="100">
        <v>18.920000000000002</v>
      </c>
      <c r="F75" s="101">
        <v>1164</v>
      </c>
      <c r="G75" s="102">
        <f t="shared" si="33"/>
        <v>22022.880000000001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3264.5341984990901</v>
      </c>
      <c r="N75" s="105">
        <f>M75/L75</f>
        <v>652.90683969981797</v>
      </c>
      <c r="O75" s="107">
        <f>L75-I75</f>
        <v>0</v>
      </c>
      <c r="P75" s="108">
        <f>N75-K75</f>
        <v>-67.093160300182035</v>
      </c>
      <c r="Q75" s="109">
        <f>N75/K75</f>
        <v>0.90681505513863603</v>
      </c>
      <c r="R75" s="322"/>
      <c r="S75" s="46">
        <v>0.7416666666666667</v>
      </c>
      <c r="T75" s="47">
        <v>0.75651620370370376</v>
      </c>
      <c r="U75" s="110">
        <v>5.8166666666665634</v>
      </c>
      <c r="V75" s="111">
        <v>21.393557473562325</v>
      </c>
      <c r="W75" s="112"/>
      <c r="X75" s="13"/>
      <c r="Y75" s="331"/>
      <c r="Z75" s="332"/>
      <c r="AA75" s="116">
        <f>M75-J75</f>
        <v>-335.46580150090995</v>
      </c>
      <c r="AB75" s="109">
        <f>M75/J75</f>
        <v>0.90681505513863614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3217.3006229281546</v>
      </c>
      <c r="N89" s="137">
        <f t="shared" ref="N89:N94" si="37">M89/L89</f>
        <v>438.72281221747562</v>
      </c>
      <c r="O89" s="138">
        <f t="shared" ref="O89:O94" si="38">L89-I89</f>
        <v>0</v>
      </c>
      <c r="P89" s="139">
        <f t="shared" ref="P89:P94" si="39">N89-K89</f>
        <v>-52.186278691615314</v>
      </c>
      <c r="Q89" s="140">
        <f t="shared" ref="Q89:Q94" si="40">N89/K89</f>
        <v>0.89369461748004286</v>
      </c>
      <c r="R89" s="323"/>
      <c r="S89" s="141">
        <v>0.70833333333333337</v>
      </c>
      <c r="T89" s="142">
        <v>0.75651620370370376</v>
      </c>
      <c r="U89" s="143"/>
      <c r="V89" s="165"/>
      <c r="W89" s="166"/>
      <c r="X89" s="137"/>
      <c r="Y89" s="353"/>
      <c r="Z89" s="354"/>
      <c r="AA89" s="167">
        <f t="shared" ref="AA89:AA94" si="41">M89-J89</f>
        <v>-382.69937707184545</v>
      </c>
      <c r="AB89" s="140">
        <f t="shared" ref="AB89:AB94" si="42">M89/J89</f>
        <v>0.89369461748004297</v>
      </c>
      <c r="AC89" s="328"/>
    </row>
    <row r="90" spans="1:29" ht="15.75" customHeight="1">
      <c r="A90" s="355" t="s">
        <v>144</v>
      </c>
      <c r="B90" s="113" t="s">
        <v>121</v>
      </c>
      <c r="C90" s="319" t="s">
        <v>145</v>
      </c>
      <c r="D90" s="320"/>
      <c r="E90" s="146">
        <v>23.27</v>
      </c>
      <c r="F90" s="96">
        <v>522</v>
      </c>
      <c r="G90" s="147">
        <f t="shared" ref="G90:G94" si="43">E90*F90</f>
        <v>12146.94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2734.3218367216978</v>
      </c>
      <c r="N90" s="151">
        <f t="shared" si="37"/>
        <v>546.8643673443396</v>
      </c>
      <c r="O90" s="153">
        <f t="shared" si="38"/>
        <v>0</v>
      </c>
      <c r="P90" s="154">
        <f t="shared" si="39"/>
        <v>-53.135632655660402</v>
      </c>
      <c r="Q90" s="155">
        <f t="shared" si="40"/>
        <v>0.91144061224056605</v>
      </c>
      <c r="R90" s="321">
        <f>Q106</f>
        <v>0.91097138966472446</v>
      </c>
      <c r="S90" s="156">
        <v>0.70833333333333337</v>
      </c>
      <c r="T90" s="157">
        <v>0.71628472222222228</v>
      </c>
      <c r="U90" s="158"/>
      <c r="V90" s="159">
        <v>11.454394131435151</v>
      </c>
      <c r="W90" s="160"/>
      <c r="X90" s="161"/>
      <c r="Y90" s="324"/>
      <c r="Z90" s="325"/>
      <c r="AA90" s="114">
        <f t="shared" si="41"/>
        <v>-265.67816327830224</v>
      </c>
      <c r="AB90" s="155">
        <f t="shared" si="42"/>
        <v>0.91144061224056594</v>
      </c>
      <c r="AC90" s="326">
        <f>AB106</f>
        <v>0.91097138966472446</v>
      </c>
    </row>
    <row r="91" spans="1:29" ht="15.75" customHeight="1">
      <c r="A91" s="356"/>
      <c r="B91" s="99" t="s">
        <v>121</v>
      </c>
      <c r="C91" s="329" t="s">
        <v>146</v>
      </c>
      <c r="D91" s="330"/>
      <c r="E91" s="100">
        <v>24.54</v>
      </c>
      <c r="F91" s="101">
        <v>1334</v>
      </c>
      <c r="G91" s="102">
        <f t="shared" si="43"/>
        <v>32736.36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2733.1786774566444</v>
      </c>
      <c r="N91" s="105">
        <f t="shared" si="37"/>
        <v>683.29466936416111</v>
      </c>
      <c r="O91" s="107">
        <f t="shared" si="38"/>
        <v>0</v>
      </c>
      <c r="P91" s="108">
        <f t="shared" si="39"/>
        <v>-66.705330635838891</v>
      </c>
      <c r="Q91" s="109">
        <f t="shared" si="40"/>
        <v>0.91105955915221482</v>
      </c>
      <c r="R91" s="322"/>
      <c r="S91" s="46">
        <v>0.72013888888888888</v>
      </c>
      <c r="T91" s="47">
        <v>0.74047453703703703</v>
      </c>
      <c r="U91" s="110">
        <v>5.5499999999999083</v>
      </c>
      <c r="V91" s="111">
        <v>29.284583792553622</v>
      </c>
      <c r="W91" s="112"/>
      <c r="X91" s="115"/>
      <c r="Y91" s="331"/>
      <c r="Z91" s="332"/>
      <c r="AA91" s="116">
        <f t="shared" si="41"/>
        <v>-266.82132254335556</v>
      </c>
      <c r="AB91" s="109">
        <f t="shared" si="42"/>
        <v>0.91105955915221482</v>
      </c>
      <c r="AC91" s="327"/>
    </row>
    <row r="92" spans="1:29" ht="15.75" customHeight="1">
      <c r="A92" s="356"/>
      <c r="B92" s="99" t="s">
        <v>121</v>
      </c>
      <c r="C92" s="329" t="s">
        <v>147</v>
      </c>
      <c r="D92" s="330"/>
      <c r="E92" s="100">
        <v>24.33</v>
      </c>
      <c r="F92" s="101">
        <v>1471</v>
      </c>
      <c r="G92" s="102">
        <f t="shared" si="43"/>
        <v>35789.43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2732.7766433749716</v>
      </c>
      <c r="N92" s="105">
        <f t="shared" si="37"/>
        <v>683.19416084374291</v>
      </c>
      <c r="O92" s="107">
        <f t="shared" si="38"/>
        <v>0</v>
      </c>
      <c r="P92" s="108">
        <f t="shared" si="39"/>
        <v>-66.805839156257093</v>
      </c>
      <c r="Q92" s="109">
        <f t="shared" si="40"/>
        <v>0.91092554779165724</v>
      </c>
      <c r="R92" s="322"/>
      <c r="S92" s="46">
        <v>0.74375000000000002</v>
      </c>
      <c r="T92" s="47">
        <v>0.76616898148148149</v>
      </c>
      <c r="U92" s="110">
        <v>4.7166666666667112</v>
      </c>
      <c r="V92" s="111">
        <v>32.29682170109561</v>
      </c>
      <c r="W92" s="112"/>
      <c r="X92" s="115"/>
      <c r="Y92" s="331"/>
      <c r="Z92" s="332"/>
      <c r="AA92" s="116">
        <f t="shared" si="41"/>
        <v>-267.22335662502837</v>
      </c>
      <c r="AB92" s="109">
        <f t="shared" si="42"/>
        <v>0.91092554779165724</v>
      </c>
      <c r="AC92" s="327"/>
    </row>
    <row r="93" spans="1:29" ht="15.75" customHeight="1">
      <c r="A93" s="356"/>
      <c r="B93" s="99" t="s">
        <v>121</v>
      </c>
      <c r="C93" s="329" t="s">
        <v>148</v>
      </c>
      <c r="D93" s="330"/>
      <c r="E93" s="100">
        <v>22.28</v>
      </c>
      <c r="F93" s="101">
        <v>1544</v>
      </c>
      <c r="G93" s="102">
        <f t="shared" si="43"/>
        <v>34400.32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3006.5262323054958</v>
      </c>
      <c r="N93" s="105">
        <f t="shared" si="37"/>
        <v>601.30524646109916</v>
      </c>
      <c r="O93" s="107">
        <f t="shared" si="38"/>
        <v>0</v>
      </c>
      <c r="P93" s="108">
        <f t="shared" si="39"/>
        <v>-58.694753538900841</v>
      </c>
      <c r="Q93" s="109">
        <f t="shared" si="40"/>
        <v>0.91106855524408958</v>
      </c>
      <c r="R93" s="322"/>
      <c r="S93" s="46">
        <v>0.77013888888888893</v>
      </c>
      <c r="T93" s="47">
        <v>0.79152777777777783</v>
      </c>
      <c r="U93" s="110">
        <v>5.7166666666667076</v>
      </c>
      <c r="V93" s="111">
        <v>30.812969135134015</v>
      </c>
      <c r="W93" s="112"/>
      <c r="X93" s="115"/>
      <c r="Y93" s="331"/>
      <c r="Z93" s="332"/>
      <c r="AA93" s="116">
        <f t="shared" si="41"/>
        <v>-293.4737676945042</v>
      </c>
      <c r="AB93" s="109">
        <f t="shared" si="42"/>
        <v>0.91106855524408958</v>
      </c>
      <c r="AC93" s="327"/>
    </row>
    <row r="94" spans="1:29" ht="15.75" customHeight="1">
      <c r="A94" s="357"/>
      <c r="B94" s="99" t="s">
        <v>121</v>
      </c>
      <c r="C94" s="329" t="s">
        <v>149</v>
      </c>
      <c r="D94" s="330"/>
      <c r="E94" s="100">
        <v>17.89</v>
      </c>
      <c r="F94" s="101">
        <v>5072</v>
      </c>
      <c r="G94" s="102">
        <f t="shared" si="43"/>
        <v>90738.08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3004.3502889108909</v>
      </c>
      <c r="N94" s="105">
        <f t="shared" si="37"/>
        <v>751.08757222772272</v>
      </c>
      <c r="O94" s="107">
        <f t="shared" si="38"/>
        <v>0</v>
      </c>
      <c r="P94" s="108">
        <f t="shared" si="39"/>
        <v>-73.912427772277283</v>
      </c>
      <c r="Q94" s="109">
        <f t="shared" si="40"/>
        <v>0.91040917845784575</v>
      </c>
      <c r="R94" s="322"/>
      <c r="S94" s="46">
        <v>0.79444444444444451</v>
      </c>
      <c r="T94" s="47">
        <v>0.8647800925925927</v>
      </c>
      <c r="U94" s="110">
        <v>5</v>
      </c>
      <c r="V94" s="111">
        <v>101.29311522802463</v>
      </c>
      <c r="W94" s="112"/>
      <c r="X94" s="115"/>
      <c r="Y94" s="331"/>
      <c r="Z94" s="332"/>
      <c r="AA94" s="116">
        <f t="shared" si="41"/>
        <v>-295.64971108910913</v>
      </c>
      <c r="AB94" s="109">
        <f t="shared" si="42"/>
        <v>0.91040917845784575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2842.2307357539403</v>
      </c>
      <c r="N106" s="137">
        <f t="shared" ref="N106:N114" si="48">M106/L106</f>
        <v>645.96153085316814</v>
      </c>
      <c r="O106" s="138">
        <f t="shared" ref="O106:O114" si="49">L106-I106</f>
        <v>0</v>
      </c>
      <c r="P106" s="139">
        <f t="shared" ref="P106:P114" si="50">N106-K106</f>
        <v>-63.129378237740866</v>
      </c>
      <c r="Q106" s="140">
        <f t="shared" ref="Q106:Q114" si="51">N106/K106</f>
        <v>0.91097138966472446</v>
      </c>
      <c r="R106" s="323"/>
      <c r="S106" s="141">
        <v>0.70833333333333337</v>
      </c>
      <c r="T106" s="142">
        <v>0.8647800925925927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-277.76926424605972</v>
      </c>
      <c r="AB106" s="140">
        <f t="shared" ref="AB106:AB114" si="53">M106/J106</f>
        <v>0.91097138966472446</v>
      </c>
      <c r="AC106" s="328"/>
    </row>
    <row r="107" spans="1:29" ht="15.75" customHeight="1">
      <c r="A107" s="316" t="s">
        <v>150</v>
      </c>
      <c r="B107" s="113" t="s">
        <v>121</v>
      </c>
      <c r="C107" s="319" t="s">
        <v>151</v>
      </c>
      <c r="D107" s="320"/>
      <c r="E107" s="146">
        <v>18.18</v>
      </c>
      <c r="F107" s="96">
        <v>611</v>
      </c>
      <c r="G107" s="147">
        <f t="shared" ref="G107:G114" si="54">E107*F107</f>
        <v>11107.98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2737.6541168696372</v>
      </c>
      <c r="N107" s="151">
        <f t="shared" si="48"/>
        <v>912.55137228987905</v>
      </c>
      <c r="O107" s="153">
        <f t="shared" si="49"/>
        <v>0</v>
      </c>
      <c r="P107" s="154">
        <f t="shared" si="50"/>
        <v>-87.448627710120945</v>
      </c>
      <c r="Q107" s="155">
        <f t="shared" si="51"/>
        <v>0.91255137228987904</v>
      </c>
      <c r="R107" s="321">
        <f>Q123</f>
        <v>0.90083499441039017</v>
      </c>
      <c r="S107" s="156">
        <v>0.73263888888888884</v>
      </c>
      <c r="T107" s="157">
        <v>0.74193287037037037</v>
      </c>
      <c r="U107" s="158"/>
      <c r="V107" s="159">
        <v>13.391026928529151</v>
      </c>
      <c r="W107" s="160"/>
      <c r="X107" s="161"/>
      <c r="Y107" s="324"/>
      <c r="Z107" s="325"/>
      <c r="AA107" s="114">
        <f t="shared" si="52"/>
        <v>-262.34588313036284</v>
      </c>
      <c r="AB107" s="155">
        <f t="shared" si="53"/>
        <v>0.91255137228987904</v>
      </c>
      <c r="AC107" s="326">
        <f>AB123</f>
        <v>0.90083499441039017</v>
      </c>
    </row>
    <row r="108" spans="1:29" ht="15.75" customHeight="1">
      <c r="A108" s="317"/>
      <c r="B108" s="99" t="s">
        <v>121</v>
      </c>
      <c r="C108" s="329" t="s">
        <v>152</v>
      </c>
      <c r="D108" s="330"/>
      <c r="E108" s="100">
        <v>18.18</v>
      </c>
      <c r="F108" s="101">
        <v>377</v>
      </c>
      <c r="G108" s="102">
        <f t="shared" si="54"/>
        <v>6853.86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3207.4829425386706</v>
      </c>
      <c r="N108" s="105">
        <f t="shared" si="48"/>
        <v>1069.1609808462235</v>
      </c>
      <c r="O108" s="107">
        <f t="shared" si="49"/>
        <v>0</v>
      </c>
      <c r="P108" s="108">
        <f t="shared" si="50"/>
        <v>-130.83901915377646</v>
      </c>
      <c r="Q108" s="109">
        <f t="shared" si="51"/>
        <v>0.89096748403851966</v>
      </c>
      <c r="R108" s="322"/>
      <c r="S108" s="46">
        <v>0.75208333333333321</v>
      </c>
      <c r="T108" s="47">
        <v>0.75697916666666654</v>
      </c>
      <c r="U108" s="110">
        <v>14.6166666666665</v>
      </c>
      <c r="V108" s="111">
        <v>7.0522588600569884</v>
      </c>
      <c r="W108" s="112"/>
      <c r="X108" s="115"/>
      <c r="Y108" s="331"/>
      <c r="Z108" s="332"/>
      <c r="AA108" s="116">
        <f t="shared" si="52"/>
        <v>-392.51705746132939</v>
      </c>
      <c r="AB108" s="109">
        <f t="shared" si="53"/>
        <v>0.89096748403851966</v>
      </c>
      <c r="AC108" s="327"/>
    </row>
    <row r="109" spans="1:29" ht="15.75" customHeight="1">
      <c r="A109" s="317"/>
      <c r="B109" s="99" t="s">
        <v>121</v>
      </c>
      <c r="C109" s="329" t="s">
        <v>153</v>
      </c>
      <c r="D109" s="330"/>
      <c r="E109" s="100">
        <v>14.03</v>
      </c>
      <c r="F109" s="101">
        <v>2205</v>
      </c>
      <c r="G109" s="102">
        <f t="shared" si="54"/>
        <v>30936.149999999998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2735.2401003867826</v>
      </c>
      <c r="N109" s="105">
        <f t="shared" si="48"/>
        <v>911.7467001289275</v>
      </c>
      <c r="O109" s="107">
        <f t="shared" si="49"/>
        <v>0</v>
      </c>
      <c r="P109" s="108">
        <f t="shared" si="50"/>
        <v>-88.2532998710725</v>
      </c>
      <c r="Q109" s="109">
        <f t="shared" si="51"/>
        <v>0.91174670012892745</v>
      </c>
      <c r="R109" s="322"/>
      <c r="S109" s="46">
        <v>0.76736111111111094</v>
      </c>
      <c r="T109" s="47">
        <v>0.8009490740740739</v>
      </c>
      <c r="U109" s="110">
        <v>14.949999999999939</v>
      </c>
      <c r="V109" s="111">
        <v>48.368697132398665</v>
      </c>
      <c r="W109" s="112"/>
      <c r="X109" s="115"/>
      <c r="Y109" s="331"/>
      <c r="Z109" s="332"/>
      <c r="AA109" s="116">
        <f t="shared" si="52"/>
        <v>-264.75989961321739</v>
      </c>
      <c r="AB109" s="109">
        <f t="shared" si="53"/>
        <v>0.91174670012892756</v>
      </c>
      <c r="AC109" s="327"/>
    </row>
    <row r="110" spans="1:29" ht="15.75" customHeight="1">
      <c r="A110" s="317"/>
      <c r="B110" s="99" t="s">
        <v>121</v>
      </c>
      <c r="C110" s="329" t="s">
        <v>154</v>
      </c>
      <c r="D110" s="330"/>
      <c r="E110" s="100">
        <v>14.28</v>
      </c>
      <c r="F110" s="101">
        <v>2604</v>
      </c>
      <c r="G110" s="102">
        <f t="shared" si="54"/>
        <v>37185.119999999995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3210.6447664220623</v>
      </c>
      <c r="N110" s="105">
        <f t="shared" si="48"/>
        <v>1070.2149221406873</v>
      </c>
      <c r="O110" s="107">
        <f t="shared" si="49"/>
        <v>0</v>
      </c>
      <c r="P110" s="108">
        <f t="shared" si="50"/>
        <v>-129.78507785931265</v>
      </c>
      <c r="Q110" s="109">
        <f t="shared" si="51"/>
        <v>0.89184576845057284</v>
      </c>
      <c r="R110" s="322"/>
      <c r="S110" s="46">
        <v>0.81111111111111089</v>
      </c>
      <c r="T110" s="47">
        <v>0.84489583333333307</v>
      </c>
      <c r="U110" s="110">
        <v>14.633333333333276</v>
      </c>
      <c r="V110" s="111">
        <v>48.663122633187982</v>
      </c>
      <c r="W110" s="112"/>
      <c r="X110" s="115"/>
      <c r="Y110" s="331"/>
      <c r="Z110" s="332"/>
      <c r="AA110" s="116">
        <f t="shared" si="52"/>
        <v>-389.35523357793772</v>
      </c>
      <c r="AB110" s="109">
        <f t="shared" si="53"/>
        <v>0.89184576845057284</v>
      </c>
      <c r="AC110" s="327"/>
    </row>
    <row r="111" spans="1:29" ht="15.75" customHeight="1">
      <c r="A111" s="317"/>
      <c r="B111" s="99" t="s">
        <v>121</v>
      </c>
      <c r="C111" s="329" t="s">
        <v>151</v>
      </c>
      <c r="D111" s="330"/>
      <c r="E111" s="100">
        <v>18.18</v>
      </c>
      <c r="F111" s="101">
        <v>1305</v>
      </c>
      <c r="G111" s="102">
        <f t="shared" si="54"/>
        <v>23724.899999999998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2737.6541168696372</v>
      </c>
      <c r="N111" s="105">
        <f t="shared" si="48"/>
        <v>912.55137228987905</v>
      </c>
      <c r="O111" s="107">
        <f t="shared" si="49"/>
        <v>0</v>
      </c>
      <c r="P111" s="108">
        <f t="shared" si="50"/>
        <v>-87.448627710120945</v>
      </c>
      <c r="Q111" s="109">
        <f t="shared" si="51"/>
        <v>0.91255137228987904</v>
      </c>
      <c r="R111" s="322"/>
      <c r="S111" s="46">
        <v>0.85486111111111085</v>
      </c>
      <c r="T111" s="47">
        <v>0.87472222222222196</v>
      </c>
      <c r="U111" s="110">
        <v>15</v>
      </c>
      <c r="V111" s="111">
        <v>28.601129528200556</v>
      </c>
      <c r="W111" s="112"/>
      <c r="X111" s="115"/>
      <c r="Y111" s="331"/>
      <c r="Z111" s="332"/>
      <c r="AA111" s="116">
        <f t="shared" si="52"/>
        <v>-262.34588313036284</v>
      </c>
      <c r="AB111" s="109">
        <f t="shared" si="53"/>
        <v>0.91255137228987904</v>
      </c>
      <c r="AC111" s="327"/>
    </row>
    <row r="112" spans="1:29" ht="15.75" customHeight="1">
      <c r="A112" s="317"/>
      <c r="B112" s="99" t="s">
        <v>121</v>
      </c>
      <c r="C112" s="329" t="s">
        <v>152</v>
      </c>
      <c r="D112" s="330"/>
      <c r="E112" s="100">
        <v>18.18</v>
      </c>
      <c r="F112" s="101">
        <v>822</v>
      </c>
      <c r="G112" s="120">
        <f t="shared" si="54"/>
        <v>14943.96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3207.4829425386706</v>
      </c>
      <c r="N112" s="105">
        <f t="shared" si="48"/>
        <v>1069.1609808462235</v>
      </c>
      <c r="O112" s="107">
        <f t="shared" si="49"/>
        <v>0</v>
      </c>
      <c r="P112" s="108">
        <f t="shared" si="50"/>
        <v>-130.83901915377646</v>
      </c>
      <c r="Q112" s="109">
        <f t="shared" si="51"/>
        <v>0.89096748403851966</v>
      </c>
      <c r="R112" s="322"/>
      <c r="S112" s="46">
        <v>0.88472222222222197</v>
      </c>
      <c r="T112" s="119">
        <v>0.89539351851851823</v>
      </c>
      <c r="U112" s="110">
        <v>15</v>
      </c>
      <c r="V112" s="111">
        <v>15.376543190893488</v>
      </c>
      <c r="W112" s="112"/>
      <c r="X112" s="115"/>
      <c r="Y112" s="331"/>
      <c r="Z112" s="332"/>
      <c r="AA112" s="116">
        <f t="shared" si="52"/>
        <v>-392.51705746132939</v>
      </c>
      <c r="AB112" s="109">
        <f t="shared" si="53"/>
        <v>0.89096748403851966</v>
      </c>
      <c r="AC112" s="327"/>
    </row>
    <row r="113" spans="1:29" ht="15.75" customHeight="1">
      <c r="A113" s="317"/>
      <c r="B113" s="99" t="s">
        <v>121</v>
      </c>
      <c r="C113" s="329" t="s">
        <v>153</v>
      </c>
      <c r="D113" s="330"/>
      <c r="E113" s="100">
        <v>14.03</v>
      </c>
      <c r="F113" s="101">
        <v>5451</v>
      </c>
      <c r="G113" s="120">
        <f t="shared" si="54"/>
        <v>76477.53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2735.2401003867826</v>
      </c>
      <c r="N113" s="105">
        <f t="shared" si="48"/>
        <v>911.7467001289275</v>
      </c>
      <c r="O113" s="122">
        <f t="shared" si="49"/>
        <v>0</v>
      </c>
      <c r="P113" s="123">
        <f t="shared" si="50"/>
        <v>-88.2532998710725</v>
      </c>
      <c r="Q113" s="124">
        <f t="shared" si="51"/>
        <v>0.91174670012892745</v>
      </c>
      <c r="R113" s="322"/>
      <c r="S113" s="46">
        <v>0.90555555555555522</v>
      </c>
      <c r="T113" s="119">
        <v>0.98858796296296259</v>
      </c>
      <c r="U113" s="110">
        <v>14.633333333333276</v>
      </c>
      <c r="V113" s="111">
        <v>119.57268393138553</v>
      </c>
      <c r="W113" s="112"/>
      <c r="X113" s="115"/>
      <c r="Y113" s="331"/>
      <c r="Z113" s="332"/>
      <c r="AA113" s="116">
        <f t="shared" si="52"/>
        <v>-264.75989961321739</v>
      </c>
      <c r="AB113" s="109">
        <f t="shared" si="53"/>
        <v>0.91174670012892756</v>
      </c>
      <c r="AC113" s="327"/>
    </row>
    <row r="114" spans="1:29" ht="15.75" customHeight="1">
      <c r="A114" s="317"/>
      <c r="B114" s="99" t="s">
        <v>121</v>
      </c>
      <c r="C114" s="329" t="s">
        <v>154</v>
      </c>
      <c r="D114" s="330"/>
      <c r="E114" s="100">
        <v>14.28</v>
      </c>
      <c r="F114" s="101">
        <v>7039</v>
      </c>
      <c r="G114" s="120">
        <f t="shared" si="54"/>
        <v>100516.92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3210.6447664220623</v>
      </c>
      <c r="N114" s="105">
        <f t="shared" si="48"/>
        <v>1070.2149221406873</v>
      </c>
      <c r="O114" s="122">
        <f t="shared" si="49"/>
        <v>0</v>
      </c>
      <c r="P114" s="123">
        <f t="shared" si="50"/>
        <v>-129.78507785931265</v>
      </c>
      <c r="Q114" s="124">
        <f t="shared" si="51"/>
        <v>0.89184576845057284</v>
      </c>
      <c r="R114" s="322"/>
      <c r="S114" s="46">
        <v>0.99861111111111078</v>
      </c>
      <c r="T114" s="119">
        <v>1.0899537037037033</v>
      </c>
      <c r="U114" s="110">
        <v>15</v>
      </c>
      <c r="V114" s="111">
        <v>131.5436713575308</v>
      </c>
      <c r="W114" s="112"/>
      <c r="X114" s="115"/>
      <c r="Y114" s="331"/>
      <c r="Z114" s="332"/>
      <c r="AA114" s="116">
        <f t="shared" si="52"/>
        <v>-389.35523357793772</v>
      </c>
      <c r="AB114" s="109">
        <f t="shared" si="53"/>
        <v>0.89184576845057284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2972.7554815542876</v>
      </c>
      <c r="N123" s="137">
        <f t="shared" ref="N123:N135" si="59">M123/L123</f>
        <v>990.91849385142916</v>
      </c>
      <c r="O123" s="138">
        <f t="shared" ref="O123:O135" si="60">L123-I123</f>
        <v>0</v>
      </c>
      <c r="P123" s="139">
        <f t="shared" ref="P123:P135" si="61">N123-K123</f>
        <v>-109.08150614857084</v>
      </c>
      <c r="Q123" s="140">
        <f t="shared" ref="Q123:Q135" si="62">N123/K123</f>
        <v>0.90083499441039017</v>
      </c>
      <c r="R123" s="323"/>
      <c r="S123" s="141">
        <v>0.73263888888888884</v>
      </c>
      <c r="T123" s="142">
        <v>1.0899537037037033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-327.2445184457124</v>
      </c>
      <c r="AB123" s="140">
        <f t="shared" ref="AB123:AB135" si="64">M123/J123</f>
        <v>0.90083499441039017</v>
      </c>
      <c r="AC123" s="328"/>
    </row>
    <row r="124" spans="1:29" ht="15.75" customHeight="1">
      <c r="A124" s="355" t="s">
        <v>155</v>
      </c>
      <c r="B124" s="113" t="s">
        <v>121</v>
      </c>
      <c r="C124" s="319" t="s">
        <v>156</v>
      </c>
      <c r="D124" s="320"/>
      <c r="E124" s="146">
        <v>25.03</v>
      </c>
      <c r="F124" s="96">
        <v>491</v>
      </c>
      <c r="G124" s="147">
        <f t="shared" ref="G124:G135" si="65">E124*F124</f>
        <v>12289.730000000001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3208.7887436999586</v>
      </c>
      <c r="N124" s="151">
        <f t="shared" si="59"/>
        <v>641.75774873999171</v>
      </c>
      <c r="O124" s="153">
        <f t="shared" si="60"/>
        <v>0</v>
      </c>
      <c r="P124" s="154">
        <f t="shared" si="61"/>
        <v>-78.242251260008288</v>
      </c>
      <c r="Q124" s="155">
        <f t="shared" si="62"/>
        <v>0.89133020658332185</v>
      </c>
      <c r="R124" s="321">
        <f>Q140</f>
        <v>0.89152237723710526</v>
      </c>
      <c r="S124" s="156">
        <v>0.73819444444444438</v>
      </c>
      <c r="T124" s="157">
        <v>0.74456018518518507</v>
      </c>
      <c r="U124" s="158"/>
      <c r="V124" s="159">
        <v>9.1810344504108912</v>
      </c>
      <c r="W124" s="157"/>
      <c r="X124" s="168"/>
      <c r="Y124" s="324"/>
      <c r="Z124" s="325"/>
      <c r="AA124" s="170">
        <f t="shared" si="63"/>
        <v>-391.21125630004144</v>
      </c>
      <c r="AB124" s="155">
        <f t="shared" si="64"/>
        <v>0.89133020658332185</v>
      </c>
      <c r="AC124" s="326">
        <f>AB140</f>
        <v>0.89152237723710526</v>
      </c>
    </row>
    <row r="125" spans="1:29" ht="15.75" customHeight="1">
      <c r="A125" s="356"/>
      <c r="B125" s="99" t="s">
        <v>121</v>
      </c>
      <c r="C125" s="329" t="s">
        <v>157</v>
      </c>
      <c r="D125" s="330"/>
      <c r="E125" s="100">
        <v>16.7</v>
      </c>
      <c r="F125" s="101">
        <v>437</v>
      </c>
      <c r="G125" s="102">
        <f t="shared" si="65"/>
        <v>7297.9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3214.7638854278293</v>
      </c>
      <c r="N125" s="105">
        <f t="shared" si="59"/>
        <v>1071.5879618092765</v>
      </c>
      <c r="O125" s="107">
        <f t="shared" si="60"/>
        <v>0</v>
      </c>
      <c r="P125" s="108">
        <f t="shared" si="61"/>
        <v>-128.41203819072348</v>
      </c>
      <c r="Q125" s="109">
        <f t="shared" si="62"/>
        <v>0.89298996817439713</v>
      </c>
      <c r="R125" s="322"/>
      <c r="S125" s="46">
        <v>0.75486111111111098</v>
      </c>
      <c r="T125" s="47">
        <v>0.7605208333333332</v>
      </c>
      <c r="U125" s="110">
        <v>14.833333333333307</v>
      </c>
      <c r="V125" s="111">
        <v>8.1561199934005639</v>
      </c>
      <c r="W125" s="112"/>
      <c r="X125" s="13"/>
      <c r="Y125" s="331"/>
      <c r="Z125" s="332"/>
      <c r="AA125" s="171">
        <f t="shared" si="63"/>
        <v>-385.23611457217066</v>
      </c>
      <c r="AB125" s="109">
        <f t="shared" si="64"/>
        <v>0.89298996817439702</v>
      </c>
      <c r="AC125" s="327"/>
    </row>
    <row r="126" spans="1:29" ht="15.75" customHeight="1">
      <c r="A126" s="356"/>
      <c r="B126" s="99" t="s">
        <v>121</v>
      </c>
      <c r="C126" s="329" t="s">
        <v>158</v>
      </c>
      <c r="D126" s="330"/>
      <c r="E126" s="100">
        <v>30</v>
      </c>
      <c r="F126" s="101">
        <v>667</v>
      </c>
      <c r="G126" s="102">
        <f t="shared" si="65"/>
        <v>20010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3208.0800309830338</v>
      </c>
      <c r="N126" s="105">
        <f t="shared" si="59"/>
        <v>802.02000774575845</v>
      </c>
      <c r="O126" s="107">
        <f t="shared" si="60"/>
        <v>0</v>
      </c>
      <c r="P126" s="108">
        <f t="shared" si="61"/>
        <v>-97.979992254241552</v>
      </c>
      <c r="Q126" s="109">
        <f t="shared" si="62"/>
        <v>0.89113334193973159</v>
      </c>
      <c r="R126" s="322"/>
      <c r="S126" s="46">
        <v>0.77083333333333315</v>
      </c>
      <c r="T126" s="47">
        <v>0.77949074074074054</v>
      </c>
      <c r="U126" s="110">
        <v>14.849999999999923</v>
      </c>
      <c r="V126" s="111">
        <v>12.474751132607157</v>
      </c>
      <c r="W126" s="112"/>
      <c r="X126" s="13"/>
      <c r="Y126" s="331"/>
      <c r="Z126" s="332"/>
      <c r="AA126" s="171">
        <f t="shared" si="63"/>
        <v>-391.91996901696621</v>
      </c>
      <c r="AB126" s="109">
        <f t="shared" si="64"/>
        <v>0.89113334193973159</v>
      </c>
      <c r="AC126" s="327"/>
    </row>
    <row r="127" spans="1:29" ht="15.75" customHeight="1">
      <c r="A127" s="356"/>
      <c r="B127" s="99" t="s">
        <v>121</v>
      </c>
      <c r="C127" s="329" t="s">
        <v>159</v>
      </c>
      <c r="D127" s="330"/>
      <c r="E127" s="100">
        <v>24.82</v>
      </c>
      <c r="F127" s="101">
        <v>677</v>
      </c>
      <c r="G127" s="102">
        <f t="shared" si="65"/>
        <v>16803.14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3207.6331506730585</v>
      </c>
      <c r="N127" s="105">
        <f t="shared" si="59"/>
        <v>641.52663013461165</v>
      </c>
      <c r="O127" s="107">
        <f t="shared" si="60"/>
        <v>0</v>
      </c>
      <c r="P127" s="108">
        <f t="shared" si="61"/>
        <v>-78.473369865388349</v>
      </c>
      <c r="Q127" s="109">
        <f t="shared" si="62"/>
        <v>0.89100920852029397</v>
      </c>
      <c r="R127" s="322"/>
      <c r="S127" s="46">
        <v>0.78958333333333308</v>
      </c>
      <c r="T127" s="47">
        <v>0.79836805555555534</v>
      </c>
      <c r="U127" s="110">
        <v>14.53333333333326</v>
      </c>
      <c r="V127" s="111">
        <v>12.663542896567424</v>
      </c>
      <c r="W127" s="112"/>
      <c r="X127" s="13"/>
      <c r="Y127" s="331"/>
      <c r="Z127" s="332"/>
      <c r="AA127" s="171">
        <f t="shared" si="63"/>
        <v>-392.36684932694152</v>
      </c>
      <c r="AB127" s="109">
        <f t="shared" si="64"/>
        <v>0.89100920852029397</v>
      </c>
      <c r="AC127" s="327"/>
    </row>
    <row r="128" spans="1:29" ht="15.75" customHeight="1">
      <c r="A128" s="357"/>
      <c r="B128" s="99" t="s">
        <v>121</v>
      </c>
      <c r="C128" s="329" t="s">
        <v>160</v>
      </c>
      <c r="D128" s="330"/>
      <c r="E128" s="100">
        <v>18.18</v>
      </c>
      <c r="F128" s="101">
        <v>992</v>
      </c>
      <c r="G128" s="102">
        <f t="shared" si="65"/>
        <v>18034.560000000001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3207.3896651856003</v>
      </c>
      <c r="N128" s="105">
        <f t="shared" si="59"/>
        <v>1069.1298883952002</v>
      </c>
      <c r="O128" s="107">
        <f t="shared" si="60"/>
        <v>0</v>
      </c>
      <c r="P128" s="108">
        <f t="shared" si="61"/>
        <v>-130.87011160479983</v>
      </c>
      <c r="Q128" s="109">
        <f t="shared" si="62"/>
        <v>0.8909415736626668</v>
      </c>
      <c r="R128" s="322"/>
      <c r="S128" s="46">
        <v>0.80833333333333302</v>
      </c>
      <c r="T128" s="47">
        <v>0.82121527777777747</v>
      </c>
      <c r="U128" s="110">
        <v>15</v>
      </c>
      <c r="V128" s="111">
        <v>18.557146531354114</v>
      </c>
      <c r="W128" s="112"/>
      <c r="X128" s="115"/>
      <c r="Y128" s="331"/>
      <c r="Z128" s="332"/>
      <c r="AA128" s="171">
        <f t="shared" si="63"/>
        <v>-392.61033481439972</v>
      </c>
      <c r="AB128" s="109">
        <f t="shared" si="64"/>
        <v>0.8909415736626668</v>
      </c>
      <c r="AC128" s="327"/>
    </row>
    <row r="129" spans="1:29" ht="15.75" customHeight="1">
      <c r="A129" s="357"/>
      <c r="B129" s="99" t="s">
        <v>121</v>
      </c>
      <c r="C129" s="329" t="s">
        <v>161</v>
      </c>
      <c r="D129" s="330"/>
      <c r="E129" s="100">
        <v>16.66</v>
      </c>
      <c r="F129" s="101">
        <v>2224</v>
      </c>
      <c r="G129" s="120">
        <f t="shared" si="65"/>
        <v>37051.840000000004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3210.2278723519908</v>
      </c>
      <c r="N129" s="105">
        <f t="shared" si="59"/>
        <v>642.04557447039815</v>
      </c>
      <c r="O129" s="107">
        <f t="shared" si="60"/>
        <v>0</v>
      </c>
      <c r="P129" s="108">
        <f t="shared" si="61"/>
        <v>-77.954425529601849</v>
      </c>
      <c r="Q129" s="109">
        <f t="shared" si="62"/>
        <v>0.89172996454221964</v>
      </c>
      <c r="R129" s="322"/>
      <c r="S129" s="46">
        <v>0.8312499999999996</v>
      </c>
      <c r="T129" s="119">
        <v>0.86011574074074038</v>
      </c>
      <c r="U129" s="110">
        <v>15</v>
      </c>
      <c r="V129" s="111">
        <v>41.567142678327841</v>
      </c>
      <c r="W129" s="112"/>
      <c r="X129" s="49"/>
      <c r="Y129" s="331"/>
      <c r="Z129" s="332"/>
      <c r="AA129" s="171">
        <f t="shared" si="63"/>
        <v>-389.77212764800925</v>
      </c>
      <c r="AB129" s="109">
        <f t="shared" si="64"/>
        <v>0.89172996454221964</v>
      </c>
      <c r="AC129" s="327"/>
    </row>
    <row r="130" spans="1:29" ht="15.75" customHeight="1">
      <c r="A130" s="357"/>
      <c r="B130" s="99" t="s">
        <v>121</v>
      </c>
      <c r="C130" s="329" t="s">
        <v>156</v>
      </c>
      <c r="D130" s="330"/>
      <c r="E130" s="100">
        <v>25.03</v>
      </c>
      <c r="F130" s="101">
        <v>977</v>
      </c>
      <c r="G130" s="120">
        <f t="shared" si="65"/>
        <v>24454.31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3208.7887436999581</v>
      </c>
      <c r="N130" s="105">
        <f t="shared" si="59"/>
        <v>641.7577487399916</v>
      </c>
      <c r="O130" s="122">
        <f t="shared" si="60"/>
        <v>0</v>
      </c>
      <c r="P130" s="123">
        <f t="shared" si="61"/>
        <v>-78.242251260008402</v>
      </c>
      <c r="Q130" s="124">
        <f t="shared" si="62"/>
        <v>0.89133020658332163</v>
      </c>
      <c r="R130" s="322"/>
      <c r="S130" s="46">
        <v>0.87013888888888846</v>
      </c>
      <c r="T130" s="119">
        <v>0.88282407407407359</v>
      </c>
      <c r="U130" s="110">
        <v>15</v>
      </c>
      <c r="V130" s="111">
        <v>18.268575678312509</v>
      </c>
      <c r="W130" s="112"/>
      <c r="X130" s="115"/>
      <c r="Y130" s="331"/>
      <c r="Z130" s="332"/>
      <c r="AA130" s="171">
        <f t="shared" si="63"/>
        <v>-391.2112563000419</v>
      </c>
      <c r="AB130" s="109">
        <f t="shared" si="64"/>
        <v>0.89133020658332174</v>
      </c>
      <c r="AC130" s="327"/>
    </row>
    <row r="131" spans="1:29" ht="15.75" customHeight="1">
      <c r="A131" s="357"/>
      <c r="B131" s="99" t="s">
        <v>121</v>
      </c>
      <c r="C131" s="329" t="s">
        <v>157</v>
      </c>
      <c r="D131" s="330"/>
      <c r="E131" s="100">
        <v>16.7</v>
      </c>
      <c r="F131" s="101">
        <v>956</v>
      </c>
      <c r="G131" s="120">
        <f t="shared" si="65"/>
        <v>15965.199999999999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3214.7638854278298</v>
      </c>
      <c r="N131" s="105">
        <f t="shared" si="59"/>
        <v>1071.5879618092765</v>
      </c>
      <c r="O131" s="122">
        <f t="shared" si="60"/>
        <v>0</v>
      </c>
      <c r="P131" s="123">
        <f t="shared" si="61"/>
        <v>-128.41203819072348</v>
      </c>
      <c r="Q131" s="124">
        <f t="shared" si="62"/>
        <v>0.89298996817439713</v>
      </c>
      <c r="R131" s="322"/>
      <c r="S131" s="46">
        <v>0.89305555555555505</v>
      </c>
      <c r="T131" s="119">
        <v>0.90543981481481428</v>
      </c>
      <c r="U131" s="110">
        <v>14.733333333333292</v>
      </c>
      <c r="V131" s="111">
        <v>17.842678978697798</v>
      </c>
      <c r="W131" s="112"/>
      <c r="X131" s="115"/>
      <c r="Y131" s="331"/>
      <c r="Z131" s="332"/>
      <c r="AA131" s="171">
        <f t="shared" si="63"/>
        <v>-385.23611457217021</v>
      </c>
      <c r="AB131" s="109">
        <f t="shared" si="64"/>
        <v>0.89298996817439713</v>
      </c>
      <c r="AC131" s="327"/>
    </row>
    <row r="132" spans="1:29" ht="15.75" customHeight="1">
      <c r="A132" s="357"/>
      <c r="B132" s="99" t="s">
        <v>121</v>
      </c>
      <c r="C132" s="329" t="s">
        <v>158</v>
      </c>
      <c r="D132" s="330"/>
      <c r="E132" s="100">
        <v>30</v>
      </c>
      <c r="F132" s="101">
        <v>1573</v>
      </c>
      <c r="G132" s="120">
        <f t="shared" si="65"/>
        <v>47190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3208.0800309830338</v>
      </c>
      <c r="N132" s="105">
        <f t="shared" si="59"/>
        <v>802.02000774575845</v>
      </c>
      <c r="O132" s="122">
        <f t="shared" si="60"/>
        <v>0</v>
      </c>
      <c r="P132" s="123">
        <f t="shared" si="61"/>
        <v>-97.979992254241552</v>
      </c>
      <c r="Q132" s="124">
        <f t="shared" si="62"/>
        <v>0.89113334193973159</v>
      </c>
      <c r="R132" s="322"/>
      <c r="S132" s="46">
        <v>0.91527777777777719</v>
      </c>
      <c r="T132" s="119">
        <v>0.93570601851851798</v>
      </c>
      <c r="U132" s="110">
        <v>15</v>
      </c>
      <c r="V132" s="111">
        <v>29.419465564604284</v>
      </c>
      <c r="W132" s="125"/>
      <c r="X132" s="126"/>
      <c r="Y132" s="331"/>
      <c r="Z132" s="332"/>
      <c r="AA132" s="171">
        <f t="shared" si="63"/>
        <v>-391.91996901696621</v>
      </c>
      <c r="AB132" s="109">
        <f t="shared" si="64"/>
        <v>0.89113334193973159</v>
      </c>
      <c r="AC132" s="327"/>
    </row>
    <row r="133" spans="1:29" ht="15.75" customHeight="1">
      <c r="A133" s="357"/>
      <c r="B133" s="99" t="s">
        <v>121</v>
      </c>
      <c r="C133" s="329" t="s">
        <v>159</v>
      </c>
      <c r="D133" s="330"/>
      <c r="E133" s="100">
        <v>24.82</v>
      </c>
      <c r="F133" s="101">
        <v>1500</v>
      </c>
      <c r="G133" s="120">
        <f t="shared" si="65"/>
        <v>37230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3207.6331506730589</v>
      </c>
      <c r="N133" s="105">
        <f t="shared" si="59"/>
        <v>641.52663013461176</v>
      </c>
      <c r="O133" s="122">
        <f t="shared" si="60"/>
        <v>0</v>
      </c>
      <c r="P133" s="123">
        <f t="shared" si="61"/>
        <v>-78.473369865388236</v>
      </c>
      <c r="Q133" s="124">
        <f t="shared" si="62"/>
        <v>0.89100920852029408</v>
      </c>
      <c r="R133" s="322"/>
      <c r="S133" s="46">
        <v>0.94583333333333275</v>
      </c>
      <c r="T133" s="119">
        <v>0.96531249999999946</v>
      </c>
      <c r="U133" s="110">
        <v>14.583333333333268</v>
      </c>
      <c r="V133" s="111">
        <v>28.058071410415266</v>
      </c>
      <c r="W133" s="125"/>
      <c r="X133" s="126"/>
      <c r="Y133" s="331"/>
      <c r="Z133" s="332"/>
      <c r="AA133" s="171">
        <f t="shared" si="63"/>
        <v>-392.36684932694106</v>
      </c>
      <c r="AB133" s="109">
        <f t="shared" si="64"/>
        <v>0.89100920852029419</v>
      </c>
      <c r="AC133" s="327"/>
    </row>
    <row r="134" spans="1:29" ht="15.75" customHeight="1">
      <c r="A134" s="357"/>
      <c r="B134" s="99" t="s">
        <v>121</v>
      </c>
      <c r="C134" s="329" t="s">
        <v>160</v>
      </c>
      <c r="D134" s="330"/>
      <c r="E134" s="100">
        <v>18.18</v>
      </c>
      <c r="F134" s="101">
        <v>2415</v>
      </c>
      <c r="G134" s="120">
        <f t="shared" si="65"/>
        <v>43904.7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3207.3896651856003</v>
      </c>
      <c r="N134" s="105">
        <f t="shared" si="59"/>
        <v>1069.1298883952002</v>
      </c>
      <c r="O134" s="122">
        <f t="shared" si="60"/>
        <v>0</v>
      </c>
      <c r="P134" s="123">
        <f t="shared" si="61"/>
        <v>-130.87011160479983</v>
      </c>
      <c r="Q134" s="124">
        <f t="shared" si="62"/>
        <v>0.8909415736626668</v>
      </c>
      <c r="R134" s="322"/>
      <c r="S134" s="46">
        <v>0.97569444444444386</v>
      </c>
      <c r="T134" s="119">
        <v>1.0070601851851846</v>
      </c>
      <c r="U134" s="110">
        <v>14.949999999999939</v>
      </c>
      <c r="V134" s="111">
        <v>45.176924267359063</v>
      </c>
      <c r="W134" s="125"/>
      <c r="X134" s="126"/>
      <c r="Y134" s="331"/>
      <c r="Z134" s="332"/>
      <c r="AA134" s="171">
        <f t="shared" si="63"/>
        <v>-392.61033481439972</v>
      </c>
      <c r="AB134" s="109">
        <f t="shared" si="64"/>
        <v>0.8909415736626668</v>
      </c>
      <c r="AC134" s="327"/>
    </row>
    <row r="135" spans="1:29" ht="15.75" customHeight="1">
      <c r="A135" s="357"/>
      <c r="B135" s="99" t="s">
        <v>121</v>
      </c>
      <c r="C135" s="329" t="s">
        <v>161</v>
      </c>
      <c r="D135" s="330"/>
      <c r="E135" s="100">
        <v>16.66</v>
      </c>
      <c r="F135" s="101">
        <v>5557</v>
      </c>
      <c r="G135" s="120">
        <f t="shared" si="65"/>
        <v>92579.62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3210.2278723519912</v>
      </c>
      <c r="N135" s="105">
        <f t="shared" si="59"/>
        <v>642.04557447039826</v>
      </c>
      <c r="O135" s="122">
        <f t="shared" si="60"/>
        <v>0</v>
      </c>
      <c r="P135" s="123">
        <f t="shared" si="61"/>
        <v>-77.954425529601735</v>
      </c>
      <c r="Q135" s="124">
        <f t="shared" si="62"/>
        <v>0.89172996454221987</v>
      </c>
      <c r="R135" s="322"/>
      <c r="S135" s="46">
        <v>1.0173611111111105</v>
      </c>
      <c r="T135" s="119">
        <v>1.0894791666666661</v>
      </c>
      <c r="U135" s="110">
        <v>14.833333333333307</v>
      </c>
      <c r="V135" s="111">
        <v>103.86178590983263</v>
      </c>
      <c r="W135" s="125"/>
      <c r="X135" s="126"/>
      <c r="Y135" s="331"/>
      <c r="Z135" s="332"/>
      <c r="AA135" s="171">
        <f t="shared" si="63"/>
        <v>-389.77212764800879</v>
      </c>
      <c r="AB135" s="109">
        <f t="shared" si="64"/>
        <v>0.89172996454221976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3209.480558053579</v>
      </c>
      <c r="N140" s="137">
        <f>M140/L140</f>
        <v>770.27533393285887</v>
      </c>
      <c r="O140" s="138">
        <f>L140-I140</f>
        <v>0</v>
      </c>
      <c r="P140" s="139">
        <f>N140-K140</f>
        <v>-93.724666067141015</v>
      </c>
      <c r="Q140" s="140">
        <f>N140/K140</f>
        <v>0.89152237723710526</v>
      </c>
      <c r="R140" s="323"/>
      <c r="S140" s="141">
        <v>0.73819444444444438</v>
      </c>
      <c r="T140" s="142">
        <v>1.0894791666666661</v>
      </c>
      <c r="U140" s="143"/>
      <c r="V140" s="165"/>
      <c r="W140" s="166"/>
      <c r="X140" s="137"/>
      <c r="Y140" s="353"/>
      <c r="Z140" s="354"/>
      <c r="AA140" s="173">
        <f>M140-J140</f>
        <v>-390.51944194642101</v>
      </c>
      <c r="AB140" s="140">
        <f>M140/J140</f>
        <v>0.89152237723710526</v>
      </c>
      <c r="AC140" s="328"/>
    </row>
    <row r="142" spans="1:29">
      <c r="Y142" s="359" t="s">
        <v>162</v>
      </c>
      <c r="Z142" s="359"/>
    </row>
    <row r="143" spans="1:29">
      <c r="Y143" s="359" t="s">
        <v>163</v>
      </c>
      <c r="Z143" s="359"/>
    </row>
    <row r="144" spans="1:29">
      <c r="Y144" s="359" t="s">
        <v>164</v>
      </c>
      <c r="Z144" s="359"/>
    </row>
    <row r="145" spans="25:26">
      <c r="Y145" s="359" t="s">
        <v>165</v>
      </c>
      <c r="Z145" s="359"/>
    </row>
    <row r="146" spans="25:26">
      <c r="Y146" s="359" t="s">
        <v>166</v>
      </c>
      <c r="Z146" s="359"/>
    </row>
    <row r="147" spans="25:26">
      <c r="Y147" s="359" t="s">
        <v>167</v>
      </c>
      <c r="Z147" s="359"/>
    </row>
    <row r="148" spans="25:26">
      <c r="Y148" s="359" t="s">
        <v>168</v>
      </c>
      <c r="Z148" s="359"/>
    </row>
    <row r="149" spans="25:26">
      <c r="Y149" s="359" t="s">
        <v>169</v>
      </c>
      <c r="Z149" s="359"/>
    </row>
    <row r="150" spans="25:26">
      <c r="Y150" s="359" t="s">
        <v>170</v>
      </c>
      <c r="Z150" s="359"/>
    </row>
    <row r="151" spans="25:26">
      <c r="Y151" s="359" t="s">
        <v>171</v>
      </c>
      <c r="Z151" s="359"/>
    </row>
    <row r="152" spans="25:26">
      <c r="Y152" s="359" t="s">
        <v>172</v>
      </c>
      <c r="Z152" s="359"/>
    </row>
    <row r="153" spans="25:26">
      <c r="Y153" s="359" t="s">
        <v>173</v>
      </c>
      <c r="Z153" s="359"/>
    </row>
    <row r="154" spans="25:26">
      <c r="Y154" s="359" t="s">
        <v>174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D6E96263-800C-44B3-B871-81895CD1BA8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73EC-DFCA-4C9A-AB2C-C85DACF5BA6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M47" sqref="M47:N48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80126</v>
      </c>
      <c r="E1" s="87" t="s">
        <v>4</v>
      </c>
      <c r="F1" s="88">
        <f>SUM(G5:G140)</f>
        <v>3479878.649999999</v>
      </c>
      <c r="G1" s="89" t="s">
        <v>85</v>
      </c>
      <c r="H1" s="90">
        <f>L21+L38+L55+L72+L89+L106+L123+L140</f>
        <v>136.25833333333333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175</v>
      </c>
      <c r="Z1" s="191" t="s">
        <v>176</v>
      </c>
      <c r="AA1" s="360" t="s">
        <v>177</v>
      </c>
      <c r="AB1" s="361"/>
      <c r="AC1" s="175" t="s">
        <v>20</v>
      </c>
      <c r="AD1" s="176" t="s">
        <v>178</v>
      </c>
      <c r="AE1" s="278" t="s">
        <v>91</v>
      </c>
      <c r="AF1" s="280"/>
      <c r="AG1" s="281"/>
    </row>
    <row r="2" spans="1:33" ht="26.25" customHeight="1" thickBot="1">
      <c r="A2" s="293">
        <v>46235</v>
      </c>
      <c r="B2" s="294"/>
      <c r="C2" s="91" t="s">
        <v>41</v>
      </c>
      <c r="D2" s="92">
        <f>AVERAGE(N21,N38,N55,N72,N89,N106,N123,N140)</f>
        <v>201.87126254092453</v>
      </c>
      <c r="E2" s="92" t="s">
        <v>92</v>
      </c>
      <c r="F2" s="93">
        <f>F1/D1</f>
        <v>43.430080747822167</v>
      </c>
      <c r="G2" s="94" t="s">
        <v>93</v>
      </c>
      <c r="H2" s="95">
        <f>COUNT(H5:H140)</f>
        <v>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42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179</v>
      </c>
      <c r="Z3" s="365"/>
      <c r="AA3" s="371" t="s">
        <v>109</v>
      </c>
      <c r="AB3" s="372"/>
      <c r="AC3" s="364" t="s">
        <v>180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181</v>
      </c>
      <c r="AD4" s="194" t="s">
        <v>182</v>
      </c>
      <c r="AE4" s="343"/>
      <c r="AF4" s="313"/>
      <c r="AG4" s="315"/>
    </row>
    <row r="5" spans="1:33" ht="15.75" customHeight="1">
      <c r="A5" s="316" t="s">
        <v>183</v>
      </c>
      <c r="B5" s="113" t="s">
        <v>184</v>
      </c>
      <c r="C5" s="366" t="s">
        <v>185</v>
      </c>
      <c r="D5" s="366"/>
      <c r="E5" s="146">
        <v>19.7</v>
      </c>
      <c r="F5" s="150">
        <v>3612</v>
      </c>
      <c r="G5" s="147">
        <f t="shared" ref="G5:G9" si="0">E5*F5</f>
        <v>71156.399999999994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1083.0872881768487</v>
      </c>
      <c r="N5" s="151">
        <f>M5/L5</f>
        <v>83.31440678283451</v>
      </c>
      <c r="O5" s="153">
        <f>L5-I5</f>
        <v>0</v>
      </c>
      <c r="P5" s="154">
        <f>N5-K5</f>
        <v>-8.9932855248577965</v>
      </c>
      <c r="Q5" s="155">
        <f>N5/K5</f>
        <v>0.90257274014737388</v>
      </c>
      <c r="R5" s="321">
        <f>Q21</f>
        <v>0.8999872064335962</v>
      </c>
      <c r="S5" s="156">
        <v>0.20833333333333334</v>
      </c>
      <c r="T5" s="157">
        <v>0.34728009259259263</v>
      </c>
      <c r="U5" s="158"/>
      <c r="V5" s="159">
        <v>200.0946759931075</v>
      </c>
      <c r="W5" s="180"/>
      <c r="X5" s="151"/>
      <c r="Y5" s="12"/>
      <c r="Z5" s="197"/>
      <c r="AA5" s="324"/>
      <c r="AB5" s="325"/>
      <c r="AC5" s="12">
        <v>4</v>
      </c>
      <c r="AD5" s="197"/>
      <c r="AE5" s="177">
        <f>M5-J5</f>
        <v>-116.91271182315131</v>
      </c>
      <c r="AF5" s="131">
        <f>M5/J5</f>
        <v>0.90257274014737388</v>
      </c>
      <c r="AG5" s="367">
        <f>AF21</f>
        <v>0.8999872064335962</v>
      </c>
    </row>
    <row r="6" spans="1:33" ht="15.75" customHeight="1">
      <c r="A6" s="317"/>
      <c r="B6" s="99" t="s">
        <v>186</v>
      </c>
      <c r="C6" s="370" t="s">
        <v>187</v>
      </c>
      <c r="D6" s="370"/>
      <c r="E6" s="100">
        <v>56.43</v>
      </c>
      <c r="F6" s="101">
        <v>3898</v>
      </c>
      <c r="G6" s="102">
        <f t="shared" si="0"/>
        <v>219964.13999999998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1800.0827091726503</v>
      </c>
      <c r="N6" s="105">
        <f>M6/L6</f>
        <v>75.003446215527092</v>
      </c>
      <c r="O6" s="107">
        <f>L6-I6</f>
        <v>0</v>
      </c>
      <c r="P6" s="108">
        <f>N6-K6</f>
        <v>-8.329887117806237</v>
      </c>
      <c r="Q6" s="109">
        <f>N6/K6</f>
        <v>0.90004135458632517</v>
      </c>
      <c r="R6" s="322"/>
      <c r="S6" s="46">
        <v>0.35138888888888886</v>
      </c>
      <c r="T6" s="47">
        <v>0.44160879629629624</v>
      </c>
      <c r="U6" s="110">
        <v>5.916666666666579</v>
      </c>
      <c r="V6" s="111">
        <v>129.92736323071253</v>
      </c>
      <c r="W6" s="112"/>
      <c r="X6" s="115"/>
      <c r="Y6" s="12"/>
      <c r="Z6" s="197"/>
      <c r="AA6" s="331"/>
      <c r="AB6" s="332"/>
      <c r="AC6" s="12">
        <v>2</v>
      </c>
      <c r="AD6" s="197"/>
      <c r="AE6" s="116">
        <f>M6-J6</f>
        <v>-199.91729082734969</v>
      </c>
      <c r="AF6" s="109">
        <f>M6/J6</f>
        <v>0.90004135458632517</v>
      </c>
      <c r="AG6" s="368"/>
    </row>
    <row r="7" spans="1:33" ht="15.75" customHeight="1">
      <c r="A7" s="317"/>
      <c r="B7" s="99" t="s">
        <v>188</v>
      </c>
      <c r="C7" s="370" t="s">
        <v>189</v>
      </c>
      <c r="D7" s="370"/>
      <c r="E7" s="100">
        <v>77.349999999999994</v>
      </c>
      <c r="F7" s="101">
        <v>390</v>
      </c>
      <c r="G7" s="102">
        <f t="shared" si="0"/>
        <v>30166.499999999996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1797.8925320816309</v>
      </c>
      <c r="N7" s="105">
        <f>M7/L7</f>
        <v>71.915701283265236</v>
      </c>
      <c r="O7" s="107">
        <f>L7-I7</f>
        <v>0</v>
      </c>
      <c r="P7" s="108">
        <f>N7-K7</f>
        <v>-8.0842987167347644</v>
      </c>
      <c r="Q7" s="109">
        <f>N7/K7</f>
        <v>0.8989462660408154</v>
      </c>
      <c r="R7" s="322"/>
      <c r="S7" s="46">
        <v>0.44513888888888886</v>
      </c>
      <c r="T7" s="47">
        <v>0.45416666666666666</v>
      </c>
      <c r="U7" s="110">
        <v>5.0833333333333819</v>
      </c>
      <c r="V7" s="111">
        <v>13.015238443038125</v>
      </c>
      <c r="W7" s="112"/>
      <c r="X7" s="115"/>
      <c r="Y7" s="12"/>
      <c r="Z7" s="197"/>
      <c r="AA7" s="331"/>
      <c r="AB7" s="332"/>
      <c r="AC7" s="12">
        <v>1</v>
      </c>
      <c r="AD7" s="197"/>
      <c r="AE7" s="116">
        <f>M7-J7</f>
        <v>-202.10746791836914</v>
      </c>
      <c r="AF7" s="109">
        <f>M7/J7</f>
        <v>0.8989462660408154</v>
      </c>
      <c r="AG7" s="368"/>
    </row>
    <row r="8" spans="1:33" ht="15.75" customHeight="1">
      <c r="A8" s="317"/>
      <c r="B8" s="99" t="s">
        <v>188</v>
      </c>
      <c r="C8" s="370" t="s">
        <v>239</v>
      </c>
      <c r="D8" s="370"/>
      <c r="E8" s="100">
        <v>77.34</v>
      </c>
      <c r="F8" s="101">
        <v>1259</v>
      </c>
      <c r="G8" s="102">
        <f t="shared" si="0"/>
        <v>97371.06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1798.8080972519831</v>
      </c>
      <c r="N8" s="105">
        <f>M8/L8</f>
        <v>78.209047706607961</v>
      </c>
      <c r="O8" s="107">
        <f>L8-I8</f>
        <v>0</v>
      </c>
      <c r="P8" s="108">
        <f>N8-K8</f>
        <v>-8.7474740325224758</v>
      </c>
      <c r="Q8" s="109">
        <f>N8/K8</f>
        <v>0.89940404862599155</v>
      </c>
      <c r="R8" s="322"/>
      <c r="S8" s="46">
        <v>0.45763888888888887</v>
      </c>
      <c r="T8" s="47">
        <v>0.48679398148148145</v>
      </c>
      <c r="U8" s="110">
        <v>4.9999999999999822</v>
      </c>
      <c r="V8" s="111">
        <v>41.994474071693098</v>
      </c>
      <c r="W8" s="112">
        <v>0.48679398148148145</v>
      </c>
      <c r="X8" s="115">
        <v>0.52569444444444446</v>
      </c>
      <c r="Y8" s="12"/>
      <c r="Z8" s="197"/>
      <c r="AA8" s="331"/>
      <c r="AB8" s="332"/>
      <c r="AC8" s="12">
        <v>1</v>
      </c>
      <c r="AD8" s="197"/>
      <c r="AE8" s="116">
        <f>M8-J8</f>
        <v>-201.1919027480169</v>
      </c>
      <c r="AF8" s="109">
        <f>M8/J8</f>
        <v>0.89940404862599155</v>
      </c>
      <c r="AG8" s="368"/>
    </row>
    <row r="9" spans="1:33" ht="15.75" customHeight="1">
      <c r="A9" s="317"/>
      <c r="B9" s="99" t="s">
        <v>188</v>
      </c>
      <c r="C9" s="370" t="s">
        <v>190</v>
      </c>
      <c r="D9" s="370"/>
      <c r="E9" s="100">
        <v>59.52</v>
      </c>
      <c r="F9" s="101">
        <v>2886</v>
      </c>
      <c r="G9" s="102">
        <f t="shared" si="0"/>
        <v>171774.72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1800.0116725059727</v>
      </c>
      <c r="N9" s="105">
        <f>M9/L9</f>
        <v>75.000486354415528</v>
      </c>
      <c r="O9" s="107">
        <f>L9-I9</f>
        <v>0</v>
      </c>
      <c r="P9" s="108">
        <f>N9-K9</f>
        <v>-8.3328469789178001</v>
      </c>
      <c r="Q9" s="109">
        <f>N9/K9</f>
        <v>0.90000583625298636</v>
      </c>
      <c r="R9" s="322"/>
      <c r="S9" s="46">
        <v>0.52569444444444446</v>
      </c>
      <c r="T9" s="47">
        <v>0.59248842592592599</v>
      </c>
      <c r="U9" s="110">
        <v>56.016666666666737</v>
      </c>
      <c r="V9" s="111">
        <v>96.199376173448357</v>
      </c>
      <c r="W9" s="112"/>
      <c r="X9" s="115"/>
      <c r="Y9" s="12"/>
      <c r="Z9" s="197"/>
      <c r="AA9" s="331"/>
      <c r="AB9" s="332"/>
      <c r="AC9" s="12">
        <v>2</v>
      </c>
      <c r="AD9" s="197"/>
      <c r="AE9" s="116">
        <f>M9-J9</f>
        <v>-199.98832749402732</v>
      </c>
      <c r="AF9" s="109">
        <f>M9/J9</f>
        <v>0.90000583625298636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1655.9764598378169</v>
      </c>
      <c r="N21" s="137">
        <f t="shared" ref="N21:N28" si="5">M21/L21</f>
        <v>75.962222928340225</v>
      </c>
      <c r="O21" s="138">
        <f t="shared" ref="O21:O28" si="6">L21-I21</f>
        <v>0</v>
      </c>
      <c r="P21" s="139">
        <f t="shared" ref="P21:P28" si="7">N21-K21</f>
        <v>-8.4414467964304123</v>
      </c>
      <c r="Q21" s="140">
        <f t="shared" ref="Q21:Q28" si="8">N21/K21</f>
        <v>0.8999872064335962</v>
      </c>
      <c r="R21" s="323"/>
      <c r="S21" s="141">
        <v>0.20833333333333334</v>
      </c>
      <c r="T21" s="142">
        <v>0.59248842592592599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10</v>
      </c>
      <c r="AD21" s="179">
        <f>SUM(AD5:AD20)</f>
        <v>0</v>
      </c>
      <c r="AE21" s="167">
        <f t="shared" ref="AE21:AE28" si="9">M21-J21</f>
        <v>-184.02354016218305</v>
      </c>
      <c r="AF21" s="140">
        <f t="shared" ref="AF21:AF28" si="10">M21/J21</f>
        <v>0.8999872064335962</v>
      </c>
      <c r="AG21" s="369"/>
    </row>
    <row r="22" spans="1:33" ht="15.75" customHeight="1">
      <c r="A22" s="355" t="s">
        <v>191</v>
      </c>
      <c r="B22" s="145" t="s">
        <v>192</v>
      </c>
      <c r="C22" s="319" t="s">
        <v>193</v>
      </c>
      <c r="D22" s="320"/>
      <c r="E22" s="146">
        <v>36.450000000000003</v>
      </c>
      <c r="F22" s="158">
        <v>1889</v>
      </c>
      <c r="G22" s="147">
        <f t="shared" ref="G22:G28" si="11">E22*F22</f>
        <v>68854.05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1893.4883422374965</v>
      </c>
      <c r="N22" s="151">
        <f t="shared" si="5"/>
        <v>94.674417111874817</v>
      </c>
      <c r="O22" s="153">
        <f t="shared" si="6"/>
        <v>0</v>
      </c>
      <c r="P22" s="154">
        <f t="shared" si="7"/>
        <v>-10.325582888125183</v>
      </c>
      <c r="Q22" s="155">
        <f t="shared" si="8"/>
        <v>0.90166111535118876</v>
      </c>
      <c r="R22" s="321">
        <f>Q38</f>
        <v>0.90242241498627884</v>
      </c>
      <c r="S22" s="156">
        <v>0.20833333333333334</v>
      </c>
      <c r="T22" s="157">
        <v>0.24989583333333334</v>
      </c>
      <c r="U22" s="158"/>
      <c r="V22" s="159">
        <v>59.857775446385077</v>
      </c>
      <c r="W22" s="96"/>
      <c r="X22" s="97"/>
      <c r="Y22" s="12"/>
      <c r="Z22" s="197"/>
      <c r="AA22" s="324"/>
      <c r="AB22" s="325"/>
      <c r="AC22" s="12">
        <v>0</v>
      </c>
      <c r="AD22" s="197"/>
      <c r="AE22" s="114">
        <f t="shared" si="9"/>
        <v>-206.51165776250355</v>
      </c>
      <c r="AF22" s="155">
        <f t="shared" si="10"/>
        <v>0.90166111535118876</v>
      </c>
      <c r="AG22" s="375">
        <f>AF38</f>
        <v>0.90964179430616898</v>
      </c>
    </row>
    <row r="23" spans="1:33" ht="15.75" customHeight="1">
      <c r="A23" s="356"/>
      <c r="B23" s="162" t="s">
        <v>184</v>
      </c>
      <c r="C23" s="329" t="s">
        <v>194</v>
      </c>
      <c r="D23" s="330"/>
      <c r="E23" s="100">
        <v>31.72</v>
      </c>
      <c r="F23" s="110">
        <v>1132</v>
      </c>
      <c r="G23" s="102">
        <f t="shared" si="11"/>
        <v>35907.040000000001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1801.4275142827237</v>
      </c>
      <c r="N23" s="105">
        <f t="shared" si="5"/>
        <v>81.883068831032901</v>
      </c>
      <c r="O23" s="107">
        <f t="shared" si="6"/>
        <v>0</v>
      </c>
      <c r="P23" s="108">
        <f t="shared" si="7"/>
        <v>-9.0260220780580056</v>
      </c>
      <c r="Q23" s="109">
        <f t="shared" si="8"/>
        <v>0.90071375714136193</v>
      </c>
      <c r="R23" s="322"/>
      <c r="S23" s="46">
        <v>0.25347222222222221</v>
      </c>
      <c r="T23" s="47">
        <v>0.27965277777777775</v>
      </c>
      <c r="U23" s="110">
        <v>5.1499999999999657</v>
      </c>
      <c r="V23" s="111">
        <v>37.703432117857808</v>
      </c>
      <c r="W23" s="112"/>
      <c r="X23" s="115"/>
      <c r="Y23" s="12"/>
      <c r="Z23" s="197"/>
      <c r="AA23" s="331"/>
      <c r="AB23" s="332"/>
      <c r="AC23" s="12">
        <v>1</v>
      </c>
      <c r="AD23" s="197"/>
      <c r="AE23" s="116">
        <f t="shared" si="9"/>
        <v>-198.57248571727632</v>
      </c>
      <c r="AF23" s="109">
        <f t="shared" si="10"/>
        <v>0.90071375714136181</v>
      </c>
      <c r="AG23" s="368"/>
    </row>
    <row r="24" spans="1:33" ht="15.75" customHeight="1">
      <c r="A24" s="356"/>
      <c r="B24" s="162" t="s">
        <v>184</v>
      </c>
      <c r="C24" s="329" t="s">
        <v>195</v>
      </c>
      <c r="D24" s="330"/>
      <c r="E24" s="100">
        <v>34.79</v>
      </c>
      <c r="F24" s="110">
        <v>1146</v>
      </c>
      <c r="G24" s="102">
        <f t="shared" si="11"/>
        <v>39869.339999999997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1809.3279954925194</v>
      </c>
      <c r="N24" s="105">
        <f t="shared" si="5"/>
        <v>164.48436322659268</v>
      </c>
      <c r="O24" s="107">
        <f t="shared" si="6"/>
        <v>0</v>
      </c>
      <c r="P24" s="108">
        <f t="shared" si="7"/>
        <v>-17.333818591589136</v>
      </c>
      <c r="Q24" s="109">
        <f t="shared" si="8"/>
        <v>0.90466399774625972</v>
      </c>
      <c r="R24" s="322"/>
      <c r="S24" s="46">
        <v>0.28263888888888888</v>
      </c>
      <c r="T24" s="47">
        <v>0.30902777777777779</v>
      </c>
      <c r="U24" s="110">
        <v>5</v>
      </c>
      <c r="V24" s="111">
        <v>38.003059794187706</v>
      </c>
      <c r="W24" s="112"/>
      <c r="X24" s="115"/>
      <c r="Y24" s="12"/>
      <c r="Z24" s="197"/>
      <c r="AA24" s="331"/>
      <c r="AB24" s="332"/>
      <c r="AC24" s="12">
        <v>0</v>
      </c>
      <c r="AD24" s="197"/>
      <c r="AE24" s="116">
        <f t="shared" si="9"/>
        <v>-190.67200450748055</v>
      </c>
      <c r="AF24" s="109">
        <f t="shared" si="10"/>
        <v>0.90466399774625972</v>
      </c>
      <c r="AG24" s="368"/>
    </row>
    <row r="25" spans="1:33" ht="15.75" customHeight="1">
      <c r="A25" s="356"/>
      <c r="B25" s="162" t="s">
        <v>184</v>
      </c>
      <c r="C25" s="329" t="s">
        <v>235</v>
      </c>
      <c r="D25" s="330"/>
      <c r="E25" s="100">
        <v>33.200000000000003</v>
      </c>
      <c r="F25" s="110">
        <v>2307</v>
      </c>
      <c r="G25" s="102">
        <f t="shared" si="11"/>
        <v>76592.400000000009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1807.5724640015378</v>
      </c>
      <c r="N25" s="105">
        <f t="shared" si="5"/>
        <v>164.32476945468525</v>
      </c>
      <c r="O25" s="107">
        <f t="shared" si="6"/>
        <v>0</v>
      </c>
      <c r="P25" s="108">
        <f t="shared" si="7"/>
        <v>-17.49341236349656</v>
      </c>
      <c r="Q25" s="109">
        <f t="shared" si="8"/>
        <v>0.90378623200076891</v>
      </c>
      <c r="R25" s="322"/>
      <c r="S25" s="46">
        <v>0.3125</v>
      </c>
      <c r="T25" s="47">
        <v>0.3656712962962963</v>
      </c>
      <c r="U25" s="110">
        <v>4.9999999999999822</v>
      </c>
      <c r="V25" s="111">
        <v>76.57784280115159</v>
      </c>
      <c r="W25" s="112"/>
      <c r="X25" s="115"/>
      <c r="Y25" s="12"/>
      <c r="Z25" s="197"/>
      <c r="AA25" s="331"/>
      <c r="AB25" s="332"/>
      <c r="AC25" s="12">
        <v>1</v>
      </c>
      <c r="AD25" s="197"/>
      <c r="AE25" s="116">
        <f t="shared" si="9"/>
        <v>-192.42753599846219</v>
      </c>
      <c r="AF25" s="109">
        <f t="shared" si="10"/>
        <v>0.90378623200076891</v>
      </c>
      <c r="AG25" s="368"/>
    </row>
    <row r="26" spans="1:33" ht="15.75" customHeight="1">
      <c r="A26" s="357"/>
      <c r="B26" s="162" t="s">
        <v>184</v>
      </c>
      <c r="C26" s="329" t="s">
        <v>196</v>
      </c>
      <c r="D26" s="330"/>
      <c r="E26" s="100">
        <v>51.44</v>
      </c>
      <c r="F26" s="110">
        <v>1295</v>
      </c>
      <c r="G26" s="102">
        <f t="shared" si="11"/>
        <v>66614.8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1802.1709154418077</v>
      </c>
      <c r="N26" s="105">
        <f t="shared" si="5"/>
        <v>94.851100812726713</v>
      </c>
      <c r="O26" s="107">
        <f t="shared" si="6"/>
        <v>0</v>
      </c>
      <c r="P26" s="108">
        <f t="shared" si="7"/>
        <v>-10.412057082010122</v>
      </c>
      <c r="Q26" s="109">
        <f t="shared" si="8"/>
        <v>0.90108545772090387</v>
      </c>
      <c r="R26" s="322"/>
      <c r="S26" s="46">
        <v>0.36944444444444441</v>
      </c>
      <c r="T26" s="47">
        <v>0.39937499999999998</v>
      </c>
      <c r="U26" s="110">
        <v>5.4333333333332767</v>
      </c>
      <c r="V26" s="111">
        <v>43.114667612395472</v>
      </c>
      <c r="W26" s="112"/>
      <c r="X26" s="115"/>
      <c r="Y26" s="12"/>
      <c r="Z26" s="197"/>
      <c r="AA26" s="331"/>
      <c r="AB26" s="332"/>
      <c r="AC26" s="12">
        <v>1</v>
      </c>
      <c r="AD26" s="197"/>
      <c r="AE26" s="116">
        <f t="shared" si="9"/>
        <v>-197.82908455819233</v>
      </c>
      <c r="AF26" s="109">
        <f t="shared" si="10"/>
        <v>0.90108545772090387</v>
      </c>
      <c r="AG26" s="368"/>
    </row>
    <row r="27" spans="1:33" ht="15.75" customHeight="1">
      <c r="A27" s="357"/>
      <c r="B27" s="162" t="s">
        <v>186</v>
      </c>
      <c r="C27" s="329" t="s">
        <v>197</v>
      </c>
      <c r="D27" s="330"/>
      <c r="E27" s="100">
        <v>46.34</v>
      </c>
      <c r="F27" s="110">
        <v>2174</v>
      </c>
      <c r="G27" s="120">
        <f t="shared" si="11"/>
        <v>100743.16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22"/>
      <c r="S27" s="46">
        <v>0.40277777777777773</v>
      </c>
      <c r="T27" s="119">
        <v>0.45862268518518512</v>
      </c>
      <c r="U27" s="110">
        <v>4.8999999999999666</v>
      </c>
      <c r="V27" s="111">
        <v>80.418436705916292</v>
      </c>
      <c r="W27" s="112">
        <v>0.45862268518518512</v>
      </c>
      <c r="X27" s="115">
        <v>0.49652777777777768</v>
      </c>
      <c r="Y27" s="12"/>
      <c r="Z27" s="197"/>
      <c r="AA27" s="331"/>
      <c r="AB27" s="332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68"/>
    </row>
    <row r="28" spans="1:33" ht="15.75" customHeight="1">
      <c r="A28" s="357"/>
      <c r="B28" s="162" t="s">
        <v>198</v>
      </c>
      <c r="C28" s="329" t="s">
        <v>199</v>
      </c>
      <c r="D28" s="330"/>
      <c r="E28" s="100">
        <v>29.97</v>
      </c>
      <c r="F28" s="110">
        <v>1656</v>
      </c>
      <c r="G28" s="120">
        <f t="shared" si="11"/>
        <v>49630.32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0.49652777777777768</v>
      </c>
      <c r="T28" s="119">
        <v>0.52278935185185171</v>
      </c>
      <c r="U28" s="110">
        <v>54.583333333333286</v>
      </c>
      <c r="V28" s="111">
        <v>37.827872753230587</v>
      </c>
      <c r="W28" s="112"/>
      <c r="X28" s="115"/>
      <c r="Y28" s="12"/>
      <c r="Z28" s="197"/>
      <c r="AA28" s="331"/>
      <c r="AB28" s="332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1908.9482797653745</v>
      </c>
      <c r="N38" s="137">
        <f t="shared" ref="N38:N44" si="16">M38/L38</f>
        <v>106.05268220918748</v>
      </c>
      <c r="O38" s="138">
        <f t="shared" ref="O38:O44" si="17">L38-I38</f>
        <v>0.14285714285714235</v>
      </c>
      <c r="P38" s="139">
        <f t="shared" ref="P38:P44" si="18">N38-K38</f>
        <v>-11.467317790812515</v>
      </c>
      <c r="Q38" s="140">
        <f t="shared" ref="Q38:Q44" si="19">N38/K38</f>
        <v>0.90242241498627884</v>
      </c>
      <c r="R38" s="323"/>
      <c r="S38" s="141">
        <v>0.20833333333333334</v>
      </c>
      <c r="T38" s="142">
        <v>0.52278935185185171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5</v>
      </c>
      <c r="AD38" s="179">
        <f>SUM(AD22:AD37)</f>
        <v>0</v>
      </c>
      <c r="AE38" s="167">
        <f t="shared" ref="AE38:AE44" si="20">M38-J38</f>
        <v>-189.6231488060539</v>
      </c>
      <c r="AF38" s="140">
        <f t="shared" ref="AF38:AF44" si="21">M38/J38</f>
        <v>0.90964179430616898</v>
      </c>
      <c r="AG38" s="369"/>
    </row>
    <row r="39" spans="1:33" ht="15.75" customHeight="1">
      <c r="A39" s="316" t="s">
        <v>200</v>
      </c>
      <c r="B39" s="145" t="s">
        <v>188</v>
      </c>
      <c r="C39" s="319" t="s">
        <v>201</v>
      </c>
      <c r="D39" s="320"/>
      <c r="E39" s="146">
        <v>53.76</v>
      </c>
      <c r="F39" s="96">
        <v>2409</v>
      </c>
      <c r="G39" s="147">
        <f t="shared" ref="G39:G44" si="22">E39*F39</f>
        <v>129507.84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1797.321636426243</v>
      </c>
      <c r="N39" s="151">
        <f t="shared" si="16"/>
        <v>89.86608182131215</v>
      </c>
      <c r="O39" s="153">
        <f t="shared" si="17"/>
        <v>0</v>
      </c>
      <c r="P39" s="154">
        <f t="shared" si="18"/>
        <v>-10.13391817868785</v>
      </c>
      <c r="Q39" s="155">
        <f t="shared" si="19"/>
        <v>0.89866081821312149</v>
      </c>
      <c r="R39" s="321">
        <f>Q55</f>
        <v>0.89926810793747636</v>
      </c>
      <c r="S39" s="156">
        <v>0.20833333333333334</v>
      </c>
      <c r="T39" s="157">
        <v>0.26417824074074076</v>
      </c>
      <c r="U39" s="158"/>
      <c r="V39" s="159">
        <v>80.419662830855543</v>
      </c>
      <c r="W39" s="157"/>
      <c r="X39" s="168"/>
      <c r="Y39" s="12"/>
      <c r="Z39" s="197"/>
      <c r="AA39" s="324"/>
      <c r="AB39" s="325"/>
      <c r="AC39" s="12">
        <v>2</v>
      </c>
      <c r="AD39" s="197"/>
      <c r="AE39" s="114">
        <f t="shared" si="20"/>
        <v>-202.678363573757</v>
      </c>
      <c r="AF39" s="155">
        <f t="shared" si="21"/>
        <v>0.89866081821312149</v>
      </c>
      <c r="AG39" s="326">
        <f>AF55</f>
        <v>0.89926810793747647</v>
      </c>
    </row>
    <row r="40" spans="1:33" ht="15.75" customHeight="1">
      <c r="A40" s="317"/>
      <c r="B40" s="162" t="s">
        <v>188</v>
      </c>
      <c r="C40" s="329" t="s">
        <v>202</v>
      </c>
      <c r="D40" s="330"/>
      <c r="E40" s="100">
        <v>71.55</v>
      </c>
      <c r="F40" s="101">
        <v>1444</v>
      </c>
      <c r="G40" s="102">
        <f t="shared" si="22"/>
        <v>103318.2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1798.0029044857411</v>
      </c>
      <c r="N40" s="105">
        <f t="shared" si="16"/>
        <v>81.727404749351862</v>
      </c>
      <c r="O40" s="107">
        <f t="shared" si="17"/>
        <v>0</v>
      </c>
      <c r="P40" s="108">
        <f t="shared" si="18"/>
        <v>-9.1816861597390442</v>
      </c>
      <c r="Q40" s="109">
        <f t="shared" si="19"/>
        <v>0.89900145224287054</v>
      </c>
      <c r="R40" s="322"/>
      <c r="S40" s="46">
        <v>0.2673611111111111</v>
      </c>
      <c r="T40" s="47">
        <v>0.30082175925925925</v>
      </c>
      <c r="U40" s="110">
        <v>4.5833333333333037</v>
      </c>
      <c r="V40" s="111">
        <v>48.186796463924786</v>
      </c>
      <c r="W40" s="112"/>
      <c r="X40" s="115"/>
      <c r="Y40" s="12"/>
      <c r="Z40" s="197"/>
      <c r="AA40" s="331"/>
      <c r="AB40" s="332"/>
      <c r="AC40" s="12">
        <v>1</v>
      </c>
      <c r="AD40" s="197"/>
      <c r="AE40" s="116">
        <f t="shared" si="20"/>
        <v>-201.99709551425894</v>
      </c>
      <c r="AF40" s="109">
        <f t="shared" si="21"/>
        <v>0.89900145224287054</v>
      </c>
      <c r="AG40" s="327"/>
    </row>
    <row r="41" spans="1:33" ht="15.75" customHeight="1">
      <c r="A41" s="317"/>
      <c r="B41" s="162" t="s">
        <v>188</v>
      </c>
      <c r="C41" s="329" t="s">
        <v>203</v>
      </c>
      <c r="D41" s="330"/>
      <c r="E41" s="100">
        <v>63.92</v>
      </c>
      <c r="F41" s="101">
        <v>1141</v>
      </c>
      <c r="G41" s="102">
        <f t="shared" si="22"/>
        <v>72932.72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1798.8272631081929</v>
      </c>
      <c r="N41" s="105">
        <f t="shared" si="16"/>
        <v>74.951135962841377</v>
      </c>
      <c r="O41" s="107">
        <f t="shared" si="17"/>
        <v>0</v>
      </c>
      <c r="P41" s="108">
        <f t="shared" si="18"/>
        <v>-8.3821973704919515</v>
      </c>
      <c r="Q41" s="109">
        <f t="shared" si="19"/>
        <v>0.89941363155409659</v>
      </c>
      <c r="R41" s="322"/>
      <c r="S41" s="46">
        <v>0.30416666666666664</v>
      </c>
      <c r="T41" s="47">
        <v>0.33059027777777777</v>
      </c>
      <c r="U41" s="110">
        <v>4.8166666666666469</v>
      </c>
      <c r="V41" s="111">
        <v>38.058128984385078</v>
      </c>
      <c r="W41" s="112"/>
      <c r="X41" s="115"/>
      <c r="Y41" s="12"/>
      <c r="Z41" s="197"/>
      <c r="AA41" s="331"/>
      <c r="AB41" s="332"/>
      <c r="AC41" s="12">
        <v>1</v>
      </c>
      <c r="AD41" s="197"/>
      <c r="AE41" s="116">
        <f t="shared" si="20"/>
        <v>-201.17273689180706</v>
      </c>
      <c r="AF41" s="109">
        <f t="shared" si="21"/>
        <v>0.89941363155409648</v>
      </c>
      <c r="AG41" s="327"/>
    </row>
    <row r="42" spans="1:33" ht="15.75" customHeight="1">
      <c r="A42" s="317"/>
      <c r="B42" s="162" t="s">
        <v>188</v>
      </c>
      <c r="C42" s="329" t="s">
        <v>204</v>
      </c>
      <c r="D42" s="330"/>
      <c r="E42" s="100">
        <v>58.67</v>
      </c>
      <c r="F42" s="101">
        <v>2653</v>
      </c>
      <c r="G42" s="102">
        <f t="shared" si="22"/>
        <v>155651.51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1798.5619808337708</v>
      </c>
      <c r="N42" s="105">
        <f t="shared" si="16"/>
        <v>78.198346992772642</v>
      </c>
      <c r="O42" s="107">
        <f t="shared" si="17"/>
        <v>0</v>
      </c>
      <c r="P42" s="108">
        <f t="shared" si="18"/>
        <v>-8.7581747463577955</v>
      </c>
      <c r="Q42" s="109">
        <f t="shared" si="19"/>
        <v>0.89928099041688536</v>
      </c>
      <c r="R42" s="322"/>
      <c r="S42" s="46">
        <v>0.33402777777777776</v>
      </c>
      <c r="T42" s="47">
        <v>0.39548611111111109</v>
      </c>
      <c r="U42" s="110">
        <v>4.9499999999999744</v>
      </c>
      <c r="V42" s="111">
        <v>88.504039169230026</v>
      </c>
      <c r="W42" s="112"/>
      <c r="X42" s="115"/>
      <c r="Y42" s="12"/>
      <c r="Z42" s="197"/>
      <c r="AA42" s="331"/>
      <c r="AB42" s="332"/>
      <c r="AC42" s="12">
        <v>2</v>
      </c>
      <c r="AD42" s="197"/>
      <c r="AE42" s="116">
        <f t="shared" si="20"/>
        <v>-201.4380191662292</v>
      </c>
      <c r="AF42" s="109">
        <f t="shared" si="21"/>
        <v>0.89928099041688536</v>
      </c>
      <c r="AG42" s="327"/>
    </row>
    <row r="43" spans="1:33" ht="15.75" customHeight="1">
      <c r="A43" s="317"/>
      <c r="B43" s="162" t="s">
        <v>188</v>
      </c>
      <c r="C43" s="329" t="s">
        <v>205</v>
      </c>
      <c r="D43" s="330"/>
      <c r="E43" s="100">
        <v>59.54</v>
      </c>
      <c r="F43" s="101">
        <v>2054</v>
      </c>
      <c r="G43" s="102">
        <f t="shared" si="22"/>
        <v>122295.16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1798.2576036313926</v>
      </c>
      <c r="N43" s="105">
        <f t="shared" si="16"/>
        <v>78.185113201364899</v>
      </c>
      <c r="O43" s="107">
        <f t="shared" si="17"/>
        <v>0</v>
      </c>
      <c r="P43" s="108">
        <f t="shared" si="18"/>
        <v>-8.771408537765538</v>
      </c>
      <c r="Q43" s="109">
        <f t="shared" si="19"/>
        <v>0.89912880181569632</v>
      </c>
      <c r="R43" s="322"/>
      <c r="S43" s="46">
        <v>0.39861111111111108</v>
      </c>
      <c r="T43" s="47">
        <v>0.44619212962962962</v>
      </c>
      <c r="U43" s="110">
        <v>5</v>
      </c>
      <c r="V43" s="111">
        <v>68.533006478676768</v>
      </c>
      <c r="W43" s="112">
        <v>0.44619212962962962</v>
      </c>
      <c r="X43" s="115">
        <v>0.48472222222222217</v>
      </c>
      <c r="Y43" s="12"/>
      <c r="Z43" s="197"/>
      <c r="AA43" s="331"/>
      <c r="AB43" s="332"/>
      <c r="AC43" s="12">
        <v>1</v>
      </c>
      <c r="AD43" s="197"/>
      <c r="AE43" s="116">
        <f t="shared" si="20"/>
        <v>-201.74239636860739</v>
      </c>
      <c r="AF43" s="109">
        <f t="shared" si="21"/>
        <v>0.89912880181569632</v>
      </c>
      <c r="AG43" s="327"/>
    </row>
    <row r="44" spans="1:33" ht="15.75" customHeight="1">
      <c r="A44" s="317"/>
      <c r="B44" s="162" t="s">
        <v>188</v>
      </c>
      <c r="C44" s="329" t="s">
        <v>206</v>
      </c>
      <c r="D44" s="330"/>
      <c r="E44" s="100">
        <v>61.09</v>
      </c>
      <c r="F44" s="101">
        <v>2513</v>
      </c>
      <c r="G44" s="120">
        <f t="shared" si="22"/>
        <v>153519.17000000001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1800.2459067643754</v>
      </c>
      <c r="N44" s="105">
        <f t="shared" si="16"/>
        <v>90.012295338218763</v>
      </c>
      <c r="O44" s="107">
        <f t="shared" si="17"/>
        <v>0</v>
      </c>
      <c r="P44" s="108">
        <f t="shared" si="18"/>
        <v>-9.9877046617812368</v>
      </c>
      <c r="Q44" s="109">
        <f t="shared" si="19"/>
        <v>0.90012295338218762</v>
      </c>
      <c r="R44" s="322"/>
      <c r="S44" s="46">
        <v>0.48472222222222217</v>
      </c>
      <c r="T44" s="119">
        <v>0.54288194444444438</v>
      </c>
      <c r="U44" s="110">
        <v>55.483333333333263</v>
      </c>
      <c r="V44" s="111">
        <v>83.755224457641162</v>
      </c>
      <c r="W44" s="112"/>
      <c r="X44" s="115"/>
      <c r="Y44" s="12"/>
      <c r="Z44" s="197"/>
      <c r="AA44" s="331"/>
      <c r="AB44" s="332"/>
      <c r="AC44" s="12">
        <v>2</v>
      </c>
      <c r="AD44" s="197"/>
      <c r="AE44" s="116">
        <f t="shared" si="20"/>
        <v>-199.75409323562462</v>
      </c>
      <c r="AF44" s="109">
        <f t="shared" si="21"/>
        <v>0.90012295338218773</v>
      </c>
      <c r="AG44" s="327"/>
    </row>
    <row r="45" spans="1:33" ht="15.75" customHeight="1">
      <c r="A45" s="317"/>
      <c r="B45" s="162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118"/>
      <c r="T45" s="119"/>
      <c r="U45" s="110"/>
      <c r="V45" s="111"/>
      <c r="W45" s="119"/>
      <c r="X45" s="188"/>
      <c r="Y45" s="12"/>
      <c r="Z45" s="197"/>
      <c r="AA45" s="331"/>
      <c r="AB45" s="332"/>
      <c r="AC45" s="12"/>
      <c r="AD45" s="197"/>
      <c r="AE45" s="116"/>
      <c r="AF45" s="109"/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1798.5362158749529</v>
      </c>
      <c r="N55" s="137">
        <f t="shared" ref="N55:N63" si="27">M55/L55</f>
        <v>81.751646176134216</v>
      </c>
      <c r="O55" s="138">
        <f t="shared" ref="O55:O63" si="28">L55-I55</f>
        <v>0</v>
      </c>
      <c r="P55" s="139">
        <f t="shared" ref="P55:P63" si="29">N55-K55</f>
        <v>-9.1574447329566908</v>
      </c>
      <c r="Q55" s="140">
        <f t="shared" ref="Q55:Q63" si="30">N55/K55</f>
        <v>0.89926810793747636</v>
      </c>
      <c r="R55" s="323"/>
      <c r="S55" s="141">
        <v>0.20833333333333334</v>
      </c>
      <c r="T55" s="142">
        <v>0.54288194444444438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9</v>
      </c>
      <c r="AD55" s="190">
        <f>SUM(AD39:AD54)</f>
        <v>0</v>
      </c>
      <c r="AE55" s="167">
        <f t="shared" ref="AE55:AE63" si="31">M55-J55</f>
        <v>-201.46378412504714</v>
      </c>
      <c r="AF55" s="140">
        <f t="shared" ref="AF55:AF63" si="32">M55/J55</f>
        <v>0.89926810793747647</v>
      </c>
      <c r="AG55" s="328"/>
    </row>
    <row r="56" spans="1:33" ht="15.75" customHeight="1">
      <c r="A56" s="355" t="s">
        <v>207</v>
      </c>
      <c r="B56" s="113" t="s">
        <v>208</v>
      </c>
      <c r="C56" s="366" t="s">
        <v>209</v>
      </c>
      <c r="D56" s="366"/>
      <c r="E56" s="146">
        <v>28.86</v>
      </c>
      <c r="F56" s="96">
        <v>2163</v>
      </c>
      <c r="G56" s="147">
        <f t="shared" ref="G56:G63" si="33">E56*F56</f>
        <v>62424.18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3191.8379423240026</v>
      </c>
      <c r="N56" s="151">
        <f t="shared" si="27"/>
        <v>167.99147064863172</v>
      </c>
      <c r="O56" s="153">
        <f t="shared" si="28"/>
        <v>0</v>
      </c>
      <c r="P56" s="154">
        <f t="shared" si="29"/>
        <v>-21.482213561894611</v>
      </c>
      <c r="Q56" s="155">
        <f t="shared" si="30"/>
        <v>0.8866216506455562</v>
      </c>
      <c r="R56" s="321">
        <f>Q72</f>
        <v>0.9021422123702435</v>
      </c>
      <c r="S56" s="156">
        <v>0.20833333333333334</v>
      </c>
      <c r="T56" s="157">
        <v>0.23656250000000001</v>
      </c>
      <c r="U56" s="158"/>
      <c r="V56" s="159">
        <v>40.659959040873531</v>
      </c>
      <c r="W56" s="157"/>
      <c r="X56" s="168"/>
      <c r="Y56" s="12"/>
      <c r="Z56" s="197"/>
      <c r="AA56" s="324"/>
      <c r="AB56" s="325"/>
      <c r="AC56" s="12">
        <v>1</v>
      </c>
      <c r="AD56" s="197"/>
      <c r="AE56" s="114">
        <f t="shared" si="31"/>
        <v>-408.1620576759974</v>
      </c>
      <c r="AF56" s="155">
        <f t="shared" si="32"/>
        <v>0.88662165064555631</v>
      </c>
      <c r="AG56" s="326">
        <f>AF72</f>
        <v>0.90214221237024339</v>
      </c>
    </row>
    <row r="57" spans="1:33" ht="15.75" customHeight="1">
      <c r="A57" s="356"/>
      <c r="B57" s="99" t="s">
        <v>208</v>
      </c>
      <c r="C57" s="370" t="s">
        <v>210</v>
      </c>
      <c r="D57" s="370"/>
      <c r="E57" s="100">
        <v>35.89</v>
      </c>
      <c r="F57" s="101">
        <v>3112</v>
      </c>
      <c r="G57" s="102">
        <f t="shared" si="33"/>
        <v>111689.68000000001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3191.4877585405879</v>
      </c>
      <c r="N57" s="105">
        <f t="shared" si="27"/>
        <v>167.97303992318885</v>
      </c>
      <c r="O57" s="107">
        <f t="shared" si="28"/>
        <v>0</v>
      </c>
      <c r="P57" s="108">
        <f t="shared" si="29"/>
        <v>-21.500644287337479</v>
      </c>
      <c r="Q57" s="109">
        <f t="shared" si="30"/>
        <v>0.88652437737238554</v>
      </c>
      <c r="R57" s="322"/>
      <c r="S57" s="46">
        <v>0.23958333333333331</v>
      </c>
      <c r="T57" s="47">
        <v>0.28020833333333334</v>
      </c>
      <c r="U57" s="110">
        <v>5</v>
      </c>
      <c r="V57" s="111">
        <v>58.5056293887788</v>
      </c>
      <c r="W57" s="112"/>
      <c r="X57" s="115"/>
      <c r="Y57" s="12"/>
      <c r="Z57" s="197"/>
      <c r="AA57" s="331"/>
      <c r="AB57" s="332"/>
      <c r="AC57" s="12">
        <v>1</v>
      </c>
      <c r="AD57" s="197"/>
      <c r="AE57" s="116">
        <f t="shared" si="31"/>
        <v>-408.51224145941205</v>
      </c>
      <c r="AF57" s="109">
        <f t="shared" si="32"/>
        <v>0.88652437737238554</v>
      </c>
      <c r="AG57" s="327"/>
    </row>
    <row r="58" spans="1:33" ht="15.75" customHeight="1">
      <c r="A58" s="356"/>
      <c r="B58" s="99" t="s">
        <v>208</v>
      </c>
      <c r="C58" s="370" t="s">
        <v>212</v>
      </c>
      <c r="D58" s="370"/>
      <c r="E58" s="100">
        <v>43.96</v>
      </c>
      <c r="F58" s="101">
        <v>1515</v>
      </c>
      <c r="G58" s="102">
        <f t="shared" si="33"/>
        <v>66599.399999999994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3268.3483112263402</v>
      </c>
      <c r="N58" s="105">
        <f t="shared" si="27"/>
        <v>136.18117963443083</v>
      </c>
      <c r="O58" s="107">
        <f t="shared" si="28"/>
        <v>0</v>
      </c>
      <c r="P58" s="108">
        <f t="shared" si="29"/>
        <v>-13.818820365569167</v>
      </c>
      <c r="Q58" s="109">
        <f t="shared" si="30"/>
        <v>0.90787453089620551</v>
      </c>
      <c r="R58" s="322"/>
      <c r="S58" s="46">
        <v>0.28402777777777777</v>
      </c>
      <c r="T58" s="47">
        <v>0.30333333333333334</v>
      </c>
      <c r="U58" s="110">
        <v>5.4999999999999805</v>
      </c>
      <c r="V58" s="111">
        <v>27.812213186633329</v>
      </c>
      <c r="W58" s="112"/>
      <c r="X58" s="115"/>
      <c r="Y58" s="12"/>
      <c r="Z58" s="197"/>
      <c r="AA58" s="331"/>
      <c r="AB58" s="332"/>
      <c r="AC58" s="12">
        <v>1</v>
      </c>
      <c r="AD58" s="197"/>
      <c r="AE58" s="116">
        <f t="shared" si="31"/>
        <v>-331.65168877365977</v>
      </c>
      <c r="AF58" s="109">
        <f t="shared" si="32"/>
        <v>0.90787453089620562</v>
      </c>
      <c r="AG58" s="327"/>
    </row>
    <row r="59" spans="1:33" ht="15.75" customHeight="1">
      <c r="A59" s="356"/>
      <c r="B59" s="99" t="s">
        <v>208</v>
      </c>
      <c r="C59" s="370" t="s">
        <v>213</v>
      </c>
      <c r="D59" s="370"/>
      <c r="E59" s="100">
        <v>46.93</v>
      </c>
      <c r="F59" s="101">
        <v>1158</v>
      </c>
      <c r="G59" s="102">
        <f t="shared" si="33"/>
        <v>54344.94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3268.3465440095379</v>
      </c>
      <c r="N59" s="105">
        <f t="shared" si="27"/>
        <v>136.18110600039742</v>
      </c>
      <c r="O59" s="107">
        <f t="shared" si="28"/>
        <v>0</v>
      </c>
      <c r="P59" s="108">
        <f t="shared" si="29"/>
        <v>-13.818893999602579</v>
      </c>
      <c r="Q59" s="109">
        <f t="shared" si="30"/>
        <v>0.90787404000264949</v>
      </c>
      <c r="R59" s="322"/>
      <c r="S59" s="46">
        <v>0.30624999999999997</v>
      </c>
      <c r="T59" s="47">
        <v>0.32100694444444439</v>
      </c>
      <c r="U59" s="110">
        <v>5</v>
      </c>
      <c r="V59" s="111">
        <v>21.258455633276704</v>
      </c>
      <c r="W59" s="112"/>
      <c r="X59" s="115"/>
      <c r="Y59" s="12"/>
      <c r="Z59" s="197"/>
      <c r="AA59" s="331"/>
      <c r="AB59" s="332"/>
      <c r="AC59" s="12">
        <v>1</v>
      </c>
      <c r="AD59" s="197"/>
      <c r="AE59" s="198">
        <f t="shared" si="31"/>
        <v>-331.65345599046213</v>
      </c>
      <c r="AF59" s="199">
        <f t="shared" si="32"/>
        <v>0.90787404000264937</v>
      </c>
      <c r="AG59" s="327"/>
    </row>
    <row r="60" spans="1:33" ht="15.75" customHeight="1">
      <c r="A60" s="357"/>
      <c r="B60" s="99" t="s">
        <v>208</v>
      </c>
      <c r="C60" s="370" t="s">
        <v>214</v>
      </c>
      <c r="D60" s="370"/>
      <c r="E60" s="100">
        <v>36.729999999999997</v>
      </c>
      <c r="F60" s="104">
        <v>3348</v>
      </c>
      <c r="G60" s="102">
        <f t="shared" si="33"/>
        <v>122972.04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3260.4567104351827</v>
      </c>
      <c r="N60" s="105">
        <f t="shared" si="27"/>
        <v>163.02283552175913</v>
      </c>
      <c r="O60" s="107">
        <f t="shared" si="28"/>
        <v>0</v>
      </c>
      <c r="P60" s="108">
        <f t="shared" si="29"/>
        <v>-16.977164478240866</v>
      </c>
      <c r="Q60" s="109">
        <f t="shared" si="30"/>
        <v>0.90568241956532858</v>
      </c>
      <c r="R60" s="322"/>
      <c r="S60" s="46">
        <v>0.32430555555555551</v>
      </c>
      <c r="T60" s="47">
        <v>0.36708333333333332</v>
      </c>
      <c r="U60" s="110">
        <v>4.7500000000000231</v>
      </c>
      <c r="V60" s="111">
        <v>61.611000494831885</v>
      </c>
      <c r="W60" s="112"/>
      <c r="X60" s="115"/>
      <c r="Y60" s="12"/>
      <c r="Z60" s="197"/>
      <c r="AA60" s="331"/>
      <c r="AB60" s="332"/>
      <c r="AC60" s="12">
        <v>1</v>
      </c>
      <c r="AD60" s="197"/>
      <c r="AE60" s="198">
        <f t="shared" si="31"/>
        <v>-339.54328956481731</v>
      </c>
      <c r="AF60" s="199">
        <f t="shared" si="32"/>
        <v>0.90568241956532858</v>
      </c>
      <c r="AG60" s="327"/>
    </row>
    <row r="61" spans="1:33" ht="15.75" customHeight="1">
      <c r="A61" s="357"/>
      <c r="B61" s="99" t="s">
        <v>208</v>
      </c>
      <c r="C61" s="370" t="s">
        <v>233</v>
      </c>
      <c r="D61" s="370"/>
      <c r="E61" s="100">
        <v>48.4</v>
      </c>
      <c r="F61" s="104">
        <v>2505</v>
      </c>
      <c r="G61" s="120">
        <f t="shared" si="33"/>
        <v>121242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3265.1452091536039</v>
      </c>
      <c r="N61" s="105">
        <f t="shared" si="27"/>
        <v>148.41569132516381</v>
      </c>
      <c r="O61" s="107">
        <f t="shared" si="28"/>
        <v>0</v>
      </c>
      <c r="P61" s="108">
        <f t="shared" si="29"/>
        <v>-15.22067231119982</v>
      </c>
      <c r="Q61" s="109">
        <f t="shared" si="30"/>
        <v>0.90698478032044549</v>
      </c>
      <c r="R61" s="322"/>
      <c r="S61" s="46">
        <v>0.37083333333333329</v>
      </c>
      <c r="T61" s="119">
        <v>0.40278935185185183</v>
      </c>
      <c r="U61" s="110">
        <v>5.3999999999999648</v>
      </c>
      <c r="V61" s="111">
        <v>46.031643425427013</v>
      </c>
      <c r="W61" s="112"/>
      <c r="X61" s="115"/>
      <c r="Y61" s="12"/>
      <c r="Z61" s="197"/>
      <c r="AA61" s="331"/>
      <c r="AB61" s="332"/>
      <c r="AC61" s="12">
        <v>1</v>
      </c>
      <c r="AD61" s="197"/>
      <c r="AE61" s="198">
        <f t="shared" si="31"/>
        <v>-334.8547908463961</v>
      </c>
      <c r="AF61" s="199">
        <f t="shared" si="32"/>
        <v>0.90698478032044549</v>
      </c>
      <c r="AG61" s="327"/>
    </row>
    <row r="62" spans="1:33" ht="15.75" customHeight="1">
      <c r="A62" s="357"/>
      <c r="B62" s="99" t="s">
        <v>208</v>
      </c>
      <c r="C62" s="370" t="s">
        <v>216</v>
      </c>
      <c r="D62" s="370"/>
      <c r="E62" s="100">
        <v>38.479999999999997</v>
      </c>
      <c r="F62" s="104">
        <v>5229</v>
      </c>
      <c r="G62" s="120">
        <f t="shared" si="33"/>
        <v>201211.91999999998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3267.1412005177531</v>
      </c>
      <c r="N62" s="105">
        <f t="shared" si="27"/>
        <v>163.35706002588765</v>
      </c>
      <c r="O62" s="122">
        <f t="shared" si="28"/>
        <v>0</v>
      </c>
      <c r="P62" s="123">
        <f t="shared" si="29"/>
        <v>-16.642939974112352</v>
      </c>
      <c r="Q62" s="124">
        <f t="shared" si="30"/>
        <v>0.90753922236604245</v>
      </c>
      <c r="R62" s="322"/>
      <c r="S62" s="46">
        <v>0.40694444444444439</v>
      </c>
      <c r="T62" s="119">
        <v>0.47362268518518513</v>
      </c>
      <c r="U62" s="110">
        <v>5.9833333333332828</v>
      </c>
      <c r="V62" s="111">
        <v>96.028907458998333</v>
      </c>
      <c r="W62" s="112">
        <v>0.47362268518518513</v>
      </c>
      <c r="X62" s="115">
        <v>0.51319444444444429</v>
      </c>
      <c r="Y62" s="12"/>
      <c r="Z62" s="197"/>
      <c r="AA62" s="331"/>
      <c r="AB62" s="332"/>
      <c r="AC62" s="12">
        <v>2</v>
      </c>
      <c r="AD62" s="197"/>
      <c r="AE62" s="198">
        <f t="shared" si="31"/>
        <v>-332.85879948224692</v>
      </c>
      <c r="AF62" s="199">
        <f t="shared" si="32"/>
        <v>0.90753922236604256</v>
      </c>
      <c r="AG62" s="327"/>
    </row>
    <row r="63" spans="1:33" ht="15.75" customHeight="1">
      <c r="A63" s="357"/>
      <c r="B63" s="99" t="s">
        <v>208</v>
      </c>
      <c r="C63" s="370" t="s">
        <v>215</v>
      </c>
      <c r="D63" s="370"/>
      <c r="E63" s="100">
        <v>37.799999999999997</v>
      </c>
      <c r="F63" s="104">
        <v>7255</v>
      </c>
      <c r="G63" s="120">
        <f t="shared" si="33"/>
        <v>274239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3268.9320400560023</v>
      </c>
      <c r="N63" s="105">
        <f t="shared" si="27"/>
        <v>155.66343047885726</v>
      </c>
      <c r="O63" s="122">
        <f t="shared" si="28"/>
        <v>0</v>
      </c>
      <c r="P63" s="123">
        <f t="shared" si="29"/>
        <v>-15.765140949714151</v>
      </c>
      <c r="Q63" s="124">
        <f t="shared" si="30"/>
        <v>0.90803667779333408</v>
      </c>
      <c r="R63" s="322"/>
      <c r="S63" s="46">
        <v>0.51319444444444429</v>
      </c>
      <c r="T63" s="119">
        <v>0.60565972222222209</v>
      </c>
      <c r="U63" s="110">
        <v>56.983333333333178</v>
      </c>
      <c r="V63" s="111">
        <v>133.1627561130156</v>
      </c>
      <c r="W63" s="112"/>
      <c r="X63" s="115"/>
      <c r="Y63" s="12"/>
      <c r="Z63" s="197"/>
      <c r="AA63" s="331"/>
      <c r="AB63" s="332"/>
      <c r="AC63" s="12">
        <v>3</v>
      </c>
      <c r="AD63" s="197"/>
      <c r="AE63" s="198">
        <f t="shared" si="31"/>
        <v>-331.06795994399772</v>
      </c>
      <c r="AF63" s="199">
        <f t="shared" si="32"/>
        <v>0.90803667779333397</v>
      </c>
      <c r="AG63" s="327"/>
    </row>
    <row r="64" spans="1:33" ht="15.75" customHeight="1">
      <c r="A64" s="357"/>
      <c r="B64" s="99"/>
      <c r="C64" s="370"/>
      <c r="D64" s="370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12"/>
      <c r="X64" s="115"/>
      <c r="Y64" s="12"/>
      <c r="Z64" s="197"/>
      <c r="AA64" s="331"/>
      <c r="AB64" s="332"/>
      <c r="AC64" s="12"/>
      <c r="AD64" s="197"/>
      <c r="AE64" s="198"/>
      <c r="AF64" s="199"/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3247.7119645328762</v>
      </c>
      <c r="N72" s="137">
        <f>M72/L72</f>
        <v>153.73784447492906</v>
      </c>
      <c r="O72" s="138">
        <f>L72-I72</f>
        <v>0</v>
      </c>
      <c r="P72" s="139">
        <f>N72-K72</f>
        <v>-16.67635670850288</v>
      </c>
      <c r="Q72" s="140">
        <f>N72/K72</f>
        <v>0.9021422123702435</v>
      </c>
      <c r="R72" s="323"/>
      <c r="S72" s="141">
        <v>0.20833333333333334</v>
      </c>
      <c r="T72" s="142">
        <v>0.60565972222222209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11</v>
      </c>
      <c r="AD72" s="190">
        <f>SUM(AD56:AD71)</f>
        <v>0</v>
      </c>
      <c r="AE72" s="167">
        <f>M72-J72</f>
        <v>-352.28803546712379</v>
      </c>
      <c r="AF72" s="140">
        <f>M72/J72</f>
        <v>0.90214221237024339</v>
      </c>
      <c r="AG72" s="328"/>
    </row>
    <row r="73" spans="1:33" ht="15.75" customHeight="1">
      <c r="A73" s="316" t="s">
        <v>115</v>
      </c>
      <c r="B73" s="99" t="s">
        <v>192</v>
      </c>
      <c r="C73" s="329" t="s">
        <v>217</v>
      </c>
      <c r="D73" s="330"/>
      <c r="E73" s="100">
        <v>23.55</v>
      </c>
      <c r="F73" s="101">
        <v>3616</v>
      </c>
      <c r="G73" s="120">
        <f t="shared" ref="G73:G75" si="39">E73*F73</f>
        <v>85156.800000000003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2257.8293326791177</v>
      </c>
      <c r="N73" s="105">
        <f>M73/L73</f>
        <v>376.30488877985294</v>
      </c>
      <c r="O73" s="107">
        <f>L73-I73</f>
        <v>0</v>
      </c>
      <c r="P73" s="108">
        <f>N73-K73</f>
        <v>-40.361777886813741</v>
      </c>
      <c r="Q73" s="109">
        <f>N73/K73</f>
        <v>0.90313173307164707</v>
      </c>
      <c r="R73" s="321">
        <f>Q89</f>
        <v>0.85140435521129854</v>
      </c>
      <c r="S73" s="46">
        <v>0.34930555555555554</v>
      </c>
      <c r="T73" s="119">
        <v>0.4160300925925926</v>
      </c>
      <c r="U73" s="110">
        <v>5</v>
      </c>
      <c r="V73" s="111">
        <v>96.092293983335509</v>
      </c>
      <c r="W73" s="160"/>
      <c r="X73" s="161"/>
      <c r="Y73" s="12"/>
      <c r="Z73" s="197"/>
      <c r="AA73" s="324"/>
      <c r="AB73" s="325"/>
      <c r="AC73" s="12">
        <v>1</v>
      </c>
      <c r="AD73" s="197"/>
      <c r="AE73" s="114">
        <f>M73-J73</f>
        <v>-242.17066732088233</v>
      </c>
      <c r="AF73" s="155">
        <f>M73/J73</f>
        <v>0.90313173307164707</v>
      </c>
      <c r="AG73" s="326">
        <f>AF89</f>
        <v>0.90461712741200484</v>
      </c>
    </row>
    <row r="74" spans="1:33" ht="15.75" customHeight="1">
      <c r="A74" s="317"/>
      <c r="B74" s="99" t="s">
        <v>192</v>
      </c>
      <c r="C74" s="329" t="s">
        <v>218</v>
      </c>
      <c r="D74" s="330"/>
      <c r="E74" s="100">
        <v>27.05</v>
      </c>
      <c r="F74" s="101">
        <v>527</v>
      </c>
      <c r="G74" s="120">
        <f t="shared" si="39"/>
        <v>14255.35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2960.005377592187</v>
      </c>
      <c r="N74" s="105">
        <f>M74/L74</f>
        <v>493.33422959869785</v>
      </c>
      <c r="O74" s="122">
        <f>L74-I74</f>
        <v>1</v>
      </c>
      <c r="P74" s="123">
        <f>N74-K74</f>
        <v>-161.26577040130218</v>
      </c>
      <c r="Q74" s="124">
        <f>N74/K74</f>
        <v>0.75364226947555424</v>
      </c>
      <c r="R74" s="322"/>
      <c r="S74" s="46">
        <v>0.4194444444444444</v>
      </c>
      <c r="T74" s="119">
        <v>0.42685185185185182</v>
      </c>
      <c r="U74" s="110">
        <v>4.9166666666665826</v>
      </c>
      <c r="V74" s="111">
        <v>10.682413025114588</v>
      </c>
      <c r="W74" s="112"/>
      <c r="X74" s="115"/>
      <c r="Y74" s="12"/>
      <c r="Z74" s="197"/>
      <c r="AA74" s="331"/>
      <c r="AB74" s="332"/>
      <c r="AC74" s="12">
        <v>0</v>
      </c>
      <c r="AD74" s="197"/>
      <c r="AE74" s="116">
        <f>M74-J74</f>
        <v>-312.99462240781304</v>
      </c>
      <c r="AF74" s="109">
        <f>M74/J74</f>
        <v>0.90437072337066515</v>
      </c>
      <c r="AG74" s="327"/>
    </row>
    <row r="75" spans="1:33" ht="15.75" customHeight="1">
      <c r="A75" s="317"/>
      <c r="B75" s="99" t="s">
        <v>192</v>
      </c>
      <c r="C75" s="329" t="s">
        <v>219</v>
      </c>
      <c r="D75" s="330"/>
      <c r="E75" s="100">
        <v>27.05</v>
      </c>
      <c r="F75" s="101">
        <v>686</v>
      </c>
      <c r="G75" s="120">
        <f t="shared" si="39"/>
        <v>18556.3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2965.3318242976907</v>
      </c>
      <c r="N75" s="105">
        <f>M75/L75</f>
        <v>593.06636485953811</v>
      </c>
      <c r="O75" s="122">
        <f>L75-I75</f>
        <v>0</v>
      </c>
      <c r="P75" s="123">
        <f>N75-K75</f>
        <v>-61.533635140461911</v>
      </c>
      <c r="Q75" s="124">
        <f>N75/K75</f>
        <v>0.90599811313708845</v>
      </c>
      <c r="R75" s="322"/>
      <c r="S75" s="46">
        <v>0.43055555555555547</v>
      </c>
      <c r="T75" s="119">
        <v>0.44018518518518512</v>
      </c>
      <c r="U75" s="110">
        <v>5.3333333333332611</v>
      </c>
      <c r="V75" s="111">
        <v>13.88040274708492</v>
      </c>
      <c r="W75" s="112"/>
      <c r="X75" s="115"/>
      <c r="Y75" s="12"/>
      <c r="Z75" s="197"/>
      <c r="AA75" s="331"/>
      <c r="AB75" s="332"/>
      <c r="AC75" s="12">
        <v>0</v>
      </c>
      <c r="AD75" s="197"/>
      <c r="AE75" s="116">
        <f>M75-J75</f>
        <v>-307.66817570230933</v>
      </c>
      <c r="AF75" s="109">
        <f>M75/J75</f>
        <v>0.90599811313708856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2727.7221781896656</v>
      </c>
      <c r="N89" s="137">
        <f>M89/L89</f>
        <v>481.36273732758804</v>
      </c>
      <c r="O89" s="138">
        <f>L89-I89</f>
        <v>0.33333333333333393</v>
      </c>
      <c r="P89" s="139">
        <f>N89-K89</f>
        <v>-84.012262672412078</v>
      </c>
      <c r="Q89" s="140">
        <f>N89/K89</f>
        <v>0.85140435521129854</v>
      </c>
      <c r="R89" s="323"/>
      <c r="S89" s="141">
        <v>0.20833333333333334</v>
      </c>
      <c r="T89" s="142">
        <v>0.44018518518518512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1</v>
      </c>
      <c r="AD89" s="190">
        <f>SUM(AD73:AD88)</f>
        <v>0</v>
      </c>
      <c r="AE89" s="167">
        <f>M89-J89</f>
        <v>-287.61115514366793</v>
      </c>
      <c r="AF89" s="140">
        <f>M89/J89</f>
        <v>0.90461712741200484</v>
      </c>
      <c r="AG89" s="328"/>
    </row>
    <row r="90" spans="1:33" ht="15.75" customHeight="1">
      <c r="A90" s="355" t="s">
        <v>220</v>
      </c>
      <c r="B90" s="113" t="s">
        <v>192</v>
      </c>
      <c r="C90" s="319" t="s">
        <v>221</v>
      </c>
      <c r="D90" s="320"/>
      <c r="E90" s="146">
        <v>15.51</v>
      </c>
      <c r="F90" s="96">
        <v>1632</v>
      </c>
      <c r="G90" s="147">
        <f t="shared" ref="G90:G91" si="43">E90*F90</f>
        <v>25312.32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3248.6400000000021</v>
      </c>
      <c r="N90" s="151">
        <f>M90/L90</f>
        <v>541.4400000000004</v>
      </c>
      <c r="O90" s="153">
        <f>L90-I90</f>
        <v>0</v>
      </c>
      <c r="P90" s="154">
        <f>N90-K90</f>
        <v>-58.559999999999604</v>
      </c>
      <c r="Q90" s="155">
        <f>N90/K90</f>
        <v>0.90240000000000065</v>
      </c>
      <c r="R90" s="321">
        <f>Q106</f>
        <v>0.90257324647550352</v>
      </c>
      <c r="S90" s="156">
        <v>0.25</v>
      </c>
      <c r="T90" s="157">
        <v>0.2709259259259259</v>
      </c>
      <c r="U90" s="158"/>
      <c r="V90" s="159">
        <v>30.141843971631186</v>
      </c>
      <c r="W90" s="157"/>
      <c r="X90" s="168"/>
      <c r="Y90" s="12"/>
      <c r="Z90" s="197"/>
      <c r="AA90" s="324"/>
      <c r="AB90" s="325"/>
      <c r="AC90" s="12">
        <v>0</v>
      </c>
      <c r="AD90" s="197"/>
      <c r="AE90" s="114">
        <f>M90-J90</f>
        <v>-351.35999999999785</v>
      </c>
      <c r="AF90" s="155">
        <f>M90/J90</f>
        <v>0.90240000000000065</v>
      </c>
      <c r="AG90" s="326">
        <f>AF106</f>
        <v>0.90257324647550352</v>
      </c>
    </row>
    <row r="91" spans="1:33" ht="15.75" customHeight="1">
      <c r="A91" s="356"/>
      <c r="B91" s="99" t="s">
        <v>192</v>
      </c>
      <c r="C91" s="329" t="s">
        <v>222</v>
      </c>
      <c r="D91" s="330"/>
      <c r="E91" s="100">
        <v>15.01</v>
      </c>
      <c r="F91" s="101">
        <v>1843</v>
      </c>
      <c r="G91" s="102">
        <f t="shared" si="43"/>
        <v>27663.43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3249.8873746236236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22"/>
      <c r="S91" s="46">
        <v>0.27499999999999997</v>
      </c>
      <c r="T91" s="47">
        <v>0.29862268518518514</v>
      </c>
      <c r="U91" s="110">
        <v>5.8666666666666512</v>
      </c>
      <c r="V91" s="111">
        <v>34.025794513204168</v>
      </c>
      <c r="W91" s="112"/>
      <c r="X91" s="13"/>
      <c r="Y91" s="12"/>
      <c r="Z91" s="197"/>
      <c r="AA91" s="331"/>
      <c r="AB91" s="332"/>
      <c r="AC91" s="12">
        <v>0</v>
      </c>
      <c r="AD91" s="197"/>
      <c r="AE91" s="116">
        <f>M91-J91</f>
        <v>-350.1126253763764</v>
      </c>
      <c r="AF91" s="109">
        <f>M91/J91</f>
        <v>0.90274649295100651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3249.2636873118126</v>
      </c>
      <c r="N106" s="137">
        <f>M106/L106</f>
        <v>541.54394788530215</v>
      </c>
      <c r="O106" s="138">
        <f>L106-I106</f>
        <v>0</v>
      </c>
      <c r="P106" s="139">
        <f>N106-K106</f>
        <v>-58.456052114697854</v>
      </c>
      <c r="Q106" s="140">
        <f>N106/K106</f>
        <v>0.90257324647550352</v>
      </c>
      <c r="R106" s="323"/>
      <c r="S106" s="141">
        <v>0.25</v>
      </c>
      <c r="T106" s="142">
        <v>0.29862268518518514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-350.73631268818735</v>
      </c>
      <c r="AF106" s="140">
        <f>M106/J106</f>
        <v>0.90257324647550352</v>
      </c>
      <c r="AG106" s="328"/>
    </row>
    <row r="107" spans="1:33" ht="15.75" customHeight="1">
      <c r="A107" s="316" t="s">
        <v>223</v>
      </c>
      <c r="B107" s="145" t="s">
        <v>186</v>
      </c>
      <c r="C107" s="319" t="s">
        <v>224</v>
      </c>
      <c r="D107" s="320"/>
      <c r="E107" s="146">
        <v>58.17</v>
      </c>
      <c r="F107" s="96">
        <v>1507</v>
      </c>
      <c r="G107" s="147">
        <f t="shared" ref="G107:G109" si="47">E107*F107</f>
        <v>87662.19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1797.5415435217242</v>
      </c>
      <c r="N107" s="151">
        <f>M107/L107</f>
        <v>105.73773785421906</v>
      </c>
      <c r="O107" s="153">
        <f>L107-I107</f>
        <v>-1</v>
      </c>
      <c r="P107" s="154">
        <f>N107-K107</f>
        <v>-5.3733732568920516</v>
      </c>
      <c r="Q107" s="155">
        <f>N107/K107</f>
        <v>0.95163964068797158</v>
      </c>
      <c r="R107" s="321">
        <f>Q123</f>
        <v>0.94699209490526104</v>
      </c>
      <c r="S107" s="156">
        <v>0.70833333333333337</v>
      </c>
      <c r="T107" s="157">
        <v>0.74326388888888895</v>
      </c>
      <c r="U107" s="158"/>
      <c r="V107" s="159">
        <v>50.302036315027301</v>
      </c>
      <c r="W107" s="157"/>
      <c r="X107" s="168"/>
      <c r="Y107" s="195"/>
      <c r="Z107" s="196"/>
      <c r="AA107" s="324"/>
      <c r="AB107" s="325"/>
      <c r="AC107" s="195">
        <v>1</v>
      </c>
      <c r="AD107" s="196"/>
      <c r="AE107" s="114">
        <f>M107-J107</f>
        <v>-202.45845647827582</v>
      </c>
      <c r="AF107" s="155">
        <f>M107/J107</f>
        <v>0.89877077176086206</v>
      </c>
      <c r="AG107" s="326">
        <f>AF123</f>
        <v>0.89883995448634946</v>
      </c>
    </row>
    <row r="108" spans="1:33" ht="15.75" customHeight="1">
      <c r="A108" s="317"/>
      <c r="B108" s="162" t="s">
        <v>186</v>
      </c>
      <c r="C108" s="329" t="s">
        <v>225</v>
      </c>
      <c r="D108" s="330"/>
      <c r="E108" s="100">
        <v>50.67</v>
      </c>
      <c r="F108" s="101">
        <v>1300</v>
      </c>
      <c r="G108" s="102">
        <f t="shared" si="47"/>
        <v>65871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1798.4846757520409</v>
      </c>
      <c r="N108" s="105">
        <f>M108/L108</f>
        <v>94.657088197475829</v>
      </c>
      <c r="O108" s="107">
        <f>L108-I108</f>
        <v>-1</v>
      </c>
      <c r="P108" s="108">
        <f>N108-K108</f>
        <v>-5.3429118025241706</v>
      </c>
      <c r="Q108" s="109">
        <f>N108/K108</f>
        <v>0.94657088197475825</v>
      </c>
      <c r="R108" s="322"/>
      <c r="S108" s="46">
        <v>0.74652777777777779</v>
      </c>
      <c r="T108" s="47">
        <v>0.77664351851851854</v>
      </c>
      <c r="U108" s="110">
        <v>4.6999999999999353</v>
      </c>
      <c r="V108" s="111">
        <v>43.369844097995497</v>
      </c>
      <c r="W108" s="112"/>
      <c r="X108" s="115"/>
      <c r="Y108" s="12"/>
      <c r="Z108" s="197"/>
      <c r="AA108" s="331"/>
      <c r="AB108" s="332"/>
      <c r="AC108" s="12">
        <v>1</v>
      </c>
      <c r="AD108" s="197"/>
      <c r="AE108" s="116">
        <f>M108-J108</f>
        <v>-201.51532424795914</v>
      </c>
      <c r="AF108" s="109">
        <f>M108/J108</f>
        <v>0.89924233787602048</v>
      </c>
      <c r="AG108" s="327"/>
    </row>
    <row r="109" spans="1:33" ht="15.75" customHeight="1">
      <c r="A109" s="317"/>
      <c r="B109" s="162" t="s">
        <v>186</v>
      </c>
      <c r="C109" s="329" t="s">
        <v>226</v>
      </c>
      <c r="D109" s="330"/>
      <c r="E109" s="100">
        <v>57.3</v>
      </c>
      <c r="F109" s="101">
        <v>1602</v>
      </c>
      <c r="G109" s="102">
        <f t="shared" si="47"/>
        <v>91794.599999999991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1797.0135076443314</v>
      </c>
      <c r="N109" s="105">
        <f>M109/L109</f>
        <v>89.850675382216565</v>
      </c>
      <c r="O109" s="107">
        <f>L109-I109</f>
        <v>-1</v>
      </c>
      <c r="P109" s="108">
        <f>N109-K109</f>
        <v>-5.3874198558786759</v>
      </c>
      <c r="Q109" s="109">
        <f>N109/K109</f>
        <v>0.9434320915132739</v>
      </c>
      <c r="R109" s="322"/>
      <c r="S109" s="46">
        <v>0.78055555555555556</v>
      </c>
      <c r="T109" s="47">
        <v>0.81769675925925922</v>
      </c>
      <c r="U109" s="110">
        <v>5.633333333333308</v>
      </c>
      <c r="V109" s="111">
        <v>53.488746518105899</v>
      </c>
      <c r="W109" s="112"/>
      <c r="X109" s="115"/>
      <c r="Y109" s="12"/>
      <c r="Z109" s="197"/>
      <c r="AA109" s="331"/>
      <c r="AB109" s="332"/>
      <c r="AC109" s="12">
        <v>1</v>
      </c>
      <c r="AD109" s="197"/>
      <c r="AE109" s="116">
        <f>M109-J109</f>
        <v>-202.98649235566859</v>
      </c>
      <c r="AF109" s="109">
        <f>M109/J109</f>
        <v>0.89850675382216572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1797.679908972699</v>
      </c>
      <c r="N123" s="137">
        <f>M123/L123</f>
        <v>96.304280837823157</v>
      </c>
      <c r="O123" s="138">
        <f>L123-I123</f>
        <v>-1</v>
      </c>
      <c r="P123" s="139">
        <f>N123-K123</f>
        <v>-5.3906344164141302</v>
      </c>
      <c r="Q123" s="140">
        <f>N123/K123</f>
        <v>0.94699209490526104</v>
      </c>
      <c r="R123" s="323"/>
      <c r="S123" s="141">
        <v>0.70833333333333337</v>
      </c>
      <c r="T123" s="142">
        <v>0.81769675925925922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-202.32009102730103</v>
      </c>
      <c r="AF123" s="140">
        <f>M123/J123</f>
        <v>0.89883995448634946</v>
      </c>
      <c r="AG123" s="328"/>
    </row>
    <row r="124" spans="1:33" ht="15.75" customHeight="1">
      <c r="A124" s="355" t="s">
        <v>227</v>
      </c>
      <c r="B124" s="145" t="s">
        <v>186</v>
      </c>
      <c r="C124" s="319" t="s">
        <v>228</v>
      </c>
      <c r="D124" s="320"/>
      <c r="E124" s="146">
        <v>47.6</v>
      </c>
      <c r="F124" s="158">
        <v>1783</v>
      </c>
      <c r="G124" s="147">
        <f t="shared" ref="G124:G126" si="55">E124*F124</f>
        <v>84870.8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1800.6262087244713</v>
      </c>
      <c r="N124" s="151">
        <f>M124/L124</f>
        <v>78.288096031498753</v>
      </c>
      <c r="O124" s="153">
        <f>L124-I124</f>
        <v>0</v>
      </c>
      <c r="P124" s="154">
        <f>N124-K124</f>
        <v>-8.668425707631684</v>
      </c>
      <c r="Q124" s="155">
        <f>N124/K124</f>
        <v>0.90031310436223566</v>
      </c>
      <c r="R124" s="321">
        <f>Q140</f>
        <v>0.89992949261305633</v>
      </c>
      <c r="S124" s="156">
        <v>0.70833333333333337</v>
      </c>
      <c r="T124" s="157">
        <v>0.74958333333333338</v>
      </c>
      <c r="U124" s="158"/>
      <c r="V124" s="159">
        <v>59.412664039685701</v>
      </c>
      <c r="W124" s="96"/>
      <c r="X124" s="97"/>
      <c r="Y124" s="195"/>
      <c r="Z124" s="196"/>
      <c r="AA124" s="324"/>
      <c r="AB124" s="325"/>
      <c r="AC124" s="195">
        <v>1</v>
      </c>
      <c r="AD124" s="196"/>
      <c r="AE124" s="114">
        <f>M124-J124</f>
        <v>-199.37379127552867</v>
      </c>
      <c r="AF124" s="155">
        <f>M124/J124</f>
        <v>0.90031310436223566</v>
      </c>
      <c r="AG124" s="375">
        <f>AF140</f>
        <v>0.89992949261305633</v>
      </c>
    </row>
    <row r="125" spans="1:33" ht="15.75" customHeight="1">
      <c r="A125" s="356"/>
      <c r="B125" s="162" t="s">
        <v>186</v>
      </c>
      <c r="C125" s="329" t="s">
        <v>229</v>
      </c>
      <c r="D125" s="330"/>
      <c r="E125" s="100">
        <v>56.87</v>
      </c>
      <c r="F125" s="110">
        <v>1468</v>
      </c>
      <c r="G125" s="102">
        <f t="shared" si="55"/>
        <v>83485.16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1798.3203886746478</v>
      </c>
      <c r="N125" s="105">
        <f>M125/L125</f>
        <v>78.187842985854246</v>
      </c>
      <c r="O125" s="107">
        <f>L125-I125</f>
        <v>0</v>
      </c>
      <c r="P125" s="108">
        <f>N125-K125</f>
        <v>-8.7686787532761912</v>
      </c>
      <c r="Q125" s="109">
        <f>N125/K125</f>
        <v>0.89916019433732386</v>
      </c>
      <c r="R125" s="322"/>
      <c r="S125" s="46">
        <v>0.75347222222222221</v>
      </c>
      <c r="T125" s="47">
        <v>0.78747685185185179</v>
      </c>
      <c r="U125" s="110">
        <v>5.5999999999999162</v>
      </c>
      <c r="V125" s="111">
        <v>48.979036524695402</v>
      </c>
      <c r="W125" s="112"/>
      <c r="X125" s="115"/>
      <c r="Y125" s="12"/>
      <c r="Z125" s="197"/>
      <c r="AA125" s="331"/>
      <c r="AB125" s="332"/>
      <c r="AC125" s="12">
        <v>1</v>
      </c>
      <c r="AD125" s="197"/>
      <c r="AE125" s="116">
        <f>M125-J125</f>
        <v>-201.6796113253522</v>
      </c>
      <c r="AF125" s="109">
        <f>M125/J125</f>
        <v>0.89916019433732386</v>
      </c>
      <c r="AG125" s="368"/>
    </row>
    <row r="126" spans="1:33" ht="15.75" customHeight="1">
      <c r="A126" s="356"/>
      <c r="B126" s="162" t="s">
        <v>186</v>
      </c>
      <c r="C126" s="329" t="s">
        <v>230</v>
      </c>
      <c r="D126" s="330"/>
      <c r="E126" s="100">
        <v>56.79</v>
      </c>
      <c r="F126" s="110">
        <v>2019</v>
      </c>
      <c r="G126" s="102">
        <f t="shared" si="55"/>
        <v>114659.01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1800.6303582792186</v>
      </c>
      <c r="N126" s="105">
        <f>M126/L126</f>
        <v>78.288276446922552</v>
      </c>
      <c r="O126" s="107">
        <f>L126-I126</f>
        <v>0</v>
      </c>
      <c r="P126" s="108">
        <f>N126-K126</f>
        <v>-8.6682452922078852</v>
      </c>
      <c r="Q126" s="109">
        <f>N126/K126</f>
        <v>0.90031517913960935</v>
      </c>
      <c r="R126" s="322"/>
      <c r="S126" s="46">
        <v>0.79097222222222219</v>
      </c>
      <c r="T126" s="47">
        <v>0.8376851851851852</v>
      </c>
      <c r="U126" s="110">
        <v>5.0333333333333741</v>
      </c>
      <c r="V126" s="111">
        <v>67.276439855078337</v>
      </c>
      <c r="W126" s="112"/>
      <c r="X126" s="115"/>
      <c r="Y126" s="12"/>
      <c r="Z126" s="197"/>
      <c r="AA126" s="331"/>
      <c r="AB126" s="332"/>
      <c r="AC126" s="12">
        <v>1</v>
      </c>
      <c r="AD126" s="197"/>
      <c r="AE126" s="116">
        <f>M126-J126</f>
        <v>-199.36964172078137</v>
      </c>
      <c r="AF126" s="109">
        <f>M126/J126</f>
        <v>0.90031517913960935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1799.8589852261127</v>
      </c>
      <c r="N140" s="137">
        <f>M140/L140</f>
        <v>78.25473848809186</v>
      </c>
      <c r="O140" s="138">
        <f>L140-I140</f>
        <v>0</v>
      </c>
      <c r="P140" s="139">
        <f>N140-K140</f>
        <v>-8.7017832510385773</v>
      </c>
      <c r="Q140" s="140">
        <f>N140/K140</f>
        <v>0.89992949261305633</v>
      </c>
      <c r="R140" s="323"/>
      <c r="S140" s="141">
        <v>0.70833333333333337</v>
      </c>
      <c r="T140" s="142">
        <v>0.8376851851851852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353"/>
      <c r="AB140" s="354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-200.14101477388726</v>
      </c>
      <c r="AF140" s="140">
        <f>M140/J140</f>
        <v>0.89992949261305633</v>
      </c>
      <c r="AG140" s="369"/>
    </row>
    <row r="142" spans="1:33">
      <c r="AA142" s="359" t="s">
        <v>162</v>
      </c>
      <c r="AB142" s="359"/>
    </row>
    <row r="143" spans="1:33">
      <c r="AA143" s="359" t="s">
        <v>163</v>
      </c>
      <c r="AB143" s="359"/>
    </row>
    <row r="144" spans="1:33">
      <c r="AA144" s="359" t="s">
        <v>164</v>
      </c>
      <c r="AB144" s="359"/>
    </row>
    <row r="145" spans="27:28">
      <c r="AA145" s="359" t="s">
        <v>165</v>
      </c>
      <c r="AB145" s="359"/>
    </row>
    <row r="146" spans="27:28">
      <c r="AA146" s="359" t="s">
        <v>166</v>
      </c>
      <c r="AB146" s="359"/>
    </row>
    <row r="147" spans="27:28">
      <c r="AA147" s="359" t="s">
        <v>167</v>
      </c>
      <c r="AB147" s="359"/>
    </row>
    <row r="148" spans="27:28">
      <c r="AA148" s="359" t="s">
        <v>168</v>
      </c>
      <c r="AB148" s="359"/>
    </row>
    <row r="149" spans="27:28">
      <c r="AA149" s="359" t="s">
        <v>169</v>
      </c>
      <c r="AB149" s="359"/>
    </row>
    <row r="150" spans="27:28">
      <c r="AA150" s="359" t="s">
        <v>170</v>
      </c>
      <c r="AB150" s="359"/>
    </row>
    <row r="151" spans="27:28">
      <c r="AA151" s="359" t="s">
        <v>171</v>
      </c>
      <c r="AB151" s="359"/>
    </row>
    <row r="152" spans="27:28">
      <c r="AA152" s="359" t="s">
        <v>172</v>
      </c>
      <c r="AB152" s="359"/>
    </row>
    <row r="153" spans="27:28">
      <c r="AA153" s="359" t="s">
        <v>173</v>
      </c>
      <c r="AB153" s="359"/>
    </row>
    <row r="154" spans="27:28">
      <c r="AA154" s="359" t="s">
        <v>174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ABFBBF59-7D83-491A-870C-657C99579DF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919526-F341-4AD6-A90B-B782F7484BDE}"/>
</file>

<file path=customXml/itemProps2.xml><?xml version="1.0" encoding="utf-8"?>
<ds:datastoreItem xmlns:ds="http://schemas.openxmlformats.org/officeDocument/2006/customXml" ds:itemID="{6658E637-3301-4ADE-B91F-9EC482352ADE}"/>
</file>

<file path=customXml/itemProps3.xml><?xml version="1.0" encoding="utf-8"?>
<ds:datastoreItem xmlns:ds="http://schemas.openxmlformats.org/officeDocument/2006/customXml" ds:itemID="{1800B8DF-507C-4A74-81B2-64CD94227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雅嬪 鄭</dc:creator>
  <cp:keywords/>
  <dc:description/>
  <cp:lastModifiedBy>林謙杰</cp:lastModifiedBy>
  <cp:revision/>
  <dcterms:created xsi:type="dcterms:W3CDTF">2025-12-04T02:01:56Z</dcterms:created>
  <dcterms:modified xsi:type="dcterms:W3CDTF">2026-08-12T09:44:10Z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