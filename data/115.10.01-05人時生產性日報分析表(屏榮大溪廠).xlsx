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zps99632\Desktop\鮮食\★食研所每日\"/>
    </mc:Choice>
  </mc:AlternateContent>
  <xr:revisionPtr revIDLastSave="0" documentId="8_{D4EEF3A4-C9E8-4816-B5D0-255F8A33F372}" xr6:coauthVersionLast="47" xr6:coauthVersionMax="47" xr10:uidLastSave="{00000000-0000-0000-0000-000000000000}"/>
  <bookViews>
    <workbookView xWindow="-120" yWindow="-120" windowWidth="29040" windowHeight="15720" tabRatio="881" xr2:uid="{437CE4EC-B57C-470A-8EC0-2D8CCD8640D2}"/>
  </bookViews>
  <sheets>
    <sheet name="1008" sheetId="961" r:id="rId1"/>
    <sheet name="1008(18度C)" sheetId="962" r:id="rId2"/>
    <sheet name="1008(4度C)" sheetId="963" r:id="rId3"/>
    <sheet name="1007" sheetId="958" r:id="rId4"/>
    <sheet name="1007(18度C)" sheetId="959" r:id="rId5"/>
    <sheet name="1007(4度C)" sheetId="960" r:id="rId6"/>
    <sheet name="1006" sheetId="955" r:id="rId7"/>
    <sheet name="1006(18度C)" sheetId="956" r:id="rId8"/>
    <sheet name="1006(4度C)" sheetId="957" r:id="rId9"/>
    <sheet name="1005" sheetId="952" r:id="rId10"/>
    <sheet name="1005(18度C)" sheetId="953" r:id="rId11"/>
    <sheet name="1005(4度C)" sheetId="954" r:id="rId12"/>
    <sheet name="1004" sheetId="949" r:id="rId13"/>
    <sheet name="1004(18度C)" sheetId="950" r:id="rId14"/>
    <sheet name="1004(4度C)" sheetId="951" r:id="rId15"/>
    <sheet name="1003" sheetId="946" r:id="rId16"/>
    <sheet name="1003(18度C)" sheetId="947" r:id="rId17"/>
    <sheet name="1003(4度C)" sheetId="948" r:id="rId18"/>
    <sheet name="1002" sheetId="943" r:id="rId19"/>
    <sheet name="1002(18度C)" sheetId="944" r:id="rId20"/>
    <sheet name="1002(4度C)" sheetId="945" r:id="rId21"/>
    <sheet name="1001" sheetId="940" r:id="rId22"/>
    <sheet name="1001(18度C)" sheetId="941" r:id="rId23"/>
    <sheet name="1001(4度C)" sheetId="942" r:id="rId24"/>
  </sheets>
  <definedNames>
    <definedName name="_xlnm._FilterDatabase" localSheetId="22" hidden="1">'1001(18度C)'!$A$4:$AC$140</definedName>
    <definedName name="_xlnm._FilterDatabase" localSheetId="23" hidden="1">'1001(4度C)'!$A$4:$AG$140</definedName>
    <definedName name="_xlnm._FilterDatabase" localSheetId="19" hidden="1">'1002(18度C)'!$A$4:$AC$140</definedName>
    <definedName name="_xlnm._FilterDatabase" localSheetId="20" hidden="1">'1002(4度C)'!$A$4:$AG$140</definedName>
    <definedName name="_xlnm._FilterDatabase" localSheetId="16" hidden="1">'1003(18度C)'!$A$4:$AC$140</definedName>
    <definedName name="_xlnm._FilterDatabase" localSheetId="17" hidden="1">'1003(4度C)'!$A$4:$AG$140</definedName>
    <definedName name="_xlnm._FilterDatabase" localSheetId="13" hidden="1">'1004(18度C)'!$A$4:$AG$140</definedName>
    <definedName name="_xlnm._FilterDatabase" localSheetId="14" hidden="1">'1004(4度C)'!$A$4:$AG$140</definedName>
    <definedName name="_xlnm._FilterDatabase" localSheetId="10" hidden="1">'1005(18度C)'!$A$4:$AC$140</definedName>
    <definedName name="_xlnm._FilterDatabase" localSheetId="11" hidden="1">'1005(4度C)'!$A$4:$AG$140</definedName>
    <definedName name="_xlnm._FilterDatabase" localSheetId="7" hidden="1">'1006(18度C)'!$A$4:$AC$4</definedName>
    <definedName name="_xlnm._FilterDatabase" localSheetId="8" hidden="1">'1006(4度C)'!$A$4:$AG$140</definedName>
    <definedName name="_xlnm._FilterDatabase" localSheetId="4" hidden="1">'1007(18度C)'!$A$4:$AC$140</definedName>
    <definedName name="_xlnm._FilterDatabase" localSheetId="5" hidden="1">'1007(4度C)'!$A$4:$AG$140</definedName>
    <definedName name="_xlnm._FilterDatabase" localSheetId="1" hidden="1">'1008(18度C)'!$A$4:$AC$140</definedName>
    <definedName name="_xlnm._FilterDatabase" localSheetId="2" hidden="1">'1008(4度C)'!$A$4:$AG$123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23" i="963" l="1"/>
  <c r="AC123" i="963"/>
  <c r="Z123" i="963"/>
  <c r="Y123" i="963"/>
  <c r="L123" i="963"/>
  <c r="O123" i="963" s="1"/>
  <c r="J123" i="963"/>
  <c r="K123" i="963" s="1"/>
  <c r="I123" i="963"/>
  <c r="O109" i="963"/>
  <c r="M109" i="963"/>
  <c r="K109" i="963"/>
  <c r="G109" i="963"/>
  <c r="O108" i="963"/>
  <c r="M108" i="963"/>
  <c r="AE108" i="963" s="1"/>
  <c r="K108" i="963"/>
  <c r="G108" i="963"/>
  <c r="O107" i="963"/>
  <c r="M107" i="963"/>
  <c r="K107" i="963"/>
  <c r="G107" i="963"/>
  <c r="AD106" i="963"/>
  <c r="AC106" i="963"/>
  <c r="Z106" i="963"/>
  <c r="Y106" i="963"/>
  <c r="L106" i="963"/>
  <c r="O106" i="963" s="1"/>
  <c r="J106" i="963"/>
  <c r="K106" i="963" s="1"/>
  <c r="I106" i="963"/>
  <c r="O92" i="963"/>
  <c r="M92" i="963"/>
  <c r="K92" i="963"/>
  <c r="G92" i="963"/>
  <c r="O91" i="963"/>
  <c r="M91" i="963"/>
  <c r="K91" i="963"/>
  <c r="G91" i="963"/>
  <c r="O90" i="963"/>
  <c r="M90" i="963"/>
  <c r="K90" i="963"/>
  <c r="G90" i="963"/>
  <c r="AD89" i="963"/>
  <c r="AD2" i="963" s="1"/>
  <c r="R6" i="961" s="1"/>
  <c r="AC89" i="963"/>
  <c r="Z89" i="963"/>
  <c r="Y89" i="963"/>
  <c r="L89" i="963"/>
  <c r="J89" i="963"/>
  <c r="I89" i="963"/>
  <c r="K89" i="963" s="1"/>
  <c r="O74" i="963"/>
  <c r="M74" i="963"/>
  <c r="K74" i="963"/>
  <c r="G74" i="963"/>
  <c r="O73" i="963"/>
  <c r="M73" i="963"/>
  <c r="K73" i="963"/>
  <c r="G73" i="963"/>
  <c r="AD72" i="963"/>
  <c r="AC72" i="963"/>
  <c r="Z72" i="963"/>
  <c r="Y72" i="963"/>
  <c r="L72" i="963"/>
  <c r="J72" i="963"/>
  <c r="K72" i="963" s="1"/>
  <c r="I72" i="963"/>
  <c r="O59" i="963"/>
  <c r="M59" i="963"/>
  <c r="K59" i="963"/>
  <c r="G59" i="963"/>
  <c r="O58" i="963"/>
  <c r="M58" i="963"/>
  <c r="K58" i="963"/>
  <c r="G58" i="963"/>
  <c r="O57" i="963"/>
  <c r="M57" i="963"/>
  <c r="AE57" i="963" s="1"/>
  <c r="K57" i="963"/>
  <c r="G57" i="963"/>
  <c r="O56" i="963"/>
  <c r="M56" i="963"/>
  <c r="K56" i="963"/>
  <c r="G56" i="963"/>
  <c r="AD55" i="963"/>
  <c r="AC55" i="963"/>
  <c r="Z55" i="963"/>
  <c r="Z2" i="963" s="1"/>
  <c r="P6" i="961" s="1"/>
  <c r="Y55" i="963"/>
  <c r="L55" i="963"/>
  <c r="O55" i="963" s="1"/>
  <c r="J55" i="963"/>
  <c r="K55" i="963" s="1"/>
  <c r="I55" i="963"/>
  <c r="O44" i="963"/>
  <c r="M44" i="963"/>
  <c r="K44" i="963"/>
  <c r="G44" i="963"/>
  <c r="O43" i="963"/>
  <c r="M43" i="963"/>
  <c r="K43" i="963"/>
  <c r="G43" i="963"/>
  <c r="O42" i="963"/>
  <c r="M42" i="963"/>
  <c r="K42" i="963"/>
  <c r="G42" i="963"/>
  <c r="O41" i="963"/>
  <c r="M41" i="963"/>
  <c r="AF41" i="963" s="1"/>
  <c r="K41" i="963"/>
  <c r="G41" i="963"/>
  <c r="O40" i="963"/>
  <c r="M40" i="963"/>
  <c r="K40" i="963"/>
  <c r="G40" i="963"/>
  <c r="O39" i="963"/>
  <c r="M39" i="963"/>
  <c r="K39" i="963"/>
  <c r="G39" i="963"/>
  <c r="AD38" i="963"/>
  <c r="AC38" i="963"/>
  <c r="Z38" i="963"/>
  <c r="Y38" i="963"/>
  <c r="L38" i="963"/>
  <c r="O38" i="963" s="1"/>
  <c r="J38" i="963"/>
  <c r="I38" i="963"/>
  <c r="O28" i="963"/>
  <c r="M28" i="963"/>
  <c r="N28" i="963" s="1"/>
  <c r="K28" i="963"/>
  <c r="G28" i="963"/>
  <c r="O27" i="963"/>
  <c r="M27" i="963"/>
  <c r="K27" i="963"/>
  <c r="G27" i="963"/>
  <c r="O26" i="963"/>
  <c r="M26" i="963"/>
  <c r="K26" i="963"/>
  <c r="G26" i="963"/>
  <c r="O25" i="963"/>
  <c r="M25" i="963"/>
  <c r="K25" i="963"/>
  <c r="G25" i="963"/>
  <c r="O24" i="963"/>
  <c r="M24" i="963"/>
  <c r="N24" i="963" s="1"/>
  <c r="K24" i="963"/>
  <c r="G24" i="963"/>
  <c r="O23" i="963"/>
  <c r="M23" i="963"/>
  <c r="K23" i="963"/>
  <c r="G23" i="963"/>
  <c r="O22" i="963"/>
  <c r="M22" i="963"/>
  <c r="K22" i="963"/>
  <c r="G22" i="963"/>
  <c r="AD21" i="963"/>
  <c r="AC21" i="963"/>
  <c r="AC2" i="963" s="1"/>
  <c r="Q6" i="961" s="1"/>
  <c r="Z21" i="963"/>
  <c r="Y21" i="963"/>
  <c r="Y2" i="963" s="1"/>
  <c r="O6" i="961" s="1"/>
  <c r="L21" i="963"/>
  <c r="J21" i="963"/>
  <c r="I21" i="963"/>
  <c r="O7" i="963"/>
  <c r="M7" i="963"/>
  <c r="K7" i="963"/>
  <c r="G7" i="963"/>
  <c r="O6" i="963"/>
  <c r="M6" i="963"/>
  <c r="K6" i="963"/>
  <c r="G6" i="963"/>
  <c r="O5" i="963"/>
  <c r="M5" i="963"/>
  <c r="M21" i="963" s="1"/>
  <c r="K5" i="963"/>
  <c r="G5" i="963"/>
  <c r="F1" i="963" s="1"/>
  <c r="H2" i="963"/>
  <c r="H1" i="963"/>
  <c r="D1" i="963"/>
  <c r="L140" i="962"/>
  <c r="J140" i="962"/>
  <c r="I140" i="962"/>
  <c r="O137" i="962"/>
  <c r="M137" i="962"/>
  <c r="K137" i="962"/>
  <c r="G137" i="962"/>
  <c r="O136" i="962"/>
  <c r="M136" i="962"/>
  <c r="K136" i="962"/>
  <c r="G136" i="962"/>
  <c r="O135" i="962"/>
  <c r="M135" i="962"/>
  <c r="AB135" i="962" s="1"/>
  <c r="K135" i="962"/>
  <c r="G135" i="962"/>
  <c r="O134" i="962"/>
  <c r="M134" i="962"/>
  <c r="K134" i="962"/>
  <c r="G134" i="962"/>
  <c r="O133" i="962"/>
  <c r="M133" i="962"/>
  <c r="K133" i="962"/>
  <c r="G133" i="962"/>
  <c r="O132" i="962"/>
  <c r="M132" i="962"/>
  <c r="K132" i="962"/>
  <c r="G132" i="962"/>
  <c r="O131" i="962"/>
  <c r="M131" i="962"/>
  <c r="AB131" i="962" s="1"/>
  <c r="K131" i="962"/>
  <c r="G131" i="962"/>
  <c r="O130" i="962"/>
  <c r="M130" i="962"/>
  <c r="K130" i="962"/>
  <c r="G130" i="962"/>
  <c r="O129" i="962"/>
  <c r="M129" i="962"/>
  <c r="K129" i="962"/>
  <c r="G129" i="962"/>
  <c r="O128" i="962"/>
  <c r="M128" i="962"/>
  <c r="K128" i="962"/>
  <c r="G128" i="962"/>
  <c r="O127" i="962"/>
  <c r="M127" i="962"/>
  <c r="AB127" i="962" s="1"/>
  <c r="K127" i="962"/>
  <c r="G127" i="962"/>
  <c r="O126" i="962"/>
  <c r="M126" i="962"/>
  <c r="K126" i="962"/>
  <c r="G126" i="962"/>
  <c r="O125" i="962"/>
  <c r="M125" i="962"/>
  <c r="K125" i="962"/>
  <c r="G125" i="962"/>
  <c r="O124" i="962"/>
  <c r="M124" i="962"/>
  <c r="K124" i="962"/>
  <c r="G124" i="962"/>
  <c r="L123" i="962"/>
  <c r="O123" i="962" s="1"/>
  <c r="J123" i="962"/>
  <c r="K123" i="962" s="1"/>
  <c r="I123" i="962"/>
  <c r="O120" i="962"/>
  <c r="M120" i="962"/>
  <c r="K120" i="962"/>
  <c r="G120" i="962"/>
  <c r="O119" i="962"/>
  <c r="M119" i="962"/>
  <c r="AA119" i="962" s="1"/>
  <c r="K119" i="962"/>
  <c r="G119" i="962"/>
  <c r="O118" i="962"/>
  <c r="M118" i="962"/>
  <c r="K118" i="962"/>
  <c r="G118" i="962"/>
  <c r="O117" i="962"/>
  <c r="M117" i="962"/>
  <c r="K117" i="962"/>
  <c r="G117" i="962"/>
  <c r="O116" i="962"/>
  <c r="N116" i="962"/>
  <c r="M116" i="962"/>
  <c r="K116" i="962"/>
  <c r="G116" i="962"/>
  <c r="O115" i="962"/>
  <c r="M115" i="962"/>
  <c r="AA115" i="962" s="1"/>
  <c r="K115" i="962"/>
  <c r="G115" i="962"/>
  <c r="O114" i="962"/>
  <c r="M114" i="962"/>
  <c r="K114" i="962"/>
  <c r="G114" i="962"/>
  <c r="O113" i="962"/>
  <c r="M113" i="962"/>
  <c r="K113" i="962"/>
  <c r="G113" i="962"/>
  <c r="O112" i="962"/>
  <c r="M112" i="962"/>
  <c r="K112" i="962"/>
  <c r="G112" i="962"/>
  <c r="O111" i="962"/>
  <c r="M111" i="962"/>
  <c r="AA111" i="962" s="1"/>
  <c r="K111" i="962"/>
  <c r="G111" i="962"/>
  <c r="O110" i="962"/>
  <c r="M110" i="962"/>
  <c r="K110" i="962"/>
  <c r="G110" i="962"/>
  <c r="O109" i="962"/>
  <c r="M109" i="962"/>
  <c r="K109" i="962"/>
  <c r="G109" i="962"/>
  <c r="O108" i="962"/>
  <c r="M108" i="962"/>
  <c r="K108" i="962"/>
  <c r="G108" i="962"/>
  <c r="O107" i="962"/>
  <c r="M107" i="962"/>
  <c r="AB107" i="962" s="1"/>
  <c r="K107" i="962"/>
  <c r="G107" i="962"/>
  <c r="L106" i="962"/>
  <c r="O106" i="962" s="1"/>
  <c r="J106" i="962"/>
  <c r="K106" i="962" s="1"/>
  <c r="I106" i="962"/>
  <c r="O90" i="962"/>
  <c r="M90" i="962"/>
  <c r="M106" i="962" s="1"/>
  <c r="K90" i="962"/>
  <c r="G90" i="962"/>
  <c r="L89" i="962"/>
  <c r="O89" i="962" s="1"/>
  <c r="J89" i="962"/>
  <c r="I89" i="962"/>
  <c r="O73" i="962"/>
  <c r="M73" i="962"/>
  <c r="M89" i="962" s="1"/>
  <c r="K73" i="962"/>
  <c r="G73" i="962"/>
  <c r="L72" i="962"/>
  <c r="O72" i="962" s="1"/>
  <c r="J72" i="962"/>
  <c r="K72" i="962" s="1"/>
  <c r="I72" i="962"/>
  <c r="O63" i="962"/>
  <c r="M63" i="962"/>
  <c r="K63" i="962"/>
  <c r="G63" i="962"/>
  <c r="O62" i="962"/>
  <c r="M62" i="962"/>
  <c r="K62" i="962"/>
  <c r="G62" i="962"/>
  <c r="O61" i="962"/>
  <c r="M61" i="962"/>
  <c r="AA61" i="962" s="1"/>
  <c r="K61" i="962"/>
  <c r="G61" i="962"/>
  <c r="O60" i="962"/>
  <c r="N60" i="962"/>
  <c r="M60" i="962"/>
  <c r="AB60" i="962" s="1"/>
  <c r="K60" i="962"/>
  <c r="G60" i="962"/>
  <c r="O59" i="962"/>
  <c r="M59" i="962"/>
  <c r="K59" i="962"/>
  <c r="G59" i="962"/>
  <c r="O58" i="962"/>
  <c r="N58" i="962"/>
  <c r="P58" i="962" s="1"/>
  <c r="M58" i="962"/>
  <c r="K58" i="962"/>
  <c r="G58" i="962"/>
  <c r="O57" i="962"/>
  <c r="M57" i="962"/>
  <c r="AA57" i="962" s="1"/>
  <c r="K57" i="962"/>
  <c r="G57" i="962"/>
  <c r="O56" i="962"/>
  <c r="M56" i="962"/>
  <c r="K56" i="962"/>
  <c r="G56" i="962"/>
  <c r="L55" i="962"/>
  <c r="J55" i="962"/>
  <c r="I55" i="962"/>
  <c r="O46" i="962"/>
  <c r="M46" i="962"/>
  <c r="K46" i="962"/>
  <c r="G46" i="962"/>
  <c r="O45" i="962"/>
  <c r="M45" i="962"/>
  <c r="K45" i="962"/>
  <c r="G45" i="962"/>
  <c r="O44" i="962"/>
  <c r="N44" i="962"/>
  <c r="Q44" i="962" s="1"/>
  <c r="M44" i="962"/>
  <c r="K44" i="962"/>
  <c r="G44" i="962"/>
  <c r="O43" i="962"/>
  <c r="M43" i="962"/>
  <c r="N43" i="962" s="1"/>
  <c r="K43" i="962"/>
  <c r="G43" i="962"/>
  <c r="O42" i="962"/>
  <c r="M42" i="962"/>
  <c r="K42" i="962"/>
  <c r="G42" i="962"/>
  <c r="O41" i="962"/>
  <c r="M41" i="962"/>
  <c r="K41" i="962"/>
  <c r="G41" i="962"/>
  <c r="O40" i="962"/>
  <c r="M40" i="962"/>
  <c r="K40" i="962"/>
  <c r="G40" i="962"/>
  <c r="O39" i="962"/>
  <c r="M39" i="962"/>
  <c r="M55" i="962" s="1"/>
  <c r="K39" i="962"/>
  <c r="G39" i="962"/>
  <c r="L38" i="962"/>
  <c r="J38" i="962"/>
  <c r="I38" i="962"/>
  <c r="O23" i="962"/>
  <c r="M23" i="962"/>
  <c r="K23" i="962"/>
  <c r="G23" i="962"/>
  <c r="O22" i="962"/>
  <c r="M22" i="962"/>
  <c r="K22" i="962"/>
  <c r="G22" i="962"/>
  <c r="L21" i="962"/>
  <c r="O21" i="962" s="1"/>
  <c r="J21" i="962"/>
  <c r="K21" i="962" s="1"/>
  <c r="I21" i="962"/>
  <c r="O10" i="962"/>
  <c r="N10" i="962"/>
  <c r="P10" i="962" s="1"/>
  <c r="M10" i="962"/>
  <c r="K10" i="962"/>
  <c r="G10" i="962"/>
  <c r="O9" i="962"/>
  <c r="M9" i="962"/>
  <c r="AA9" i="962" s="1"/>
  <c r="K9" i="962"/>
  <c r="G9" i="962"/>
  <c r="O8" i="962"/>
  <c r="M8" i="962"/>
  <c r="N8" i="962" s="1"/>
  <c r="K8" i="962"/>
  <c r="G8" i="962"/>
  <c r="O7" i="962"/>
  <c r="M7" i="962"/>
  <c r="K7" i="962"/>
  <c r="G7" i="962"/>
  <c r="O6" i="962"/>
  <c r="M6" i="962"/>
  <c r="K6" i="962"/>
  <c r="G6" i="962"/>
  <c r="O5" i="962"/>
  <c r="M5" i="962"/>
  <c r="AB5" i="962" s="1"/>
  <c r="K5" i="962"/>
  <c r="G5" i="962"/>
  <c r="F1" i="962" s="1"/>
  <c r="H2" i="962"/>
  <c r="D1" i="962"/>
  <c r="F3" i="961" s="1"/>
  <c r="X34" i="961"/>
  <c r="W34" i="961"/>
  <c r="V34" i="961"/>
  <c r="P34" i="961"/>
  <c r="O34" i="961"/>
  <c r="N34" i="961"/>
  <c r="M34" i="961"/>
  <c r="G34" i="961"/>
  <c r="K8" i="961" s="1"/>
  <c r="N16" i="961"/>
  <c r="M16" i="961"/>
  <c r="J16" i="961"/>
  <c r="I16" i="961"/>
  <c r="G16" i="961"/>
  <c r="F16" i="961"/>
  <c r="E8" i="961" s="1"/>
  <c r="E16" i="961"/>
  <c r="I8" i="961"/>
  <c r="F8" i="961"/>
  <c r="M7" i="961"/>
  <c r="K7" i="961"/>
  <c r="I7" i="961"/>
  <c r="G7" i="961"/>
  <c r="F7" i="961"/>
  <c r="E7" i="961"/>
  <c r="M6" i="961"/>
  <c r="K6" i="961"/>
  <c r="I6" i="961"/>
  <c r="G6" i="961"/>
  <c r="F6" i="961"/>
  <c r="E6" i="961"/>
  <c r="AD140" i="960"/>
  <c r="AC140" i="960"/>
  <c r="Z140" i="960"/>
  <c r="Y140" i="960"/>
  <c r="L140" i="960"/>
  <c r="O140" i="960" s="1"/>
  <c r="J140" i="960"/>
  <c r="K140" i="960" s="1"/>
  <c r="I140" i="960"/>
  <c r="O126" i="960"/>
  <c r="M126" i="960"/>
  <c r="AF126" i="960" s="1"/>
  <c r="K126" i="960"/>
  <c r="G126" i="960"/>
  <c r="O125" i="960"/>
  <c r="M125" i="960"/>
  <c r="K125" i="960"/>
  <c r="G125" i="960"/>
  <c r="O124" i="960"/>
  <c r="M124" i="960"/>
  <c r="K124" i="960"/>
  <c r="G124" i="960"/>
  <c r="AD123" i="960"/>
  <c r="AC123" i="960"/>
  <c r="Z123" i="960"/>
  <c r="Y123" i="960"/>
  <c r="L123" i="960"/>
  <c r="O123" i="960" s="1"/>
  <c r="J123" i="960"/>
  <c r="K123" i="960" s="1"/>
  <c r="I123" i="960"/>
  <c r="O109" i="960"/>
  <c r="M109" i="960"/>
  <c r="K109" i="960"/>
  <c r="G109" i="960"/>
  <c r="O108" i="960"/>
  <c r="M108" i="960"/>
  <c r="K108" i="960"/>
  <c r="G108" i="960"/>
  <c r="AE107" i="960"/>
  <c r="O107" i="960"/>
  <c r="M107" i="960"/>
  <c r="K107" i="960"/>
  <c r="G107" i="960"/>
  <c r="AD106" i="960"/>
  <c r="AC106" i="960"/>
  <c r="Z106" i="960"/>
  <c r="Y106" i="960"/>
  <c r="L106" i="960"/>
  <c r="O106" i="960" s="1"/>
  <c r="J106" i="960"/>
  <c r="K106" i="960" s="1"/>
  <c r="I106" i="960"/>
  <c r="O91" i="960"/>
  <c r="M91" i="960"/>
  <c r="K91" i="960"/>
  <c r="G91" i="960"/>
  <c r="AE90" i="960"/>
  <c r="O90" i="960"/>
  <c r="N90" i="960"/>
  <c r="Q90" i="960" s="1"/>
  <c r="M90" i="960"/>
  <c r="AF90" i="960" s="1"/>
  <c r="K90" i="960"/>
  <c r="G90" i="960"/>
  <c r="AD89" i="960"/>
  <c r="AC89" i="960"/>
  <c r="Z89" i="960"/>
  <c r="Y89" i="960"/>
  <c r="L89" i="960"/>
  <c r="O89" i="960" s="1"/>
  <c r="J89" i="960"/>
  <c r="I89" i="960"/>
  <c r="K89" i="960" s="1"/>
  <c r="O76" i="960"/>
  <c r="M76" i="960"/>
  <c r="K76" i="960"/>
  <c r="G76" i="960"/>
  <c r="O75" i="960"/>
  <c r="M75" i="960"/>
  <c r="AF75" i="960" s="1"/>
  <c r="K75" i="960"/>
  <c r="G75" i="960"/>
  <c r="O74" i="960"/>
  <c r="M74" i="960"/>
  <c r="AF74" i="960" s="1"/>
  <c r="K74" i="960"/>
  <c r="G74" i="960"/>
  <c r="O73" i="960"/>
  <c r="M73" i="960"/>
  <c r="K73" i="960"/>
  <c r="G73" i="960"/>
  <c r="AD72" i="960"/>
  <c r="AC72" i="960"/>
  <c r="Z72" i="960"/>
  <c r="Y72" i="960"/>
  <c r="L72" i="960"/>
  <c r="J72" i="960"/>
  <c r="I72" i="960"/>
  <c r="O60" i="960"/>
  <c r="M60" i="960"/>
  <c r="K60" i="960"/>
  <c r="G60" i="960"/>
  <c r="O59" i="960"/>
  <c r="M59" i="960"/>
  <c r="K59" i="960"/>
  <c r="G59" i="960"/>
  <c r="O58" i="960"/>
  <c r="M58" i="960"/>
  <c r="AF58" i="960" s="1"/>
  <c r="K58" i="960"/>
  <c r="G58" i="960"/>
  <c r="O57" i="960"/>
  <c r="M57" i="960"/>
  <c r="K57" i="960"/>
  <c r="G57" i="960"/>
  <c r="O56" i="960"/>
  <c r="M56" i="960"/>
  <c r="AF56" i="960" s="1"/>
  <c r="K56" i="960"/>
  <c r="G56" i="960"/>
  <c r="AD55" i="960"/>
  <c r="AC55" i="960"/>
  <c r="Z55" i="960"/>
  <c r="Y55" i="960"/>
  <c r="L55" i="960"/>
  <c r="O55" i="960" s="1"/>
  <c r="J55" i="960"/>
  <c r="K55" i="960" s="1"/>
  <c r="I55" i="960"/>
  <c r="O43" i="960"/>
  <c r="M43" i="960"/>
  <c r="AF43" i="960" s="1"/>
  <c r="K43" i="960"/>
  <c r="G43" i="960"/>
  <c r="O42" i="960"/>
  <c r="M42" i="960"/>
  <c r="K42" i="960"/>
  <c r="G42" i="960"/>
  <c r="O41" i="960"/>
  <c r="M41" i="960"/>
  <c r="K41" i="960"/>
  <c r="G41" i="960"/>
  <c r="O40" i="960"/>
  <c r="M40" i="960"/>
  <c r="AF40" i="960" s="1"/>
  <c r="K40" i="960"/>
  <c r="G40" i="960"/>
  <c r="O39" i="960"/>
  <c r="M39" i="960"/>
  <c r="K39" i="960"/>
  <c r="G39" i="960"/>
  <c r="AD38" i="960"/>
  <c r="AC38" i="960"/>
  <c r="Z38" i="960"/>
  <c r="Y38" i="960"/>
  <c r="L38" i="960"/>
  <c r="J38" i="960"/>
  <c r="K38" i="960" s="1"/>
  <c r="I38" i="960"/>
  <c r="O26" i="960"/>
  <c r="M26" i="960"/>
  <c r="K26" i="960"/>
  <c r="G26" i="960"/>
  <c r="AE25" i="960"/>
  <c r="O25" i="960"/>
  <c r="M25" i="960"/>
  <c r="K25" i="960"/>
  <c r="G25" i="960"/>
  <c r="O24" i="960"/>
  <c r="N24" i="960"/>
  <c r="M24" i="960"/>
  <c r="K24" i="960"/>
  <c r="G24" i="960"/>
  <c r="O23" i="960"/>
  <c r="M23" i="960"/>
  <c r="K23" i="960"/>
  <c r="G23" i="960"/>
  <c r="O22" i="960"/>
  <c r="M22" i="960"/>
  <c r="AF22" i="960" s="1"/>
  <c r="K22" i="960"/>
  <c r="G22" i="960"/>
  <c r="AD21" i="960"/>
  <c r="AC21" i="960"/>
  <c r="Z21" i="960"/>
  <c r="Y21" i="960"/>
  <c r="L21" i="960"/>
  <c r="J21" i="960"/>
  <c r="K21" i="960" s="1"/>
  <c r="I21" i="960"/>
  <c r="O21" i="960" s="1"/>
  <c r="O7" i="960"/>
  <c r="M7" i="960"/>
  <c r="AF7" i="960" s="1"/>
  <c r="K7" i="960"/>
  <c r="G7" i="960"/>
  <c r="O6" i="960"/>
  <c r="M6" i="960"/>
  <c r="K6" i="960"/>
  <c r="G6" i="960"/>
  <c r="O5" i="960"/>
  <c r="M5" i="960"/>
  <c r="M21" i="960" s="1"/>
  <c r="K5" i="960"/>
  <c r="G5" i="960"/>
  <c r="F1" i="960" s="1"/>
  <c r="F2" i="960" s="1"/>
  <c r="AD2" i="960"/>
  <c r="R6" i="958" s="1"/>
  <c r="AC2" i="960"/>
  <c r="Q6" i="958" s="1"/>
  <c r="Z2" i="960"/>
  <c r="P6" i="958" s="1"/>
  <c r="Y2" i="960"/>
  <c r="O6" i="958" s="1"/>
  <c r="H2" i="960"/>
  <c r="D1" i="960"/>
  <c r="L140" i="959"/>
  <c r="O140" i="959" s="1"/>
  <c r="J140" i="959"/>
  <c r="K140" i="959" s="1"/>
  <c r="I140" i="959"/>
  <c r="O137" i="959"/>
  <c r="M137" i="959"/>
  <c r="K137" i="959"/>
  <c r="G137" i="959"/>
  <c r="O136" i="959"/>
  <c r="M136" i="959"/>
  <c r="AB136" i="959" s="1"/>
  <c r="K136" i="959"/>
  <c r="G136" i="959"/>
  <c r="O135" i="959"/>
  <c r="M135" i="959"/>
  <c r="AB135" i="959" s="1"/>
  <c r="K135" i="959"/>
  <c r="G135" i="959"/>
  <c r="O134" i="959"/>
  <c r="M134" i="959"/>
  <c r="K134" i="959"/>
  <c r="G134" i="959"/>
  <c r="O133" i="959"/>
  <c r="M133" i="959"/>
  <c r="K133" i="959"/>
  <c r="G133" i="959"/>
  <c r="O132" i="959"/>
  <c r="M132" i="959"/>
  <c r="AB132" i="959" s="1"/>
  <c r="K132" i="959"/>
  <c r="G132" i="959"/>
  <c r="O131" i="959"/>
  <c r="M131" i="959"/>
  <c r="AB131" i="959" s="1"/>
  <c r="K131" i="959"/>
  <c r="G131" i="959"/>
  <c r="O130" i="959"/>
  <c r="M130" i="959"/>
  <c r="K130" i="959"/>
  <c r="G130" i="959"/>
  <c r="O129" i="959"/>
  <c r="M129" i="959"/>
  <c r="K129" i="959"/>
  <c r="G129" i="959"/>
  <c r="O128" i="959"/>
  <c r="M128" i="959"/>
  <c r="AB128" i="959" s="1"/>
  <c r="K128" i="959"/>
  <c r="G128" i="959"/>
  <c r="O127" i="959"/>
  <c r="M127" i="959"/>
  <c r="AB127" i="959" s="1"/>
  <c r="K127" i="959"/>
  <c r="G127" i="959"/>
  <c r="O126" i="959"/>
  <c r="M126" i="959"/>
  <c r="K126" i="959"/>
  <c r="G126" i="959"/>
  <c r="O125" i="959"/>
  <c r="M125" i="959"/>
  <c r="K125" i="959"/>
  <c r="G125" i="959"/>
  <c r="O124" i="959"/>
  <c r="M124" i="959"/>
  <c r="K124" i="959"/>
  <c r="G124" i="959"/>
  <c r="L123" i="959"/>
  <c r="O123" i="959" s="1"/>
  <c r="J123" i="959"/>
  <c r="K123" i="959" s="1"/>
  <c r="I123" i="959"/>
  <c r="O120" i="959"/>
  <c r="M120" i="959"/>
  <c r="K120" i="959"/>
  <c r="G120" i="959"/>
  <c r="O119" i="959"/>
  <c r="M119" i="959"/>
  <c r="K119" i="959"/>
  <c r="G119" i="959"/>
  <c r="O118" i="959"/>
  <c r="M118" i="959"/>
  <c r="N118" i="959" s="1"/>
  <c r="K118" i="959"/>
  <c r="G118" i="959"/>
  <c r="O117" i="959"/>
  <c r="M117" i="959"/>
  <c r="AB117" i="959" s="1"/>
  <c r="K117" i="959"/>
  <c r="G117" i="959"/>
  <c r="O116" i="959"/>
  <c r="M116" i="959"/>
  <c r="K116" i="959"/>
  <c r="G116" i="959"/>
  <c r="O115" i="959"/>
  <c r="M115" i="959"/>
  <c r="K115" i="959"/>
  <c r="G115" i="959"/>
  <c r="O114" i="959"/>
  <c r="M114" i="959"/>
  <c r="N114" i="959" s="1"/>
  <c r="K114" i="959"/>
  <c r="G114" i="959"/>
  <c r="O113" i="959"/>
  <c r="M113" i="959"/>
  <c r="AB113" i="959" s="1"/>
  <c r="K113" i="959"/>
  <c r="G113" i="959"/>
  <c r="O112" i="959"/>
  <c r="M112" i="959"/>
  <c r="K112" i="959"/>
  <c r="G112" i="959"/>
  <c r="O111" i="959"/>
  <c r="M111" i="959"/>
  <c r="K111" i="959"/>
  <c r="G111" i="959"/>
  <c r="O110" i="959"/>
  <c r="M110" i="959"/>
  <c r="N110" i="959" s="1"/>
  <c r="K110" i="959"/>
  <c r="G110" i="959"/>
  <c r="O109" i="959"/>
  <c r="M109" i="959"/>
  <c r="AB109" i="959" s="1"/>
  <c r="K109" i="959"/>
  <c r="G109" i="959"/>
  <c r="O108" i="959"/>
  <c r="M108" i="959"/>
  <c r="K108" i="959"/>
  <c r="G108" i="959"/>
  <c r="O107" i="959"/>
  <c r="M107" i="959"/>
  <c r="AB107" i="959" s="1"/>
  <c r="K107" i="959"/>
  <c r="G107" i="959"/>
  <c r="L106" i="959"/>
  <c r="O106" i="959" s="1"/>
  <c r="J106" i="959"/>
  <c r="K106" i="959" s="1"/>
  <c r="I106" i="959"/>
  <c r="O90" i="959"/>
  <c r="M90" i="959"/>
  <c r="K90" i="959"/>
  <c r="G90" i="959"/>
  <c r="L89" i="959"/>
  <c r="J89" i="959"/>
  <c r="K89" i="959" s="1"/>
  <c r="I89" i="959"/>
  <c r="O73" i="959"/>
  <c r="M73" i="959"/>
  <c r="K73" i="959"/>
  <c r="G73" i="959"/>
  <c r="L72" i="959"/>
  <c r="J72" i="959"/>
  <c r="K72" i="959" s="1"/>
  <c r="I72" i="959"/>
  <c r="O63" i="959"/>
  <c r="M63" i="959"/>
  <c r="AB63" i="959" s="1"/>
  <c r="K63" i="959"/>
  <c r="G63" i="959"/>
  <c r="O62" i="959"/>
  <c r="M62" i="959"/>
  <c r="K62" i="959"/>
  <c r="G62" i="959"/>
  <c r="O61" i="959"/>
  <c r="M61" i="959"/>
  <c r="K61" i="959"/>
  <c r="G61" i="959"/>
  <c r="O60" i="959"/>
  <c r="M60" i="959"/>
  <c r="N60" i="959" s="1"/>
  <c r="K60" i="959"/>
  <c r="G60" i="959"/>
  <c r="O59" i="959"/>
  <c r="M59" i="959"/>
  <c r="AB59" i="959" s="1"/>
  <c r="K59" i="959"/>
  <c r="G59" i="959"/>
  <c r="O58" i="959"/>
  <c r="M58" i="959"/>
  <c r="K58" i="959"/>
  <c r="G58" i="959"/>
  <c r="O57" i="959"/>
  <c r="M57" i="959"/>
  <c r="K57" i="959"/>
  <c r="G57" i="959"/>
  <c r="O56" i="959"/>
  <c r="M56" i="959"/>
  <c r="K56" i="959"/>
  <c r="G56" i="959"/>
  <c r="L55" i="959"/>
  <c r="O55" i="959" s="1"/>
  <c r="J55" i="959"/>
  <c r="I55" i="959"/>
  <c r="K55" i="959" s="1"/>
  <c r="O46" i="959"/>
  <c r="M46" i="959"/>
  <c r="K46" i="959"/>
  <c r="G46" i="959"/>
  <c r="O45" i="959"/>
  <c r="M45" i="959"/>
  <c r="K45" i="959"/>
  <c r="G45" i="959"/>
  <c r="O44" i="959"/>
  <c r="M44" i="959"/>
  <c r="AB44" i="959" s="1"/>
  <c r="K44" i="959"/>
  <c r="G44" i="959"/>
  <c r="O43" i="959"/>
  <c r="M43" i="959"/>
  <c r="N43" i="959" s="1"/>
  <c r="K43" i="959"/>
  <c r="G43" i="959"/>
  <c r="O42" i="959"/>
  <c r="M42" i="959"/>
  <c r="K42" i="959"/>
  <c r="G42" i="959"/>
  <c r="O41" i="959"/>
  <c r="M41" i="959"/>
  <c r="K41" i="959"/>
  <c r="G41" i="959"/>
  <c r="O40" i="959"/>
  <c r="M40" i="959"/>
  <c r="AB40" i="959" s="1"/>
  <c r="K40" i="959"/>
  <c r="G40" i="959"/>
  <c r="O39" i="959"/>
  <c r="M39" i="959"/>
  <c r="K39" i="959"/>
  <c r="G39" i="959"/>
  <c r="L38" i="959"/>
  <c r="O38" i="959" s="1"/>
  <c r="J38" i="959"/>
  <c r="K38" i="959" s="1"/>
  <c r="I38" i="959"/>
  <c r="O23" i="959"/>
  <c r="M23" i="959"/>
  <c r="N23" i="959" s="1"/>
  <c r="K23" i="959"/>
  <c r="G23" i="959"/>
  <c r="O22" i="959"/>
  <c r="M22" i="959"/>
  <c r="K22" i="959"/>
  <c r="G22" i="959"/>
  <c r="L21" i="959"/>
  <c r="J21" i="959"/>
  <c r="K21" i="959" s="1"/>
  <c r="I21" i="959"/>
  <c r="O21" i="959" s="1"/>
  <c r="O10" i="959"/>
  <c r="M10" i="959"/>
  <c r="K10" i="959"/>
  <c r="G10" i="959"/>
  <c r="O9" i="959"/>
  <c r="M9" i="959"/>
  <c r="K9" i="959"/>
  <c r="G9" i="959"/>
  <c r="O8" i="959"/>
  <c r="M8" i="959"/>
  <c r="N8" i="959" s="1"/>
  <c r="K8" i="959"/>
  <c r="G8" i="959"/>
  <c r="O7" i="959"/>
  <c r="M7" i="959"/>
  <c r="AB7" i="959" s="1"/>
  <c r="K7" i="959"/>
  <c r="G7" i="959"/>
  <c r="O6" i="959"/>
  <c r="M6" i="959"/>
  <c r="K6" i="959"/>
  <c r="G6" i="959"/>
  <c r="O5" i="959"/>
  <c r="M5" i="959"/>
  <c r="AB5" i="959" s="1"/>
  <c r="K5" i="959"/>
  <c r="G5" i="959"/>
  <c r="H2" i="959"/>
  <c r="H1" i="959"/>
  <c r="D1" i="959"/>
  <c r="X34" i="958"/>
  <c r="W34" i="958"/>
  <c r="V34" i="958"/>
  <c r="P34" i="958"/>
  <c r="M8" i="958" s="1"/>
  <c r="O34" i="958"/>
  <c r="N34" i="958"/>
  <c r="M34" i="958"/>
  <c r="G34" i="958"/>
  <c r="N16" i="958"/>
  <c r="M16" i="958"/>
  <c r="I8" i="958" s="1"/>
  <c r="J16" i="958"/>
  <c r="I16" i="958"/>
  <c r="H16" i="958"/>
  <c r="G16" i="958"/>
  <c r="F16" i="958"/>
  <c r="E16" i="958"/>
  <c r="G8" i="958"/>
  <c r="F8" i="958"/>
  <c r="M7" i="958"/>
  <c r="K7" i="958"/>
  <c r="I7" i="958"/>
  <c r="G7" i="958"/>
  <c r="F7" i="958"/>
  <c r="E7" i="958"/>
  <c r="M6" i="958"/>
  <c r="K6" i="958"/>
  <c r="I6" i="958"/>
  <c r="G6" i="958"/>
  <c r="F6" i="958"/>
  <c r="E6" i="958"/>
  <c r="F3" i="958"/>
  <c r="AD140" i="957"/>
  <c r="AC140" i="957"/>
  <c r="Z140" i="957"/>
  <c r="Y140" i="957"/>
  <c r="L140" i="957"/>
  <c r="J140" i="957"/>
  <c r="K140" i="957" s="1"/>
  <c r="I140" i="957"/>
  <c r="O126" i="957"/>
  <c r="M126" i="957"/>
  <c r="K126" i="957"/>
  <c r="G126" i="957"/>
  <c r="O125" i="957"/>
  <c r="M125" i="957"/>
  <c r="K125" i="957"/>
  <c r="G125" i="957"/>
  <c r="O124" i="957"/>
  <c r="M124" i="957"/>
  <c r="K124" i="957"/>
  <c r="G124" i="957"/>
  <c r="AD123" i="957"/>
  <c r="AC123" i="957"/>
  <c r="AC2" i="957" s="1"/>
  <c r="Q6" i="955" s="1"/>
  <c r="Z123" i="957"/>
  <c r="Y123" i="957"/>
  <c r="L123" i="957"/>
  <c r="O123" i="957" s="1"/>
  <c r="J123" i="957"/>
  <c r="K123" i="957" s="1"/>
  <c r="I123" i="957"/>
  <c r="O109" i="957"/>
  <c r="M109" i="957"/>
  <c r="K109" i="957"/>
  <c r="G109" i="957"/>
  <c r="O108" i="957"/>
  <c r="M108" i="957"/>
  <c r="K108" i="957"/>
  <c r="G108" i="957"/>
  <c r="O107" i="957"/>
  <c r="M107" i="957"/>
  <c r="K107" i="957"/>
  <c r="G107" i="957"/>
  <c r="AD106" i="957"/>
  <c r="AC106" i="957"/>
  <c r="Z106" i="957"/>
  <c r="Y106" i="957"/>
  <c r="L106" i="957"/>
  <c r="O106" i="957" s="1"/>
  <c r="J106" i="957"/>
  <c r="K106" i="957" s="1"/>
  <c r="I106" i="957"/>
  <c r="O91" i="957"/>
  <c r="M91" i="957"/>
  <c r="K91" i="957"/>
  <c r="G91" i="957"/>
  <c r="O90" i="957"/>
  <c r="M90" i="957"/>
  <c r="K90" i="957"/>
  <c r="G90" i="957"/>
  <c r="AD89" i="957"/>
  <c r="AC89" i="957"/>
  <c r="Z89" i="957"/>
  <c r="Y89" i="957"/>
  <c r="L89" i="957"/>
  <c r="O89" i="957" s="1"/>
  <c r="J89" i="957"/>
  <c r="K89" i="957" s="1"/>
  <c r="I89" i="957"/>
  <c r="O77" i="957"/>
  <c r="M77" i="957"/>
  <c r="K77" i="957"/>
  <c r="G77" i="957"/>
  <c r="O76" i="957"/>
  <c r="M76" i="957"/>
  <c r="K76" i="957"/>
  <c r="G76" i="957"/>
  <c r="O75" i="957"/>
  <c r="M75" i="957"/>
  <c r="K75" i="957"/>
  <c r="G75" i="957"/>
  <c r="O74" i="957"/>
  <c r="M74" i="957"/>
  <c r="K74" i="957"/>
  <c r="G74" i="957"/>
  <c r="O73" i="957"/>
  <c r="M73" i="957"/>
  <c r="K73" i="957"/>
  <c r="G73" i="957"/>
  <c r="AD72" i="957"/>
  <c r="AC72" i="957"/>
  <c r="Z72" i="957"/>
  <c r="Y72" i="957"/>
  <c r="L72" i="957"/>
  <c r="J72" i="957"/>
  <c r="I72" i="957"/>
  <c r="O60" i="957"/>
  <c r="M60" i="957"/>
  <c r="K60" i="957"/>
  <c r="G60" i="957"/>
  <c r="O59" i="957"/>
  <c r="M59" i="957"/>
  <c r="AF59" i="957" s="1"/>
  <c r="K59" i="957"/>
  <c r="G59" i="957"/>
  <c r="O58" i="957"/>
  <c r="M58" i="957"/>
  <c r="AF58" i="957" s="1"/>
  <c r="K58" i="957"/>
  <c r="G58" i="957"/>
  <c r="O57" i="957"/>
  <c r="M57" i="957"/>
  <c r="K57" i="957"/>
  <c r="G57" i="957"/>
  <c r="O56" i="957"/>
  <c r="M56" i="957"/>
  <c r="M72" i="957" s="1"/>
  <c r="K56" i="957"/>
  <c r="G56" i="957"/>
  <c r="AD55" i="957"/>
  <c r="AC55" i="957"/>
  <c r="Z55" i="957"/>
  <c r="Z2" i="957" s="1"/>
  <c r="P6" i="955" s="1"/>
  <c r="Y55" i="957"/>
  <c r="Y2" i="957" s="1"/>
  <c r="O6" i="955" s="1"/>
  <c r="L55" i="957"/>
  <c r="J55" i="957"/>
  <c r="K55" i="957" s="1"/>
  <c r="I55" i="957"/>
  <c r="O43" i="957"/>
  <c r="M43" i="957"/>
  <c r="K43" i="957"/>
  <c r="G43" i="957"/>
  <c r="O42" i="957"/>
  <c r="M42" i="957"/>
  <c r="K42" i="957"/>
  <c r="G42" i="957"/>
  <c r="O41" i="957"/>
  <c r="M41" i="957"/>
  <c r="K41" i="957"/>
  <c r="G41" i="957"/>
  <c r="O40" i="957"/>
  <c r="M40" i="957"/>
  <c r="K40" i="957"/>
  <c r="G40" i="957"/>
  <c r="O39" i="957"/>
  <c r="M39" i="957"/>
  <c r="K39" i="957"/>
  <c r="G39" i="957"/>
  <c r="AD38" i="957"/>
  <c r="AD2" i="957" s="1"/>
  <c r="R6" i="955" s="1"/>
  <c r="AC38" i="957"/>
  <c r="Z38" i="957"/>
  <c r="Y38" i="957"/>
  <c r="L38" i="957"/>
  <c r="J38" i="957"/>
  <c r="I38" i="957"/>
  <c r="O26" i="957"/>
  <c r="M26" i="957"/>
  <c r="K26" i="957"/>
  <c r="G26" i="957"/>
  <c r="O25" i="957"/>
  <c r="M25" i="957"/>
  <c r="K25" i="957"/>
  <c r="G25" i="957"/>
  <c r="O24" i="957"/>
  <c r="M24" i="957"/>
  <c r="K24" i="957"/>
  <c r="G24" i="957"/>
  <c r="O23" i="957"/>
  <c r="M23" i="957"/>
  <c r="K23" i="957"/>
  <c r="G23" i="957"/>
  <c r="O22" i="957"/>
  <c r="M22" i="957"/>
  <c r="AF22" i="957" s="1"/>
  <c r="K22" i="957"/>
  <c r="G22" i="957"/>
  <c r="AD21" i="957"/>
  <c r="AC21" i="957"/>
  <c r="Z21" i="957"/>
  <c r="Y21" i="957"/>
  <c r="L21" i="957"/>
  <c r="J21" i="957"/>
  <c r="K21" i="957" s="1"/>
  <c r="I21" i="957"/>
  <c r="O7" i="957"/>
  <c r="M7" i="957"/>
  <c r="AF7" i="957" s="1"/>
  <c r="K7" i="957"/>
  <c r="G7" i="957"/>
  <c r="O6" i="957"/>
  <c r="M6" i="957"/>
  <c r="K6" i="957"/>
  <c r="G6" i="957"/>
  <c r="O5" i="957"/>
  <c r="M5" i="957"/>
  <c r="K5" i="957"/>
  <c r="G5" i="957"/>
  <c r="F1" i="957" s="1"/>
  <c r="H2" i="957"/>
  <c r="D1" i="957"/>
  <c r="L140" i="956"/>
  <c r="J140" i="956"/>
  <c r="K140" i="956" s="1"/>
  <c r="I140" i="956"/>
  <c r="O137" i="956"/>
  <c r="M137" i="956"/>
  <c r="AB137" i="956" s="1"/>
  <c r="K137" i="956"/>
  <c r="G137" i="956"/>
  <c r="O136" i="956"/>
  <c r="M136" i="956"/>
  <c r="AB136" i="956" s="1"/>
  <c r="K136" i="956"/>
  <c r="G136" i="956"/>
  <c r="O135" i="956"/>
  <c r="M135" i="956"/>
  <c r="K135" i="956"/>
  <c r="G135" i="956"/>
  <c r="O134" i="956"/>
  <c r="M134" i="956"/>
  <c r="K134" i="956"/>
  <c r="G134" i="956"/>
  <c r="O133" i="956"/>
  <c r="M133" i="956"/>
  <c r="AB133" i="956" s="1"/>
  <c r="K133" i="956"/>
  <c r="G133" i="956"/>
  <c r="O132" i="956"/>
  <c r="M132" i="956"/>
  <c r="AB132" i="956" s="1"/>
  <c r="K132" i="956"/>
  <c r="G132" i="956"/>
  <c r="O131" i="956"/>
  <c r="M131" i="956"/>
  <c r="K131" i="956"/>
  <c r="G131" i="956"/>
  <c r="O130" i="956"/>
  <c r="M130" i="956"/>
  <c r="K130" i="956"/>
  <c r="G130" i="956"/>
  <c r="O129" i="956"/>
  <c r="M129" i="956"/>
  <c r="AB129" i="956" s="1"/>
  <c r="K129" i="956"/>
  <c r="G129" i="956"/>
  <c r="O128" i="956"/>
  <c r="M128" i="956"/>
  <c r="AB128" i="956" s="1"/>
  <c r="K128" i="956"/>
  <c r="G128" i="956"/>
  <c r="O127" i="956"/>
  <c r="M127" i="956"/>
  <c r="K127" i="956"/>
  <c r="G127" i="956"/>
  <c r="O126" i="956"/>
  <c r="M126" i="956"/>
  <c r="K126" i="956"/>
  <c r="G126" i="956"/>
  <c r="O125" i="956"/>
  <c r="M125" i="956"/>
  <c r="AB125" i="956" s="1"/>
  <c r="K125" i="956"/>
  <c r="G125" i="956"/>
  <c r="O124" i="956"/>
  <c r="M124" i="956"/>
  <c r="K124" i="956"/>
  <c r="G124" i="956"/>
  <c r="L123" i="956"/>
  <c r="J123" i="956"/>
  <c r="K123" i="956" s="1"/>
  <c r="I123" i="956"/>
  <c r="O120" i="956"/>
  <c r="M120" i="956"/>
  <c r="K120" i="956"/>
  <c r="G120" i="956"/>
  <c r="O119" i="956"/>
  <c r="M119" i="956"/>
  <c r="K119" i="956"/>
  <c r="G119" i="956"/>
  <c r="O118" i="956"/>
  <c r="M118" i="956"/>
  <c r="AB118" i="956" s="1"/>
  <c r="K118" i="956"/>
  <c r="G118" i="956"/>
  <c r="O117" i="956"/>
  <c r="M117" i="956"/>
  <c r="AB117" i="956" s="1"/>
  <c r="K117" i="956"/>
  <c r="G117" i="956"/>
  <c r="O116" i="956"/>
  <c r="M116" i="956"/>
  <c r="K116" i="956"/>
  <c r="G116" i="956"/>
  <c r="O115" i="956"/>
  <c r="M115" i="956"/>
  <c r="K115" i="956"/>
  <c r="G115" i="956"/>
  <c r="O114" i="956"/>
  <c r="M114" i="956"/>
  <c r="AB114" i="956" s="1"/>
  <c r="K114" i="956"/>
  <c r="G114" i="956"/>
  <c r="O113" i="956"/>
  <c r="M113" i="956"/>
  <c r="AB113" i="956" s="1"/>
  <c r="K113" i="956"/>
  <c r="G113" i="956"/>
  <c r="O112" i="956"/>
  <c r="M112" i="956"/>
  <c r="K112" i="956"/>
  <c r="G112" i="956"/>
  <c r="O111" i="956"/>
  <c r="M111" i="956"/>
  <c r="K111" i="956"/>
  <c r="G111" i="956"/>
  <c r="O110" i="956"/>
  <c r="M110" i="956"/>
  <c r="AB110" i="956" s="1"/>
  <c r="K110" i="956"/>
  <c r="G110" i="956"/>
  <c r="O109" i="956"/>
  <c r="M109" i="956"/>
  <c r="AB109" i="956" s="1"/>
  <c r="K109" i="956"/>
  <c r="G109" i="956"/>
  <c r="O108" i="956"/>
  <c r="M108" i="956"/>
  <c r="K108" i="956"/>
  <c r="G108" i="956"/>
  <c r="O107" i="956"/>
  <c r="M107" i="956"/>
  <c r="K107" i="956"/>
  <c r="G107" i="956"/>
  <c r="L106" i="956"/>
  <c r="O106" i="956" s="1"/>
  <c r="J106" i="956"/>
  <c r="K106" i="956" s="1"/>
  <c r="I106" i="956"/>
  <c r="O90" i="956"/>
  <c r="M90" i="956"/>
  <c r="K90" i="956"/>
  <c r="G90" i="956"/>
  <c r="L89" i="956"/>
  <c r="J89" i="956"/>
  <c r="I89" i="956"/>
  <c r="O73" i="956"/>
  <c r="M73" i="956"/>
  <c r="K73" i="956"/>
  <c r="G73" i="956"/>
  <c r="L72" i="956"/>
  <c r="J72" i="956"/>
  <c r="K72" i="956" s="1"/>
  <c r="I72" i="956"/>
  <c r="O63" i="956"/>
  <c r="M63" i="956"/>
  <c r="AB63" i="956" s="1"/>
  <c r="K63" i="956"/>
  <c r="G63" i="956"/>
  <c r="O62" i="956"/>
  <c r="M62" i="956"/>
  <c r="K62" i="956"/>
  <c r="G62" i="956"/>
  <c r="O61" i="956"/>
  <c r="M61" i="956"/>
  <c r="K61" i="956"/>
  <c r="G61" i="956"/>
  <c r="O60" i="956"/>
  <c r="M60" i="956"/>
  <c r="AB60" i="956" s="1"/>
  <c r="K60" i="956"/>
  <c r="G60" i="956"/>
  <c r="O59" i="956"/>
  <c r="M59" i="956"/>
  <c r="AB59" i="956" s="1"/>
  <c r="K59" i="956"/>
  <c r="G59" i="956"/>
  <c r="O58" i="956"/>
  <c r="M58" i="956"/>
  <c r="K58" i="956"/>
  <c r="G58" i="956"/>
  <c r="O57" i="956"/>
  <c r="M57" i="956"/>
  <c r="K57" i="956"/>
  <c r="G57" i="956"/>
  <c r="O56" i="956"/>
  <c r="M56" i="956"/>
  <c r="K56" i="956"/>
  <c r="G56" i="956"/>
  <c r="L55" i="956"/>
  <c r="J55" i="956"/>
  <c r="K55" i="956" s="1"/>
  <c r="I55" i="956"/>
  <c r="O46" i="956"/>
  <c r="M46" i="956"/>
  <c r="K46" i="956"/>
  <c r="G46" i="956"/>
  <c r="O45" i="956"/>
  <c r="M45" i="956"/>
  <c r="K45" i="956"/>
  <c r="G45" i="956"/>
  <c r="O44" i="956"/>
  <c r="M44" i="956"/>
  <c r="K44" i="956"/>
  <c r="G44" i="956"/>
  <c r="O43" i="956"/>
  <c r="M43" i="956"/>
  <c r="K43" i="956"/>
  <c r="G43" i="956"/>
  <c r="O42" i="956"/>
  <c r="M42" i="956"/>
  <c r="K42" i="956"/>
  <c r="G42" i="956"/>
  <c r="O41" i="956"/>
  <c r="M41" i="956"/>
  <c r="K41" i="956"/>
  <c r="G41" i="956"/>
  <c r="O40" i="956"/>
  <c r="M40" i="956"/>
  <c r="K40" i="956"/>
  <c r="G40" i="956"/>
  <c r="O39" i="956"/>
  <c r="M39" i="956"/>
  <c r="K39" i="956"/>
  <c r="G39" i="956"/>
  <c r="L38" i="956"/>
  <c r="J38" i="956"/>
  <c r="I38" i="956"/>
  <c r="O23" i="956"/>
  <c r="M23" i="956"/>
  <c r="AB23" i="956" s="1"/>
  <c r="K23" i="956"/>
  <c r="G23" i="956"/>
  <c r="O22" i="956"/>
  <c r="M22" i="956"/>
  <c r="K22" i="956"/>
  <c r="G22" i="956"/>
  <c r="L21" i="956"/>
  <c r="O21" i="956" s="1"/>
  <c r="J21" i="956"/>
  <c r="K21" i="956" s="1"/>
  <c r="I21" i="956"/>
  <c r="O10" i="956"/>
  <c r="M10" i="956"/>
  <c r="K10" i="956"/>
  <c r="G10" i="956"/>
  <c r="O9" i="956"/>
  <c r="M9" i="956"/>
  <c r="K9" i="956"/>
  <c r="G9" i="956"/>
  <c r="O8" i="956"/>
  <c r="M8" i="956"/>
  <c r="AB8" i="956" s="1"/>
  <c r="K8" i="956"/>
  <c r="G8" i="956"/>
  <c r="O7" i="956"/>
  <c r="M7" i="956"/>
  <c r="AB7" i="956" s="1"/>
  <c r="K7" i="956"/>
  <c r="G7" i="956"/>
  <c r="O6" i="956"/>
  <c r="M6" i="956"/>
  <c r="K6" i="956"/>
  <c r="G6" i="956"/>
  <c r="O5" i="956"/>
  <c r="M5" i="956"/>
  <c r="K5" i="956"/>
  <c r="G5" i="956"/>
  <c r="H2" i="956"/>
  <c r="D1" i="956"/>
  <c r="F3" i="955" s="1"/>
  <c r="X34" i="955"/>
  <c r="W34" i="955"/>
  <c r="V34" i="955"/>
  <c r="P34" i="955"/>
  <c r="O34" i="955"/>
  <c r="N34" i="955"/>
  <c r="M34" i="955"/>
  <c r="G34" i="955"/>
  <c r="K8" i="955" s="1"/>
  <c r="N16" i="955"/>
  <c r="M16" i="955"/>
  <c r="J16" i="955"/>
  <c r="I16" i="955"/>
  <c r="H16" i="955"/>
  <c r="G16" i="955"/>
  <c r="F16" i="955"/>
  <c r="E16" i="955"/>
  <c r="M8" i="955"/>
  <c r="I8" i="955"/>
  <c r="F8" i="955"/>
  <c r="M7" i="955"/>
  <c r="K7" i="955"/>
  <c r="I7" i="955"/>
  <c r="G7" i="955"/>
  <c r="F7" i="955"/>
  <c r="E7" i="955"/>
  <c r="M6" i="955"/>
  <c r="K6" i="955"/>
  <c r="I6" i="955"/>
  <c r="G6" i="955"/>
  <c r="F6" i="955"/>
  <c r="E6" i="955"/>
  <c r="AD140" i="954"/>
  <c r="AC140" i="954"/>
  <c r="Z140" i="954"/>
  <c r="Y140" i="954"/>
  <c r="L140" i="954"/>
  <c r="J140" i="954"/>
  <c r="K140" i="954" s="1"/>
  <c r="I140" i="954"/>
  <c r="O126" i="954"/>
  <c r="M126" i="954"/>
  <c r="AF126" i="954" s="1"/>
  <c r="K126" i="954"/>
  <c r="G126" i="954"/>
  <c r="O125" i="954"/>
  <c r="M125" i="954"/>
  <c r="AF125" i="954" s="1"/>
  <c r="K125" i="954"/>
  <c r="G125" i="954"/>
  <c r="O124" i="954"/>
  <c r="M124" i="954"/>
  <c r="K124" i="954"/>
  <c r="G124" i="954"/>
  <c r="AD123" i="954"/>
  <c r="AC123" i="954"/>
  <c r="Z123" i="954"/>
  <c r="Y123" i="954"/>
  <c r="L123" i="954"/>
  <c r="J123" i="954"/>
  <c r="I123" i="954"/>
  <c r="O109" i="954"/>
  <c r="M109" i="954"/>
  <c r="K109" i="954"/>
  <c r="G109" i="954"/>
  <c r="O108" i="954"/>
  <c r="M108" i="954"/>
  <c r="K108" i="954"/>
  <c r="G108" i="954"/>
  <c r="O107" i="954"/>
  <c r="M107" i="954"/>
  <c r="K107" i="954"/>
  <c r="G107" i="954"/>
  <c r="AD106" i="954"/>
  <c r="AC106" i="954"/>
  <c r="Z106" i="954"/>
  <c r="Y106" i="954"/>
  <c r="L106" i="954"/>
  <c r="O106" i="954" s="1"/>
  <c r="J106" i="954"/>
  <c r="K106" i="954" s="1"/>
  <c r="I106" i="954"/>
  <c r="O91" i="954"/>
  <c r="M91" i="954"/>
  <c r="K91" i="954"/>
  <c r="G91" i="954"/>
  <c r="O90" i="954"/>
  <c r="M90" i="954"/>
  <c r="K90" i="954"/>
  <c r="G90" i="954"/>
  <c r="AD89" i="954"/>
  <c r="AC89" i="954"/>
  <c r="Z89" i="954"/>
  <c r="Y89" i="954"/>
  <c r="L89" i="954"/>
  <c r="O89" i="954" s="1"/>
  <c r="J89" i="954"/>
  <c r="I89" i="954"/>
  <c r="O75" i="954"/>
  <c r="M75" i="954"/>
  <c r="K75" i="954"/>
  <c r="G75" i="954"/>
  <c r="O74" i="954"/>
  <c r="M74" i="954"/>
  <c r="AF74" i="954" s="1"/>
  <c r="K74" i="954"/>
  <c r="G74" i="954"/>
  <c r="O73" i="954"/>
  <c r="M73" i="954"/>
  <c r="K73" i="954"/>
  <c r="G73" i="954"/>
  <c r="AD72" i="954"/>
  <c r="AC72" i="954"/>
  <c r="Z72" i="954"/>
  <c r="Y72" i="954"/>
  <c r="L72" i="954"/>
  <c r="O72" i="954" s="1"/>
  <c r="J72" i="954"/>
  <c r="K72" i="954" s="1"/>
  <c r="I72" i="954"/>
  <c r="O60" i="954"/>
  <c r="M60" i="954"/>
  <c r="K60" i="954"/>
  <c r="G60" i="954"/>
  <c r="O59" i="954"/>
  <c r="M59" i="954"/>
  <c r="K59" i="954"/>
  <c r="G59" i="954"/>
  <c r="O58" i="954"/>
  <c r="M58" i="954"/>
  <c r="N58" i="954" s="1"/>
  <c r="K58" i="954"/>
  <c r="G58" i="954"/>
  <c r="O57" i="954"/>
  <c r="M57" i="954"/>
  <c r="AF57" i="954" s="1"/>
  <c r="K57" i="954"/>
  <c r="G57" i="954"/>
  <c r="O56" i="954"/>
  <c r="M56" i="954"/>
  <c r="AF56" i="954" s="1"/>
  <c r="K56" i="954"/>
  <c r="G56" i="954"/>
  <c r="AD55" i="954"/>
  <c r="AC55" i="954"/>
  <c r="Z55" i="954"/>
  <c r="Y55" i="954"/>
  <c r="L55" i="954"/>
  <c r="O55" i="954" s="1"/>
  <c r="J55" i="954"/>
  <c r="K55" i="954" s="1"/>
  <c r="I55" i="954"/>
  <c r="O43" i="954"/>
  <c r="M43" i="954"/>
  <c r="AF43" i="954" s="1"/>
  <c r="K43" i="954"/>
  <c r="G43" i="954"/>
  <c r="O42" i="954"/>
  <c r="N42" i="954"/>
  <c r="Q42" i="954" s="1"/>
  <c r="M42" i="954"/>
  <c r="K42" i="954"/>
  <c r="G42" i="954"/>
  <c r="O41" i="954"/>
  <c r="M41" i="954"/>
  <c r="K41" i="954"/>
  <c r="G41" i="954"/>
  <c r="O40" i="954"/>
  <c r="M40" i="954"/>
  <c r="K40" i="954"/>
  <c r="G40" i="954"/>
  <c r="O39" i="954"/>
  <c r="N39" i="954"/>
  <c r="Q39" i="954" s="1"/>
  <c r="M39" i="954"/>
  <c r="K39" i="954"/>
  <c r="G39" i="954"/>
  <c r="AD38" i="954"/>
  <c r="AC38" i="954"/>
  <c r="Z38" i="954"/>
  <c r="Y38" i="954"/>
  <c r="L38" i="954"/>
  <c r="O38" i="954" s="1"/>
  <c r="J38" i="954"/>
  <c r="K38" i="954" s="1"/>
  <c r="I38" i="954"/>
  <c r="O26" i="954"/>
  <c r="M26" i="954"/>
  <c r="K26" i="954"/>
  <c r="G26" i="954"/>
  <c r="O25" i="954"/>
  <c r="M25" i="954"/>
  <c r="AF25" i="954" s="1"/>
  <c r="K25" i="954"/>
  <c r="G25" i="954"/>
  <c r="O24" i="954"/>
  <c r="M24" i="954"/>
  <c r="AF24" i="954" s="1"/>
  <c r="K24" i="954"/>
  <c r="G24" i="954"/>
  <c r="O23" i="954"/>
  <c r="M23" i="954"/>
  <c r="K23" i="954"/>
  <c r="G23" i="954"/>
  <c r="O22" i="954"/>
  <c r="M22" i="954"/>
  <c r="M38" i="954" s="1"/>
  <c r="K22" i="954"/>
  <c r="G22" i="954"/>
  <c r="AD21" i="954"/>
  <c r="AC21" i="954"/>
  <c r="Z21" i="954"/>
  <c r="Y21" i="954"/>
  <c r="L21" i="954"/>
  <c r="O21" i="954" s="1"/>
  <c r="J21" i="954"/>
  <c r="K21" i="954" s="1"/>
  <c r="I21" i="954"/>
  <c r="O7" i="954"/>
  <c r="M7" i="954"/>
  <c r="N7" i="954" s="1"/>
  <c r="K7" i="954"/>
  <c r="G7" i="954"/>
  <c r="O6" i="954"/>
  <c r="M6" i="954"/>
  <c r="AF6" i="954" s="1"/>
  <c r="K6" i="954"/>
  <c r="G6" i="954"/>
  <c r="O5" i="954"/>
  <c r="M5" i="954"/>
  <c r="M21" i="954" s="1"/>
  <c r="K5" i="954"/>
  <c r="G5" i="954"/>
  <c r="AD2" i="954"/>
  <c r="Z2" i="954"/>
  <c r="Y2" i="954"/>
  <c r="H2" i="954"/>
  <c r="D1" i="954"/>
  <c r="L140" i="953"/>
  <c r="J140" i="953"/>
  <c r="I140" i="953"/>
  <c r="AB138" i="953"/>
  <c r="AA138" i="953"/>
  <c r="O137" i="953"/>
  <c r="M137" i="953"/>
  <c r="K137" i="953"/>
  <c r="G137" i="953"/>
  <c r="O136" i="953"/>
  <c r="M136" i="953"/>
  <c r="K136" i="953"/>
  <c r="G136" i="953"/>
  <c r="O135" i="953"/>
  <c r="M135" i="953"/>
  <c r="K135" i="953"/>
  <c r="G135" i="953"/>
  <c r="O134" i="953"/>
  <c r="M134" i="953"/>
  <c r="K134" i="953"/>
  <c r="G134" i="953"/>
  <c r="O133" i="953"/>
  <c r="M133" i="953"/>
  <c r="K133" i="953"/>
  <c r="G133" i="953"/>
  <c r="O132" i="953"/>
  <c r="M132" i="953"/>
  <c r="K132" i="953"/>
  <c r="G132" i="953"/>
  <c r="O131" i="953"/>
  <c r="M131" i="953"/>
  <c r="K131" i="953"/>
  <c r="G131" i="953"/>
  <c r="O130" i="953"/>
  <c r="M130" i="953"/>
  <c r="K130" i="953"/>
  <c r="G130" i="953"/>
  <c r="O129" i="953"/>
  <c r="M129" i="953"/>
  <c r="K129" i="953"/>
  <c r="G129" i="953"/>
  <c r="AA128" i="953"/>
  <c r="O128" i="953"/>
  <c r="M128" i="953"/>
  <c r="N128" i="953" s="1"/>
  <c r="K128" i="953"/>
  <c r="G128" i="953"/>
  <c r="O127" i="953"/>
  <c r="M127" i="953"/>
  <c r="K127" i="953"/>
  <c r="G127" i="953"/>
  <c r="O126" i="953"/>
  <c r="M126" i="953"/>
  <c r="K126" i="953"/>
  <c r="G126" i="953"/>
  <c r="O125" i="953"/>
  <c r="N125" i="953"/>
  <c r="Q125" i="953" s="1"/>
  <c r="M125" i="953"/>
  <c r="K125" i="953"/>
  <c r="G125" i="953"/>
  <c r="O124" i="953"/>
  <c r="M124" i="953"/>
  <c r="K124" i="953"/>
  <c r="G124" i="953"/>
  <c r="L123" i="953"/>
  <c r="O123" i="953" s="1"/>
  <c r="J123" i="953"/>
  <c r="K123" i="953" s="1"/>
  <c r="I123" i="953"/>
  <c r="O120" i="953"/>
  <c r="M120" i="953"/>
  <c r="N120" i="953" s="1"/>
  <c r="K120" i="953"/>
  <c r="G120" i="953"/>
  <c r="O119" i="953"/>
  <c r="M119" i="953"/>
  <c r="AB119" i="953" s="1"/>
  <c r="K119" i="953"/>
  <c r="G119" i="953"/>
  <c r="O118" i="953"/>
  <c r="M118" i="953"/>
  <c r="AB118" i="953" s="1"/>
  <c r="K118" i="953"/>
  <c r="G118" i="953"/>
  <c r="O117" i="953"/>
  <c r="M117" i="953"/>
  <c r="K117" i="953"/>
  <c r="G117" i="953"/>
  <c r="O116" i="953"/>
  <c r="M116" i="953"/>
  <c r="K116" i="953"/>
  <c r="G116" i="953"/>
  <c r="O115" i="953"/>
  <c r="M115" i="953"/>
  <c r="AB115" i="953" s="1"/>
  <c r="K115" i="953"/>
  <c r="G115" i="953"/>
  <c r="O114" i="953"/>
  <c r="M114" i="953"/>
  <c r="AB114" i="953" s="1"/>
  <c r="K114" i="953"/>
  <c r="G114" i="953"/>
  <c r="O113" i="953"/>
  <c r="M113" i="953"/>
  <c r="K113" i="953"/>
  <c r="G113" i="953"/>
  <c r="O112" i="953"/>
  <c r="M112" i="953"/>
  <c r="K112" i="953"/>
  <c r="G112" i="953"/>
  <c r="O111" i="953"/>
  <c r="M111" i="953"/>
  <c r="AB111" i="953" s="1"/>
  <c r="K111" i="953"/>
  <c r="G111" i="953"/>
  <c r="O110" i="953"/>
  <c r="M110" i="953"/>
  <c r="AB110" i="953" s="1"/>
  <c r="K110" i="953"/>
  <c r="G110" i="953"/>
  <c r="O109" i="953"/>
  <c r="M109" i="953"/>
  <c r="K109" i="953"/>
  <c r="G109" i="953"/>
  <c r="AB108" i="953"/>
  <c r="O108" i="953"/>
  <c r="M108" i="953"/>
  <c r="K108" i="953"/>
  <c r="G108" i="953"/>
  <c r="O107" i="953"/>
  <c r="M107" i="953"/>
  <c r="K107" i="953"/>
  <c r="G107" i="953"/>
  <c r="L106" i="953"/>
  <c r="O106" i="953" s="1"/>
  <c r="J106" i="953"/>
  <c r="K106" i="953" s="1"/>
  <c r="I106" i="953"/>
  <c r="O90" i="953"/>
  <c r="M90" i="953"/>
  <c r="AB90" i="953" s="1"/>
  <c r="K90" i="953"/>
  <c r="G90" i="953"/>
  <c r="L89" i="953"/>
  <c r="J89" i="953"/>
  <c r="I89" i="953"/>
  <c r="O73" i="953"/>
  <c r="M73" i="953"/>
  <c r="AB73" i="953" s="1"/>
  <c r="K73" i="953"/>
  <c r="G73" i="953"/>
  <c r="L72" i="953"/>
  <c r="O72" i="953" s="1"/>
  <c r="J72" i="953"/>
  <c r="I72" i="953"/>
  <c r="O63" i="953"/>
  <c r="M63" i="953"/>
  <c r="K63" i="953"/>
  <c r="G63" i="953"/>
  <c r="O62" i="953"/>
  <c r="M62" i="953"/>
  <c r="K62" i="953"/>
  <c r="G62" i="953"/>
  <c r="O61" i="953"/>
  <c r="M61" i="953"/>
  <c r="AB61" i="953" s="1"/>
  <c r="K61" i="953"/>
  <c r="G61" i="953"/>
  <c r="O60" i="953"/>
  <c r="M60" i="953"/>
  <c r="AB60" i="953" s="1"/>
  <c r="K60" i="953"/>
  <c r="G60" i="953"/>
  <c r="O59" i="953"/>
  <c r="M59" i="953"/>
  <c r="K59" i="953"/>
  <c r="G59" i="953"/>
  <c r="O58" i="953"/>
  <c r="M58" i="953"/>
  <c r="K58" i="953"/>
  <c r="G58" i="953"/>
  <c r="O57" i="953"/>
  <c r="M57" i="953"/>
  <c r="AB57" i="953" s="1"/>
  <c r="K57" i="953"/>
  <c r="G57" i="953"/>
  <c r="O56" i="953"/>
  <c r="M56" i="953"/>
  <c r="K56" i="953"/>
  <c r="G56" i="953"/>
  <c r="L55" i="953"/>
  <c r="J55" i="953"/>
  <c r="I55" i="953"/>
  <c r="K55" i="953" s="1"/>
  <c r="O46" i="953"/>
  <c r="M46" i="953"/>
  <c r="K46" i="953"/>
  <c r="G46" i="953"/>
  <c r="O45" i="953"/>
  <c r="M45" i="953"/>
  <c r="K45" i="953"/>
  <c r="G45" i="953"/>
  <c r="O44" i="953"/>
  <c r="M44" i="953"/>
  <c r="AB44" i="953" s="1"/>
  <c r="K44" i="953"/>
  <c r="G44" i="953"/>
  <c r="O43" i="953"/>
  <c r="M43" i="953"/>
  <c r="AB43" i="953" s="1"/>
  <c r="K43" i="953"/>
  <c r="G43" i="953"/>
  <c r="O42" i="953"/>
  <c r="M42" i="953"/>
  <c r="K42" i="953"/>
  <c r="G42" i="953"/>
  <c r="O41" i="953"/>
  <c r="M41" i="953"/>
  <c r="N41" i="953" s="1"/>
  <c r="K41" i="953"/>
  <c r="G41" i="953"/>
  <c r="O40" i="953"/>
  <c r="M40" i="953"/>
  <c r="AB40" i="953" s="1"/>
  <c r="K40" i="953"/>
  <c r="G40" i="953"/>
  <c r="O39" i="953"/>
  <c r="M39" i="953"/>
  <c r="AB39" i="953" s="1"/>
  <c r="K39" i="953"/>
  <c r="G39" i="953"/>
  <c r="L38" i="953"/>
  <c r="J38" i="953"/>
  <c r="I38" i="953"/>
  <c r="O23" i="953"/>
  <c r="M23" i="953"/>
  <c r="AB23" i="953" s="1"/>
  <c r="K23" i="953"/>
  <c r="G23" i="953"/>
  <c r="O22" i="953"/>
  <c r="M22" i="953"/>
  <c r="K22" i="953"/>
  <c r="G22" i="953"/>
  <c r="L21" i="953"/>
  <c r="J21" i="953"/>
  <c r="I21" i="953"/>
  <c r="O10" i="953"/>
  <c r="M10" i="953"/>
  <c r="K10" i="953"/>
  <c r="G10" i="953"/>
  <c r="O9" i="953"/>
  <c r="M9" i="953"/>
  <c r="AB9" i="953" s="1"/>
  <c r="K9" i="953"/>
  <c r="G9" i="953"/>
  <c r="O8" i="953"/>
  <c r="M8" i="953"/>
  <c r="K8" i="953"/>
  <c r="G8" i="953"/>
  <c r="O7" i="953"/>
  <c r="M7" i="953"/>
  <c r="K7" i="953"/>
  <c r="G7" i="953"/>
  <c r="O6" i="953"/>
  <c r="M6" i="953"/>
  <c r="N6" i="953" s="1"/>
  <c r="K6" i="953"/>
  <c r="G6" i="953"/>
  <c r="O5" i="953"/>
  <c r="M5" i="953"/>
  <c r="K5" i="953"/>
  <c r="G5" i="953"/>
  <c r="H2" i="953"/>
  <c r="H1" i="953"/>
  <c r="D1" i="953"/>
  <c r="X34" i="952"/>
  <c r="W34" i="952"/>
  <c r="V34" i="952"/>
  <c r="M8" i="952" s="1"/>
  <c r="P34" i="952"/>
  <c r="O34" i="952"/>
  <c r="N34" i="952"/>
  <c r="M34" i="952"/>
  <c r="K8" i="952" s="1"/>
  <c r="G34" i="952"/>
  <c r="N16" i="952"/>
  <c r="M16" i="952"/>
  <c r="J16" i="952"/>
  <c r="I16" i="952"/>
  <c r="H16" i="952"/>
  <c r="G16" i="952"/>
  <c r="F16" i="952"/>
  <c r="E8" i="952" s="1"/>
  <c r="E16" i="952"/>
  <c r="G8" i="952" s="1"/>
  <c r="I8" i="952"/>
  <c r="F8" i="952"/>
  <c r="M7" i="952"/>
  <c r="K7" i="952"/>
  <c r="I7" i="952"/>
  <c r="G7" i="952"/>
  <c r="F7" i="952"/>
  <c r="E7" i="952"/>
  <c r="R6" i="952"/>
  <c r="P6" i="952"/>
  <c r="O6" i="952"/>
  <c r="M6" i="952"/>
  <c r="K6" i="952"/>
  <c r="I6" i="952"/>
  <c r="G6" i="952"/>
  <c r="F6" i="952"/>
  <c r="E6" i="952"/>
  <c r="F3" i="952"/>
  <c r="AD140" i="951"/>
  <c r="AC140" i="951"/>
  <c r="Z140" i="951"/>
  <c r="Y140" i="951"/>
  <c r="L140" i="951"/>
  <c r="J140" i="951"/>
  <c r="K140" i="951" s="1"/>
  <c r="I140" i="951"/>
  <c r="O140" i="951" s="1"/>
  <c r="O126" i="951"/>
  <c r="M126" i="951"/>
  <c r="K126" i="951"/>
  <c r="G126" i="951"/>
  <c r="O125" i="951"/>
  <c r="M125" i="951"/>
  <c r="K125" i="951"/>
  <c r="G125" i="951"/>
  <c r="O124" i="951"/>
  <c r="M124" i="951"/>
  <c r="K124" i="951"/>
  <c r="G124" i="951"/>
  <c r="AD123" i="951"/>
  <c r="AC123" i="951"/>
  <c r="Z123" i="951"/>
  <c r="Y123" i="951"/>
  <c r="L123" i="951"/>
  <c r="O123" i="951" s="1"/>
  <c r="J123" i="951"/>
  <c r="K123" i="951" s="1"/>
  <c r="I123" i="951"/>
  <c r="O109" i="951"/>
  <c r="M109" i="951"/>
  <c r="K109" i="951"/>
  <c r="G109" i="951"/>
  <c r="O108" i="951"/>
  <c r="M108" i="951"/>
  <c r="K108" i="951"/>
  <c r="G108" i="951"/>
  <c r="O107" i="951"/>
  <c r="M107" i="951"/>
  <c r="N107" i="951" s="1"/>
  <c r="K107" i="951"/>
  <c r="G107" i="951"/>
  <c r="AD106" i="951"/>
  <c r="AC106" i="951"/>
  <c r="Z106" i="951"/>
  <c r="Y106" i="951"/>
  <c r="L106" i="951"/>
  <c r="J106" i="951"/>
  <c r="K106" i="951" s="1"/>
  <c r="I106" i="951"/>
  <c r="O91" i="951"/>
  <c r="M91" i="951"/>
  <c r="N91" i="951" s="1"/>
  <c r="K91" i="951"/>
  <c r="G91" i="951"/>
  <c r="O90" i="951"/>
  <c r="M90" i="951"/>
  <c r="K90" i="951"/>
  <c r="G90" i="951"/>
  <c r="AD89" i="951"/>
  <c r="AC89" i="951"/>
  <c r="Z89" i="951"/>
  <c r="Y89" i="951"/>
  <c r="L89" i="951"/>
  <c r="O89" i="951" s="1"/>
  <c r="J89" i="951"/>
  <c r="I89" i="951"/>
  <c r="O75" i="951"/>
  <c r="N75" i="951"/>
  <c r="P75" i="951" s="1"/>
  <c r="M75" i="951"/>
  <c r="K75" i="951"/>
  <c r="Q75" i="951" s="1"/>
  <c r="G75" i="951"/>
  <c r="O74" i="951"/>
  <c r="N74" i="951"/>
  <c r="Q74" i="951" s="1"/>
  <c r="M74" i="951"/>
  <c r="AF74" i="951" s="1"/>
  <c r="K74" i="951"/>
  <c r="G74" i="951"/>
  <c r="O73" i="951"/>
  <c r="M73" i="951"/>
  <c r="K73" i="951"/>
  <c r="G73" i="951"/>
  <c r="AD72" i="951"/>
  <c r="AC72" i="951"/>
  <c r="Z72" i="951"/>
  <c r="Y72" i="951"/>
  <c r="L72" i="951"/>
  <c r="J72" i="951"/>
  <c r="I72" i="951"/>
  <c r="AF60" i="951"/>
  <c r="O60" i="951"/>
  <c r="N60" i="951"/>
  <c r="Q60" i="951" s="1"/>
  <c r="M60" i="951"/>
  <c r="AE60" i="951" s="1"/>
  <c r="K60" i="951"/>
  <c r="G60" i="951"/>
  <c r="O59" i="951"/>
  <c r="M59" i="951"/>
  <c r="K59" i="951"/>
  <c r="G59" i="951"/>
  <c r="O58" i="951"/>
  <c r="M58" i="951"/>
  <c r="K58" i="951"/>
  <c r="G58" i="951"/>
  <c r="O57" i="951"/>
  <c r="M57" i="951"/>
  <c r="K57" i="951"/>
  <c r="G57" i="951"/>
  <c r="O56" i="951"/>
  <c r="M56" i="951"/>
  <c r="AF56" i="951" s="1"/>
  <c r="K56" i="951"/>
  <c r="G56" i="951"/>
  <c r="AD55" i="951"/>
  <c r="AC55" i="951"/>
  <c r="Z55" i="951"/>
  <c r="Y55" i="951"/>
  <c r="L55" i="951"/>
  <c r="O55" i="951" s="1"/>
  <c r="J55" i="951"/>
  <c r="K55" i="951" s="1"/>
  <c r="I55" i="951"/>
  <c r="O43" i="951"/>
  <c r="M43" i="951"/>
  <c r="AF43" i="951" s="1"/>
  <c r="K43" i="951"/>
  <c r="G43" i="951"/>
  <c r="O42" i="951"/>
  <c r="M42" i="951"/>
  <c r="K42" i="951"/>
  <c r="G42" i="951"/>
  <c r="AE41" i="951"/>
  <c r="O41" i="951"/>
  <c r="M41" i="951"/>
  <c r="K41" i="951"/>
  <c r="G41" i="951"/>
  <c r="O40" i="951"/>
  <c r="M40" i="951"/>
  <c r="N40" i="951" s="1"/>
  <c r="K40" i="951"/>
  <c r="G40" i="951"/>
  <c r="O39" i="951"/>
  <c r="M39" i="951"/>
  <c r="K39" i="951"/>
  <c r="G39" i="951"/>
  <c r="AD38" i="951"/>
  <c r="AC38" i="951"/>
  <c r="Z38" i="951"/>
  <c r="Y38" i="951"/>
  <c r="L38" i="951"/>
  <c r="J38" i="951"/>
  <c r="K38" i="951" s="1"/>
  <c r="I38" i="951"/>
  <c r="O26" i="951"/>
  <c r="M26" i="951"/>
  <c r="K26" i="951"/>
  <c r="G26" i="951"/>
  <c r="O25" i="951"/>
  <c r="M25" i="951"/>
  <c r="K25" i="951"/>
  <c r="G25" i="951"/>
  <c r="O24" i="951"/>
  <c r="M24" i="951"/>
  <c r="K24" i="951"/>
  <c r="G24" i="951"/>
  <c r="O23" i="951"/>
  <c r="M23" i="951"/>
  <c r="K23" i="951"/>
  <c r="G23" i="951"/>
  <c r="O22" i="951"/>
  <c r="M22" i="951"/>
  <c r="K22" i="951"/>
  <c r="G22" i="951"/>
  <c r="AD21" i="951"/>
  <c r="AC21" i="951"/>
  <c r="Z21" i="951"/>
  <c r="Y21" i="951"/>
  <c r="L21" i="951"/>
  <c r="O21" i="951" s="1"/>
  <c r="J21" i="951"/>
  <c r="K21" i="951" s="1"/>
  <c r="I21" i="951"/>
  <c r="O7" i="951"/>
  <c r="M7" i="951"/>
  <c r="K7" i="951"/>
  <c r="G7" i="951"/>
  <c r="O6" i="951"/>
  <c r="M6" i="951"/>
  <c r="AF6" i="951" s="1"/>
  <c r="K6" i="951"/>
  <c r="G6" i="951"/>
  <c r="O5" i="951"/>
  <c r="M5" i="951"/>
  <c r="M21" i="951" s="1"/>
  <c r="K5" i="951"/>
  <c r="G5" i="951"/>
  <c r="AD2" i="951"/>
  <c r="R6" i="949" s="1"/>
  <c r="AC2" i="951"/>
  <c r="Q6" i="949" s="1"/>
  <c r="H2" i="951"/>
  <c r="H1" i="951"/>
  <c r="D1" i="951"/>
  <c r="AD140" i="950"/>
  <c r="AC140" i="950"/>
  <c r="Z140" i="950"/>
  <c r="Y140" i="950"/>
  <c r="L140" i="950"/>
  <c r="J140" i="950"/>
  <c r="K140" i="950" s="1"/>
  <c r="I140" i="950"/>
  <c r="O140" i="950" s="1"/>
  <c r="O137" i="950"/>
  <c r="M137" i="950"/>
  <c r="K137" i="950"/>
  <c r="G137" i="950"/>
  <c r="O136" i="950"/>
  <c r="M136" i="950"/>
  <c r="K136" i="950"/>
  <c r="G136" i="950"/>
  <c r="O135" i="950"/>
  <c r="M135" i="950"/>
  <c r="AF135" i="950" s="1"/>
  <c r="K135" i="950"/>
  <c r="G135" i="950"/>
  <c r="O134" i="950"/>
  <c r="N134" i="950"/>
  <c r="M134" i="950"/>
  <c r="AF134" i="950" s="1"/>
  <c r="K134" i="950"/>
  <c r="G134" i="950"/>
  <c r="O133" i="950"/>
  <c r="M133" i="950"/>
  <c r="K133" i="950"/>
  <c r="G133" i="950"/>
  <c r="O132" i="950"/>
  <c r="M132" i="950"/>
  <c r="K132" i="950"/>
  <c r="G132" i="950"/>
  <c r="O131" i="950"/>
  <c r="M131" i="950"/>
  <c r="N131" i="950" s="1"/>
  <c r="K131" i="950"/>
  <c r="G131" i="950"/>
  <c r="O130" i="950"/>
  <c r="N130" i="950"/>
  <c r="M130" i="950"/>
  <c r="AF130" i="950" s="1"/>
  <c r="K130" i="950"/>
  <c r="G130" i="950"/>
  <c r="O129" i="950"/>
  <c r="N129" i="950"/>
  <c r="Q129" i="950" s="1"/>
  <c r="M129" i="950"/>
  <c r="K129" i="950"/>
  <c r="G129" i="950"/>
  <c r="O128" i="950"/>
  <c r="M128" i="950"/>
  <c r="K128" i="950"/>
  <c r="G128" i="950"/>
  <c r="O127" i="950"/>
  <c r="M127" i="950"/>
  <c r="N127" i="950" s="1"/>
  <c r="K127" i="950"/>
  <c r="G127" i="950"/>
  <c r="O126" i="950"/>
  <c r="M126" i="950"/>
  <c r="K126" i="950"/>
  <c r="G126" i="950"/>
  <c r="O125" i="950"/>
  <c r="M125" i="950"/>
  <c r="K125" i="950"/>
  <c r="G125" i="950"/>
  <c r="O124" i="950"/>
  <c r="M124" i="950"/>
  <c r="AF124" i="950" s="1"/>
  <c r="K124" i="950"/>
  <c r="G124" i="950"/>
  <c r="AD123" i="950"/>
  <c r="AC123" i="950"/>
  <c r="Z123" i="950"/>
  <c r="Y123" i="950"/>
  <c r="L123" i="950"/>
  <c r="J123" i="950"/>
  <c r="K123" i="950" s="1"/>
  <c r="I123" i="950"/>
  <c r="O120" i="950"/>
  <c r="M120" i="950"/>
  <c r="K120" i="950"/>
  <c r="G120" i="950"/>
  <c r="O119" i="950"/>
  <c r="M119" i="950"/>
  <c r="K119" i="950"/>
  <c r="G119" i="950"/>
  <c r="O118" i="950"/>
  <c r="M118" i="950"/>
  <c r="N118" i="950" s="1"/>
  <c r="K118" i="950"/>
  <c r="G118" i="950"/>
  <c r="O117" i="950"/>
  <c r="M117" i="950"/>
  <c r="AF117" i="950" s="1"/>
  <c r="K117" i="950"/>
  <c r="G117" i="950"/>
  <c r="O116" i="950"/>
  <c r="M116" i="950"/>
  <c r="K116" i="950"/>
  <c r="G116" i="950"/>
  <c r="O115" i="950"/>
  <c r="M115" i="950"/>
  <c r="K115" i="950"/>
  <c r="G115" i="950"/>
  <c r="O114" i="950"/>
  <c r="M114" i="950"/>
  <c r="K114" i="950"/>
  <c r="G114" i="950"/>
  <c r="O113" i="950"/>
  <c r="M113" i="950"/>
  <c r="AF113" i="950" s="1"/>
  <c r="K113" i="950"/>
  <c r="G113" i="950"/>
  <c r="O112" i="950"/>
  <c r="M112" i="950"/>
  <c r="K112" i="950"/>
  <c r="G112" i="950"/>
  <c r="O111" i="950"/>
  <c r="M111" i="950"/>
  <c r="K111" i="950"/>
  <c r="G111" i="950"/>
  <c r="O110" i="950"/>
  <c r="M110" i="950"/>
  <c r="K110" i="950"/>
  <c r="G110" i="950"/>
  <c r="O109" i="950"/>
  <c r="M109" i="950"/>
  <c r="AF109" i="950" s="1"/>
  <c r="K109" i="950"/>
  <c r="G109" i="950"/>
  <c r="O108" i="950"/>
  <c r="M108" i="950"/>
  <c r="K108" i="950"/>
  <c r="G108" i="950"/>
  <c r="O107" i="950"/>
  <c r="M107" i="950"/>
  <c r="K107" i="950"/>
  <c r="G107" i="950"/>
  <c r="AD106" i="950"/>
  <c r="AC106" i="950"/>
  <c r="Z106" i="950"/>
  <c r="Y106" i="950"/>
  <c r="L106" i="950"/>
  <c r="J106" i="950"/>
  <c r="K106" i="950" s="1"/>
  <c r="I106" i="950"/>
  <c r="O90" i="950"/>
  <c r="M90" i="950"/>
  <c r="K90" i="950"/>
  <c r="G90" i="950"/>
  <c r="AD89" i="950"/>
  <c r="AC89" i="950"/>
  <c r="Z89" i="950"/>
  <c r="Y89" i="950"/>
  <c r="L89" i="950"/>
  <c r="J89" i="950"/>
  <c r="K89" i="950" s="1"/>
  <c r="I89" i="950"/>
  <c r="O89" i="950" s="1"/>
  <c r="O73" i="950"/>
  <c r="M73" i="950"/>
  <c r="AF73" i="950" s="1"/>
  <c r="K73" i="950"/>
  <c r="G73" i="950"/>
  <c r="AD72" i="950"/>
  <c r="AC72" i="950"/>
  <c r="Z72" i="950"/>
  <c r="Y72" i="950"/>
  <c r="L72" i="950"/>
  <c r="O72" i="950" s="1"/>
  <c r="J72" i="950"/>
  <c r="K72" i="950" s="1"/>
  <c r="I72" i="950"/>
  <c r="O63" i="950"/>
  <c r="M63" i="950"/>
  <c r="AF63" i="950" s="1"/>
  <c r="K63" i="950"/>
  <c r="G63" i="950"/>
  <c r="O62" i="950"/>
  <c r="M62" i="950"/>
  <c r="K62" i="950"/>
  <c r="G62" i="950"/>
  <c r="O61" i="950"/>
  <c r="M61" i="950"/>
  <c r="K61" i="950"/>
  <c r="G61" i="950"/>
  <c r="O60" i="950"/>
  <c r="M60" i="950"/>
  <c r="K60" i="950"/>
  <c r="G60" i="950"/>
  <c r="O59" i="950"/>
  <c r="M59" i="950"/>
  <c r="AF59" i="950" s="1"/>
  <c r="K59" i="950"/>
  <c r="G59" i="950"/>
  <c r="O58" i="950"/>
  <c r="M58" i="950"/>
  <c r="K58" i="950"/>
  <c r="G58" i="950"/>
  <c r="O57" i="950"/>
  <c r="M57" i="950"/>
  <c r="K57" i="950"/>
  <c r="G57" i="950"/>
  <c r="O56" i="950"/>
  <c r="M56" i="950"/>
  <c r="K56" i="950"/>
  <c r="G56" i="950"/>
  <c r="AD55" i="950"/>
  <c r="AC55" i="950"/>
  <c r="Z55" i="950"/>
  <c r="Y55" i="950"/>
  <c r="L55" i="950"/>
  <c r="O55" i="950" s="1"/>
  <c r="J55" i="950"/>
  <c r="I55" i="950"/>
  <c r="O46" i="950"/>
  <c r="M46" i="950"/>
  <c r="K46" i="950"/>
  <c r="G46" i="950"/>
  <c r="O45" i="950"/>
  <c r="M45" i="950"/>
  <c r="K45" i="950"/>
  <c r="G45" i="950"/>
  <c r="O44" i="950"/>
  <c r="M44" i="950"/>
  <c r="K44" i="950"/>
  <c r="G44" i="950"/>
  <c r="O43" i="950"/>
  <c r="M43" i="950"/>
  <c r="K43" i="950"/>
  <c r="G43" i="950"/>
  <c r="O42" i="950"/>
  <c r="M42" i="950"/>
  <c r="K42" i="950"/>
  <c r="G42" i="950"/>
  <c r="O41" i="950"/>
  <c r="N41" i="950"/>
  <c r="Q41" i="950" s="1"/>
  <c r="M41" i="950"/>
  <c r="K41" i="950"/>
  <c r="G41" i="950"/>
  <c r="O40" i="950"/>
  <c r="M40" i="950"/>
  <c r="K40" i="950"/>
  <c r="G40" i="950"/>
  <c r="O39" i="950"/>
  <c r="M39" i="950"/>
  <c r="K39" i="950"/>
  <c r="G39" i="950"/>
  <c r="AD38" i="950"/>
  <c r="AC38" i="950"/>
  <c r="Z38" i="950"/>
  <c r="Y38" i="950"/>
  <c r="L38" i="950"/>
  <c r="J38" i="950"/>
  <c r="I38" i="950"/>
  <c r="O38" i="950" s="1"/>
  <c r="O23" i="950"/>
  <c r="M23" i="950"/>
  <c r="K23" i="950"/>
  <c r="G23" i="950"/>
  <c r="O22" i="950"/>
  <c r="M22" i="950"/>
  <c r="K22" i="950"/>
  <c r="G22" i="950"/>
  <c r="AD21" i="950"/>
  <c r="AC21" i="950"/>
  <c r="AC2" i="950" s="1"/>
  <c r="Z21" i="950"/>
  <c r="Z2" i="950" s="1"/>
  <c r="Y21" i="950"/>
  <c r="L21" i="950"/>
  <c r="O21" i="950" s="1"/>
  <c r="J21" i="950"/>
  <c r="I21" i="950"/>
  <c r="O10" i="950"/>
  <c r="M10" i="950"/>
  <c r="K10" i="950"/>
  <c r="G10" i="950"/>
  <c r="O9" i="950"/>
  <c r="M9" i="950"/>
  <c r="K9" i="950"/>
  <c r="G9" i="950"/>
  <c r="O8" i="950"/>
  <c r="M8" i="950"/>
  <c r="K8" i="950"/>
  <c r="G8" i="950"/>
  <c r="O7" i="950"/>
  <c r="M7" i="950"/>
  <c r="AF7" i="950" s="1"/>
  <c r="K7" i="950"/>
  <c r="G7" i="950"/>
  <c r="O6" i="950"/>
  <c r="M6" i="950"/>
  <c r="K6" i="950"/>
  <c r="G6" i="950"/>
  <c r="O5" i="950"/>
  <c r="M5" i="950"/>
  <c r="K5" i="950"/>
  <c r="G5" i="950"/>
  <c r="F1" i="950" s="1"/>
  <c r="H2" i="950"/>
  <c r="D1" i="950"/>
  <c r="X34" i="949"/>
  <c r="W34" i="949"/>
  <c r="M8" i="949" s="1"/>
  <c r="V34" i="949"/>
  <c r="P34" i="949"/>
  <c r="O34" i="949"/>
  <c r="N34" i="949"/>
  <c r="M34" i="949"/>
  <c r="G34" i="949"/>
  <c r="K8" i="949" s="1"/>
  <c r="N16" i="949"/>
  <c r="M16" i="949"/>
  <c r="J16" i="949"/>
  <c r="I16" i="949"/>
  <c r="H16" i="949"/>
  <c r="G16" i="949"/>
  <c r="E8" i="949" s="1"/>
  <c r="F16" i="949"/>
  <c r="E16" i="949"/>
  <c r="I8" i="949"/>
  <c r="G8" i="949"/>
  <c r="F8" i="949"/>
  <c r="M7" i="949"/>
  <c r="K7" i="949"/>
  <c r="I7" i="949"/>
  <c r="G7" i="949"/>
  <c r="F7" i="949"/>
  <c r="E7" i="949"/>
  <c r="M6" i="949"/>
  <c r="K6" i="949"/>
  <c r="I6" i="949"/>
  <c r="G6" i="949"/>
  <c r="F6" i="949"/>
  <c r="E6" i="949"/>
  <c r="F3" i="949"/>
  <c r="AD140" i="948"/>
  <c r="AC140" i="948"/>
  <c r="Z140" i="948"/>
  <c r="Y140" i="948"/>
  <c r="L140" i="948"/>
  <c r="O140" i="948" s="1"/>
  <c r="J140" i="948"/>
  <c r="K140" i="948" s="1"/>
  <c r="I140" i="948"/>
  <c r="O126" i="948"/>
  <c r="M126" i="948"/>
  <c r="AF126" i="948" s="1"/>
  <c r="K126" i="948"/>
  <c r="G126" i="948"/>
  <c r="O125" i="948"/>
  <c r="M125" i="948"/>
  <c r="K125" i="948"/>
  <c r="G125" i="948"/>
  <c r="O124" i="948"/>
  <c r="N124" i="948"/>
  <c r="M124" i="948"/>
  <c r="K124" i="948"/>
  <c r="G124" i="948"/>
  <c r="AD123" i="948"/>
  <c r="AC123" i="948"/>
  <c r="Z123" i="948"/>
  <c r="Y123" i="948"/>
  <c r="L123" i="948"/>
  <c r="O123" i="948" s="1"/>
  <c r="J123" i="948"/>
  <c r="K123" i="948" s="1"/>
  <c r="I123" i="948"/>
  <c r="O109" i="948"/>
  <c r="M109" i="948"/>
  <c r="K109" i="948"/>
  <c r="G109" i="948"/>
  <c r="O108" i="948"/>
  <c r="M108" i="948"/>
  <c r="K108" i="948"/>
  <c r="G108" i="948"/>
  <c r="O107" i="948"/>
  <c r="M107" i="948"/>
  <c r="N107" i="948" s="1"/>
  <c r="K107" i="948"/>
  <c r="G107" i="948"/>
  <c r="AD106" i="948"/>
  <c r="AC106" i="948"/>
  <c r="Z106" i="948"/>
  <c r="Y106" i="948"/>
  <c r="L106" i="948"/>
  <c r="O106" i="948" s="1"/>
  <c r="J106" i="948"/>
  <c r="K106" i="948" s="1"/>
  <c r="I106" i="948"/>
  <c r="O91" i="948"/>
  <c r="M91" i="948"/>
  <c r="K91" i="948"/>
  <c r="G91" i="948"/>
  <c r="O90" i="948"/>
  <c r="M90" i="948"/>
  <c r="K90" i="948"/>
  <c r="G90" i="948"/>
  <c r="AD89" i="948"/>
  <c r="AC89" i="948"/>
  <c r="Z89" i="948"/>
  <c r="Y89" i="948"/>
  <c r="L89" i="948"/>
  <c r="O89" i="948" s="1"/>
  <c r="J89" i="948"/>
  <c r="I89" i="948"/>
  <c r="K89" i="948" s="1"/>
  <c r="O75" i="948"/>
  <c r="M75" i="948"/>
  <c r="K75" i="948"/>
  <c r="G75" i="948"/>
  <c r="O74" i="948"/>
  <c r="M74" i="948"/>
  <c r="AF74" i="948" s="1"/>
  <c r="K74" i="948"/>
  <c r="G74" i="948"/>
  <c r="O73" i="948"/>
  <c r="M73" i="948"/>
  <c r="K73" i="948"/>
  <c r="G73" i="948"/>
  <c r="AD72" i="948"/>
  <c r="AC72" i="948"/>
  <c r="Z72" i="948"/>
  <c r="Y72" i="948"/>
  <c r="L72" i="948"/>
  <c r="J72" i="948"/>
  <c r="K72" i="948" s="1"/>
  <c r="I72" i="948"/>
  <c r="AF59" i="948"/>
  <c r="O59" i="948"/>
  <c r="M59" i="948"/>
  <c r="AE59" i="948" s="1"/>
  <c r="K59" i="948"/>
  <c r="G59" i="948"/>
  <c r="O58" i="948"/>
  <c r="M58" i="948"/>
  <c r="K58" i="948"/>
  <c r="G58" i="948"/>
  <c r="O57" i="948"/>
  <c r="M57" i="948"/>
  <c r="N57" i="948" s="1"/>
  <c r="K57" i="948"/>
  <c r="G57" i="948"/>
  <c r="O56" i="948"/>
  <c r="M56" i="948"/>
  <c r="N56" i="948" s="1"/>
  <c r="K56" i="948"/>
  <c r="G56" i="948"/>
  <c r="AD55" i="948"/>
  <c r="AC55" i="948"/>
  <c r="Z55" i="948"/>
  <c r="Y55" i="948"/>
  <c r="L55" i="948"/>
  <c r="J55" i="948"/>
  <c r="K55" i="948" s="1"/>
  <c r="I55" i="948"/>
  <c r="O44" i="948"/>
  <c r="M44" i="948"/>
  <c r="N44" i="948" s="1"/>
  <c r="K44" i="948"/>
  <c r="G44" i="948"/>
  <c r="O43" i="948"/>
  <c r="M43" i="948"/>
  <c r="K43" i="948"/>
  <c r="G43" i="948"/>
  <c r="O42" i="948"/>
  <c r="M42" i="948"/>
  <c r="K42" i="948"/>
  <c r="G42" i="948"/>
  <c r="O41" i="948"/>
  <c r="M41" i="948"/>
  <c r="K41" i="948"/>
  <c r="G41" i="948"/>
  <c r="O40" i="948"/>
  <c r="M40" i="948"/>
  <c r="K40" i="948"/>
  <c r="G40" i="948"/>
  <c r="O39" i="948"/>
  <c r="M39" i="948"/>
  <c r="K39" i="948"/>
  <c r="G39" i="948"/>
  <c r="AD38" i="948"/>
  <c r="AC38" i="948"/>
  <c r="Z38" i="948"/>
  <c r="Y38" i="948"/>
  <c r="L38" i="948"/>
  <c r="O38" i="948" s="1"/>
  <c r="J38" i="948"/>
  <c r="I38" i="948"/>
  <c r="K38" i="948" s="1"/>
  <c r="O26" i="948"/>
  <c r="M26" i="948"/>
  <c r="K26" i="948"/>
  <c r="G26" i="948"/>
  <c r="O25" i="948"/>
  <c r="M25" i="948"/>
  <c r="AF25" i="948" s="1"/>
  <c r="K25" i="948"/>
  <c r="G25" i="948"/>
  <c r="O24" i="948"/>
  <c r="M24" i="948"/>
  <c r="K24" i="948"/>
  <c r="G24" i="948"/>
  <c r="O23" i="948"/>
  <c r="M23" i="948"/>
  <c r="N23" i="948" s="1"/>
  <c r="K23" i="948"/>
  <c r="G23" i="948"/>
  <c r="O22" i="948"/>
  <c r="M22" i="948"/>
  <c r="M38" i="948" s="1"/>
  <c r="K22" i="948"/>
  <c r="G22" i="948"/>
  <c r="AD21" i="948"/>
  <c r="AC21" i="948"/>
  <c r="Z21" i="948"/>
  <c r="Y21" i="948"/>
  <c r="L21" i="948"/>
  <c r="J21" i="948"/>
  <c r="I21" i="948"/>
  <c r="K21" i="948" s="1"/>
  <c r="O7" i="948"/>
  <c r="M7" i="948"/>
  <c r="K7" i="948"/>
  <c r="G7" i="948"/>
  <c r="O6" i="948"/>
  <c r="M6" i="948"/>
  <c r="K6" i="948"/>
  <c r="G6" i="948"/>
  <c r="O5" i="948"/>
  <c r="M5" i="948"/>
  <c r="K5" i="948"/>
  <c r="G5" i="948"/>
  <c r="AD2" i="948"/>
  <c r="AC2" i="948"/>
  <c r="Z2" i="948"/>
  <c r="Y2" i="948"/>
  <c r="H2" i="948"/>
  <c r="H1" i="948"/>
  <c r="F1" i="948"/>
  <c r="F2" i="948" s="1"/>
  <c r="D1" i="948"/>
  <c r="L140" i="947"/>
  <c r="J140" i="947"/>
  <c r="K140" i="947" s="1"/>
  <c r="I140" i="947"/>
  <c r="O140" i="947" s="1"/>
  <c r="O137" i="947"/>
  <c r="M137" i="947"/>
  <c r="N137" i="947" s="1"/>
  <c r="K137" i="947"/>
  <c r="G137" i="947"/>
  <c r="AA136" i="947"/>
  <c r="O136" i="947"/>
  <c r="M136" i="947"/>
  <c r="N136" i="947" s="1"/>
  <c r="K136" i="947"/>
  <c r="G136" i="947"/>
  <c r="O135" i="947"/>
  <c r="M135" i="947"/>
  <c r="K135" i="947"/>
  <c r="G135" i="947"/>
  <c r="O134" i="947"/>
  <c r="M134" i="947"/>
  <c r="AB134" i="947" s="1"/>
  <c r="K134" i="947"/>
  <c r="G134" i="947"/>
  <c r="O133" i="947"/>
  <c r="M133" i="947"/>
  <c r="N133" i="947" s="1"/>
  <c r="K133" i="947"/>
  <c r="G133" i="947"/>
  <c r="O132" i="947"/>
  <c r="M132" i="947"/>
  <c r="K132" i="947"/>
  <c r="G132" i="947"/>
  <c r="O131" i="947"/>
  <c r="M131" i="947"/>
  <c r="K131" i="947"/>
  <c r="G131" i="947"/>
  <c r="O130" i="947"/>
  <c r="M130" i="947"/>
  <c r="AB130" i="947" s="1"/>
  <c r="K130" i="947"/>
  <c r="G130" i="947"/>
  <c r="O129" i="947"/>
  <c r="M129" i="947"/>
  <c r="N129" i="947" s="1"/>
  <c r="K129" i="947"/>
  <c r="G129" i="947"/>
  <c r="O128" i="947"/>
  <c r="M128" i="947"/>
  <c r="K128" i="947"/>
  <c r="G128" i="947"/>
  <c r="O127" i="947"/>
  <c r="M127" i="947"/>
  <c r="K127" i="947"/>
  <c r="G127" i="947"/>
  <c r="O126" i="947"/>
  <c r="M126" i="947"/>
  <c r="AB126" i="947" s="1"/>
  <c r="K126" i="947"/>
  <c r="G126" i="947"/>
  <c r="O125" i="947"/>
  <c r="M125" i="947"/>
  <c r="N125" i="947" s="1"/>
  <c r="K125" i="947"/>
  <c r="G125" i="947"/>
  <c r="O124" i="947"/>
  <c r="M124" i="947"/>
  <c r="K124" i="947"/>
  <c r="G124" i="947"/>
  <c r="L123" i="947"/>
  <c r="J123" i="947"/>
  <c r="I123" i="947"/>
  <c r="K123" i="947" s="1"/>
  <c r="O120" i="947"/>
  <c r="M120" i="947"/>
  <c r="K120" i="947"/>
  <c r="G120" i="947"/>
  <c r="O119" i="947"/>
  <c r="M119" i="947"/>
  <c r="K119" i="947"/>
  <c r="G119" i="947"/>
  <c r="O118" i="947"/>
  <c r="M118" i="947"/>
  <c r="K118" i="947"/>
  <c r="G118" i="947"/>
  <c r="O117" i="947"/>
  <c r="M117" i="947"/>
  <c r="N117" i="947" s="1"/>
  <c r="K117" i="947"/>
  <c r="G117" i="947"/>
  <c r="O116" i="947"/>
  <c r="M116" i="947"/>
  <c r="K116" i="947"/>
  <c r="G116" i="947"/>
  <c r="O115" i="947"/>
  <c r="M115" i="947"/>
  <c r="K115" i="947"/>
  <c r="G115" i="947"/>
  <c r="O114" i="947"/>
  <c r="M114" i="947"/>
  <c r="K114" i="947"/>
  <c r="G114" i="947"/>
  <c r="O113" i="947"/>
  <c r="M113" i="947"/>
  <c r="N113" i="947" s="1"/>
  <c r="K113" i="947"/>
  <c r="G113" i="947"/>
  <c r="O112" i="947"/>
  <c r="M112" i="947"/>
  <c r="K112" i="947"/>
  <c r="G112" i="947"/>
  <c r="O111" i="947"/>
  <c r="M111" i="947"/>
  <c r="AB111" i="947" s="1"/>
  <c r="K111" i="947"/>
  <c r="G111" i="947"/>
  <c r="O110" i="947"/>
  <c r="M110" i="947"/>
  <c r="K110" i="947"/>
  <c r="G110" i="947"/>
  <c r="O109" i="947"/>
  <c r="M109" i="947"/>
  <c r="N109" i="947" s="1"/>
  <c r="K109" i="947"/>
  <c r="G109" i="947"/>
  <c r="O108" i="947"/>
  <c r="M108" i="947"/>
  <c r="K108" i="947"/>
  <c r="G108" i="947"/>
  <c r="O107" i="947"/>
  <c r="M107" i="947"/>
  <c r="K107" i="947"/>
  <c r="G107" i="947"/>
  <c r="L106" i="947"/>
  <c r="J106" i="947"/>
  <c r="I106" i="947"/>
  <c r="O90" i="947"/>
  <c r="M90" i="947"/>
  <c r="AB90" i="947" s="1"/>
  <c r="K90" i="947"/>
  <c r="G90" i="947"/>
  <c r="L89" i="947"/>
  <c r="J89" i="947"/>
  <c r="I89" i="947"/>
  <c r="O73" i="947"/>
  <c r="M73" i="947"/>
  <c r="AA73" i="947" s="1"/>
  <c r="K73" i="947"/>
  <c r="G73" i="947"/>
  <c r="L72" i="947"/>
  <c r="J72" i="947"/>
  <c r="I72" i="947"/>
  <c r="O63" i="947"/>
  <c r="M63" i="947"/>
  <c r="K63" i="947"/>
  <c r="G63" i="947"/>
  <c r="O62" i="947"/>
  <c r="M62" i="947"/>
  <c r="K62" i="947"/>
  <c r="G62" i="947"/>
  <c r="O61" i="947"/>
  <c r="M61" i="947"/>
  <c r="AB61" i="947" s="1"/>
  <c r="K61" i="947"/>
  <c r="G61" i="947"/>
  <c r="O60" i="947"/>
  <c r="M60" i="947"/>
  <c r="K60" i="947"/>
  <c r="G60" i="947"/>
  <c r="O59" i="947"/>
  <c r="M59" i="947"/>
  <c r="K59" i="947"/>
  <c r="G59" i="947"/>
  <c r="O58" i="947"/>
  <c r="M58" i="947"/>
  <c r="K58" i="947"/>
  <c r="G58" i="947"/>
  <c r="O57" i="947"/>
  <c r="M57" i="947"/>
  <c r="AB57" i="947" s="1"/>
  <c r="K57" i="947"/>
  <c r="G57" i="947"/>
  <c r="O56" i="947"/>
  <c r="M56" i="947"/>
  <c r="K56" i="947"/>
  <c r="G56" i="947"/>
  <c r="L55" i="947"/>
  <c r="J55" i="947"/>
  <c r="I55" i="947"/>
  <c r="O46" i="947"/>
  <c r="M46" i="947"/>
  <c r="K46" i="947"/>
  <c r="G46" i="947"/>
  <c r="O45" i="947"/>
  <c r="M45" i="947"/>
  <c r="K45" i="947"/>
  <c r="G45" i="947"/>
  <c r="O44" i="947"/>
  <c r="M44" i="947"/>
  <c r="K44" i="947"/>
  <c r="G44" i="947"/>
  <c r="O43" i="947"/>
  <c r="M43" i="947"/>
  <c r="AB43" i="947" s="1"/>
  <c r="K43" i="947"/>
  <c r="G43" i="947"/>
  <c r="O42" i="947"/>
  <c r="M42" i="947"/>
  <c r="K42" i="947"/>
  <c r="G42" i="947"/>
  <c r="O41" i="947"/>
  <c r="M41" i="947"/>
  <c r="K41" i="947"/>
  <c r="G41" i="947"/>
  <c r="O40" i="947"/>
  <c r="M40" i="947"/>
  <c r="K40" i="947"/>
  <c r="G40" i="947"/>
  <c r="O39" i="947"/>
  <c r="M39" i="947"/>
  <c r="K39" i="947"/>
  <c r="G39" i="947"/>
  <c r="L38" i="947"/>
  <c r="J38" i="947"/>
  <c r="I38" i="947"/>
  <c r="O23" i="947"/>
  <c r="M23" i="947"/>
  <c r="N23" i="947" s="1"/>
  <c r="K23" i="947"/>
  <c r="G23" i="947"/>
  <c r="O22" i="947"/>
  <c r="M22" i="947"/>
  <c r="K22" i="947"/>
  <c r="G22" i="947"/>
  <c r="L21" i="947"/>
  <c r="J21" i="947"/>
  <c r="I21" i="947"/>
  <c r="K21" i="947" s="1"/>
  <c r="O10" i="947"/>
  <c r="M10" i="947"/>
  <c r="K10" i="947"/>
  <c r="G10" i="947"/>
  <c r="O9" i="947"/>
  <c r="M9" i="947"/>
  <c r="AB9" i="947" s="1"/>
  <c r="K9" i="947"/>
  <c r="G9" i="947"/>
  <c r="O8" i="947"/>
  <c r="M8" i="947"/>
  <c r="K8" i="947"/>
  <c r="G8" i="947"/>
  <c r="O7" i="947"/>
  <c r="M7" i="947"/>
  <c r="N7" i="947" s="1"/>
  <c r="K7" i="947"/>
  <c r="G7" i="947"/>
  <c r="O6" i="947"/>
  <c r="M6" i="947"/>
  <c r="K6" i="947"/>
  <c r="G6" i="947"/>
  <c r="O5" i="947"/>
  <c r="M5" i="947"/>
  <c r="K5" i="947"/>
  <c r="G5" i="947"/>
  <c r="H2" i="947"/>
  <c r="D2" i="947"/>
  <c r="H1" i="947"/>
  <c r="F1" i="947"/>
  <c r="F2" i="947" s="1"/>
  <c r="D1" i="947"/>
  <c r="X34" i="946"/>
  <c r="W34" i="946"/>
  <c r="V34" i="946"/>
  <c r="P34" i="946"/>
  <c r="O34" i="946"/>
  <c r="N34" i="946"/>
  <c r="M34" i="946"/>
  <c r="K8" i="946" s="1"/>
  <c r="G34" i="946"/>
  <c r="N16" i="946"/>
  <c r="M16" i="946"/>
  <c r="I8" i="946" s="1"/>
  <c r="J16" i="946"/>
  <c r="I16" i="946"/>
  <c r="G8" i="946" s="1"/>
  <c r="H16" i="946"/>
  <c r="G16" i="946"/>
  <c r="F16" i="946"/>
  <c r="E16" i="946"/>
  <c r="M8" i="946"/>
  <c r="F8" i="946"/>
  <c r="E8" i="946"/>
  <c r="M7" i="946"/>
  <c r="K7" i="946"/>
  <c r="I7" i="946"/>
  <c r="G7" i="946"/>
  <c r="F7" i="946"/>
  <c r="E7" i="946"/>
  <c r="R6" i="946"/>
  <c r="Q6" i="946"/>
  <c r="P6" i="946"/>
  <c r="O6" i="946"/>
  <c r="M6" i="946"/>
  <c r="K6" i="946"/>
  <c r="I6" i="946"/>
  <c r="G6" i="946"/>
  <c r="F6" i="946"/>
  <c r="E6" i="946"/>
  <c r="I3" i="946"/>
  <c r="F3" i="946"/>
  <c r="AD140" i="945"/>
  <c r="AC140" i="945"/>
  <c r="Z140" i="945"/>
  <c r="Y140" i="945"/>
  <c r="L140" i="945"/>
  <c r="O140" i="945" s="1"/>
  <c r="J140" i="945"/>
  <c r="K140" i="945" s="1"/>
  <c r="I140" i="945"/>
  <c r="O126" i="945"/>
  <c r="M126" i="945"/>
  <c r="K126" i="945"/>
  <c r="G126" i="945"/>
  <c r="O125" i="945"/>
  <c r="M125" i="945"/>
  <c r="K125" i="945"/>
  <c r="G125" i="945"/>
  <c r="O124" i="945"/>
  <c r="M124" i="945"/>
  <c r="K124" i="945"/>
  <c r="G124" i="945"/>
  <c r="AD123" i="945"/>
  <c r="AC123" i="945"/>
  <c r="Z123" i="945"/>
  <c r="Y123" i="945"/>
  <c r="L123" i="945"/>
  <c r="O123" i="945" s="1"/>
  <c r="J123" i="945"/>
  <c r="I123" i="945"/>
  <c r="K123" i="945" s="1"/>
  <c r="O109" i="945"/>
  <c r="M109" i="945"/>
  <c r="K109" i="945"/>
  <c r="G109" i="945"/>
  <c r="O108" i="945"/>
  <c r="M108" i="945"/>
  <c r="K108" i="945"/>
  <c r="G108" i="945"/>
  <c r="O107" i="945"/>
  <c r="M107" i="945"/>
  <c r="N107" i="945" s="1"/>
  <c r="K107" i="945"/>
  <c r="G107" i="945"/>
  <c r="AD106" i="945"/>
  <c r="AC106" i="945"/>
  <c r="Z106" i="945"/>
  <c r="Y106" i="945"/>
  <c r="L106" i="945"/>
  <c r="O106" i="945" s="1"/>
  <c r="J106" i="945"/>
  <c r="K106" i="945" s="1"/>
  <c r="I106" i="945"/>
  <c r="O91" i="945"/>
  <c r="M91" i="945"/>
  <c r="K91" i="945"/>
  <c r="G91" i="945"/>
  <c r="AF90" i="945"/>
  <c r="AE90" i="945"/>
  <c r="O90" i="945"/>
  <c r="M90" i="945"/>
  <c r="N90" i="945" s="1"/>
  <c r="K90" i="945"/>
  <c r="G90" i="945"/>
  <c r="AD89" i="945"/>
  <c r="AC89" i="945"/>
  <c r="Z89" i="945"/>
  <c r="Y89" i="945"/>
  <c r="L89" i="945"/>
  <c r="O89" i="945" s="1"/>
  <c r="J89" i="945"/>
  <c r="I89" i="945"/>
  <c r="K89" i="945" s="1"/>
  <c r="O75" i="945"/>
  <c r="M75" i="945"/>
  <c r="K75" i="945"/>
  <c r="G75" i="945"/>
  <c r="O74" i="945"/>
  <c r="M74" i="945"/>
  <c r="K74" i="945"/>
  <c r="G74" i="945"/>
  <c r="O73" i="945"/>
  <c r="M73" i="945"/>
  <c r="M89" i="945" s="1"/>
  <c r="K73" i="945"/>
  <c r="G73" i="945"/>
  <c r="AD72" i="945"/>
  <c r="AC72" i="945"/>
  <c r="Z72" i="945"/>
  <c r="Y72" i="945"/>
  <c r="L72" i="945"/>
  <c r="J72" i="945"/>
  <c r="I72" i="945"/>
  <c r="K72" i="945" s="1"/>
  <c r="O59" i="945"/>
  <c r="M59" i="945"/>
  <c r="AF59" i="945" s="1"/>
  <c r="K59" i="945"/>
  <c r="G59" i="945"/>
  <c r="O58" i="945"/>
  <c r="M58" i="945"/>
  <c r="AE58" i="945" s="1"/>
  <c r="K58" i="945"/>
  <c r="G58" i="945"/>
  <c r="O57" i="945"/>
  <c r="M57" i="945"/>
  <c r="K57" i="945"/>
  <c r="G57" i="945"/>
  <c r="O56" i="945"/>
  <c r="M56" i="945"/>
  <c r="N56" i="945" s="1"/>
  <c r="K56" i="945"/>
  <c r="G56" i="945"/>
  <c r="AD55" i="945"/>
  <c r="AC55" i="945"/>
  <c r="Z55" i="945"/>
  <c r="Y55" i="945"/>
  <c r="L55" i="945"/>
  <c r="O55" i="945" s="1"/>
  <c r="J55" i="945"/>
  <c r="K55" i="945" s="1"/>
  <c r="I55" i="945"/>
  <c r="O44" i="945"/>
  <c r="M44" i="945"/>
  <c r="K44" i="945"/>
  <c r="G44" i="945"/>
  <c r="O43" i="945"/>
  <c r="M43" i="945"/>
  <c r="AF43" i="945" s="1"/>
  <c r="K43" i="945"/>
  <c r="G43" i="945"/>
  <c r="O42" i="945"/>
  <c r="M42" i="945"/>
  <c r="K42" i="945"/>
  <c r="G42" i="945"/>
  <c r="O41" i="945"/>
  <c r="M41" i="945"/>
  <c r="K41" i="945"/>
  <c r="G41" i="945"/>
  <c r="O40" i="945"/>
  <c r="M40" i="945"/>
  <c r="K40" i="945"/>
  <c r="G40" i="945"/>
  <c r="Q39" i="945"/>
  <c r="O39" i="945"/>
  <c r="N39" i="945"/>
  <c r="P39" i="945" s="1"/>
  <c r="M39" i="945"/>
  <c r="K39" i="945"/>
  <c r="G39" i="945"/>
  <c r="AD38" i="945"/>
  <c r="AC38" i="945"/>
  <c r="Z38" i="945"/>
  <c r="Y38" i="945"/>
  <c r="L38" i="945"/>
  <c r="O38" i="945" s="1"/>
  <c r="J38" i="945"/>
  <c r="I38" i="945"/>
  <c r="K38" i="945" s="1"/>
  <c r="O26" i="945"/>
  <c r="M26" i="945"/>
  <c r="K26" i="945"/>
  <c r="G26" i="945"/>
  <c r="O25" i="945"/>
  <c r="M25" i="945"/>
  <c r="K25" i="945"/>
  <c r="G25" i="945"/>
  <c r="O24" i="945"/>
  <c r="N24" i="945"/>
  <c r="M24" i="945"/>
  <c r="K24" i="945"/>
  <c r="G24" i="945"/>
  <c r="O23" i="945"/>
  <c r="M23" i="945"/>
  <c r="K23" i="945"/>
  <c r="G23" i="945"/>
  <c r="O22" i="945"/>
  <c r="M22" i="945"/>
  <c r="K22" i="945"/>
  <c r="G22" i="945"/>
  <c r="AD21" i="945"/>
  <c r="AC21" i="945"/>
  <c r="AC2" i="945" s="1"/>
  <c r="Q6" i="943" s="1"/>
  <c r="Z21" i="945"/>
  <c r="Y21" i="945"/>
  <c r="Y2" i="945" s="1"/>
  <c r="O6" i="943" s="1"/>
  <c r="L21" i="945"/>
  <c r="J21" i="945"/>
  <c r="I21" i="945"/>
  <c r="O21" i="945" s="1"/>
  <c r="O7" i="945"/>
  <c r="M7" i="945"/>
  <c r="K7" i="945"/>
  <c r="G7" i="945"/>
  <c r="O6" i="945"/>
  <c r="M6" i="945"/>
  <c r="K6" i="945"/>
  <c r="G6" i="945"/>
  <c r="O5" i="945"/>
  <c r="M5" i="945"/>
  <c r="M21" i="945" s="1"/>
  <c r="K5" i="945"/>
  <c r="G5" i="945"/>
  <c r="H2" i="945"/>
  <c r="D1" i="945"/>
  <c r="L140" i="944"/>
  <c r="O140" i="944" s="1"/>
  <c r="J140" i="944"/>
  <c r="K140" i="944" s="1"/>
  <c r="I140" i="944"/>
  <c r="O137" i="944"/>
  <c r="M137" i="944"/>
  <c r="K137" i="944"/>
  <c r="G137" i="944"/>
  <c r="O136" i="944"/>
  <c r="M136" i="944"/>
  <c r="K136" i="944"/>
  <c r="G136" i="944"/>
  <c r="O135" i="944"/>
  <c r="M135" i="944"/>
  <c r="AB135" i="944" s="1"/>
  <c r="K135" i="944"/>
  <c r="G135" i="944"/>
  <c r="O134" i="944"/>
  <c r="M134" i="944"/>
  <c r="K134" i="944"/>
  <c r="G134" i="944"/>
  <c r="O133" i="944"/>
  <c r="M133" i="944"/>
  <c r="K133" i="944"/>
  <c r="G133" i="944"/>
  <c r="O132" i="944"/>
  <c r="M132" i="944"/>
  <c r="K132" i="944"/>
  <c r="G132" i="944"/>
  <c r="O131" i="944"/>
  <c r="M131" i="944"/>
  <c r="AB131" i="944" s="1"/>
  <c r="K131" i="944"/>
  <c r="G131" i="944"/>
  <c r="O130" i="944"/>
  <c r="M130" i="944"/>
  <c r="K130" i="944"/>
  <c r="G130" i="944"/>
  <c r="O129" i="944"/>
  <c r="M129" i="944"/>
  <c r="K129" i="944"/>
  <c r="G129" i="944"/>
  <c r="O128" i="944"/>
  <c r="M128" i="944"/>
  <c r="K128" i="944"/>
  <c r="G128" i="944"/>
  <c r="O127" i="944"/>
  <c r="M127" i="944"/>
  <c r="AB127" i="944" s="1"/>
  <c r="K127" i="944"/>
  <c r="G127" i="944"/>
  <c r="O126" i="944"/>
  <c r="M126" i="944"/>
  <c r="K126" i="944"/>
  <c r="G126" i="944"/>
  <c r="O125" i="944"/>
  <c r="M125" i="944"/>
  <c r="K125" i="944"/>
  <c r="G125" i="944"/>
  <c r="O124" i="944"/>
  <c r="M124" i="944"/>
  <c r="K124" i="944"/>
  <c r="G124" i="944"/>
  <c r="L123" i="944"/>
  <c r="O123" i="944" s="1"/>
  <c r="J123" i="944"/>
  <c r="K123" i="944" s="1"/>
  <c r="I123" i="944"/>
  <c r="O120" i="944"/>
  <c r="M120" i="944"/>
  <c r="K120" i="944"/>
  <c r="G120" i="944"/>
  <c r="O119" i="944"/>
  <c r="M119" i="944"/>
  <c r="AB119" i="944" s="1"/>
  <c r="K119" i="944"/>
  <c r="G119" i="944"/>
  <c r="O118" i="944"/>
  <c r="M118" i="944"/>
  <c r="AA118" i="944" s="1"/>
  <c r="K118" i="944"/>
  <c r="G118" i="944"/>
  <c r="O117" i="944"/>
  <c r="N117" i="944"/>
  <c r="M117" i="944"/>
  <c r="K117" i="944"/>
  <c r="G117" i="944"/>
  <c r="O116" i="944"/>
  <c r="M116" i="944"/>
  <c r="K116" i="944"/>
  <c r="G116" i="944"/>
  <c r="O115" i="944"/>
  <c r="M115" i="944"/>
  <c r="AB115" i="944" s="1"/>
  <c r="K115" i="944"/>
  <c r="G115" i="944"/>
  <c r="O114" i="944"/>
  <c r="M114" i="944"/>
  <c r="AA114" i="944" s="1"/>
  <c r="K114" i="944"/>
  <c r="G114" i="944"/>
  <c r="O113" i="944"/>
  <c r="M113" i="944"/>
  <c r="K113" i="944"/>
  <c r="G113" i="944"/>
  <c r="AB112" i="944"/>
  <c r="O112" i="944"/>
  <c r="M112" i="944"/>
  <c r="K112" i="944"/>
  <c r="G112" i="944"/>
  <c r="O111" i="944"/>
  <c r="M111" i="944"/>
  <c r="AB111" i="944" s="1"/>
  <c r="K111" i="944"/>
  <c r="G111" i="944"/>
  <c r="O110" i="944"/>
  <c r="M110" i="944"/>
  <c r="AA110" i="944" s="1"/>
  <c r="K110" i="944"/>
  <c r="G110" i="944"/>
  <c r="AB109" i="944"/>
  <c r="O109" i="944"/>
  <c r="M109" i="944"/>
  <c r="N109" i="944" s="1"/>
  <c r="K109" i="944"/>
  <c r="G109" i="944"/>
  <c r="O108" i="944"/>
  <c r="M108" i="944"/>
  <c r="K108" i="944"/>
  <c r="G108" i="944"/>
  <c r="O107" i="944"/>
  <c r="M107" i="944"/>
  <c r="M123" i="944" s="1"/>
  <c r="K107" i="944"/>
  <c r="G107" i="944"/>
  <c r="L106" i="944"/>
  <c r="J106" i="944"/>
  <c r="K106" i="944" s="1"/>
  <c r="I106" i="944"/>
  <c r="O90" i="944"/>
  <c r="M90" i="944"/>
  <c r="AB90" i="944" s="1"/>
  <c r="K90" i="944"/>
  <c r="G90" i="944"/>
  <c r="L89" i="944"/>
  <c r="J89" i="944"/>
  <c r="K89" i="944" s="1"/>
  <c r="I89" i="944"/>
  <c r="O73" i="944"/>
  <c r="M73" i="944"/>
  <c r="K73" i="944"/>
  <c r="G73" i="944"/>
  <c r="L72" i="944"/>
  <c r="O72" i="944" s="1"/>
  <c r="J72" i="944"/>
  <c r="K72" i="944" s="1"/>
  <c r="I72" i="944"/>
  <c r="O63" i="944"/>
  <c r="M63" i="944"/>
  <c r="K63" i="944"/>
  <c r="G63" i="944"/>
  <c r="O62" i="944"/>
  <c r="M62" i="944"/>
  <c r="K62" i="944"/>
  <c r="G62" i="944"/>
  <c r="O61" i="944"/>
  <c r="M61" i="944"/>
  <c r="AB61" i="944" s="1"/>
  <c r="K61" i="944"/>
  <c r="G61" i="944"/>
  <c r="O60" i="944"/>
  <c r="M60" i="944"/>
  <c r="AA60" i="944" s="1"/>
  <c r="K60" i="944"/>
  <c r="G60" i="944"/>
  <c r="O59" i="944"/>
  <c r="M59" i="944"/>
  <c r="K59" i="944"/>
  <c r="G59" i="944"/>
  <c r="O58" i="944"/>
  <c r="N58" i="944"/>
  <c r="Q58" i="944" s="1"/>
  <c r="M58" i="944"/>
  <c r="AB58" i="944" s="1"/>
  <c r="K58" i="944"/>
  <c r="G58" i="944"/>
  <c r="O57" i="944"/>
  <c r="M57" i="944"/>
  <c r="AB57" i="944" s="1"/>
  <c r="K57" i="944"/>
  <c r="G57" i="944"/>
  <c r="O56" i="944"/>
  <c r="M56" i="944"/>
  <c r="AB56" i="944" s="1"/>
  <c r="K56" i="944"/>
  <c r="G56" i="944"/>
  <c r="L55" i="944"/>
  <c r="O55" i="944" s="1"/>
  <c r="J55" i="944"/>
  <c r="K55" i="944" s="1"/>
  <c r="I55" i="944"/>
  <c r="O46" i="944"/>
  <c r="M46" i="944"/>
  <c r="K46" i="944"/>
  <c r="G46" i="944"/>
  <c r="O45" i="944"/>
  <c r="M45" i="944"/>
  <c r="K45" i="944"/>
  <c r="G45" i="944"/>
  <c r="O44" i="944"/>
  <c r="M44" i="944"/>
  <c r="K44" i="944"/>
  <c r="G44" i="944"/>
  <c r="O43" i="944"/>
  <c r="M43" i="944"/>
  <c r="K43" i="944"/>
  <c r="G43" i="944"/>
  <c r="O42" i="944"/>
  <c r="M42" i="944"/>
  <c r="K42" i="944"/>
  <c r="G42" i="944"/>
  <c r="O41" i="944"/>
  <c r="M41" i="944"/>
  <c r="K41" i="944"/>
  <c r="G41" i="944"/>
  <c r="O40" i="944"/>
  <c r="M40" i="944"/>
  <c r="K40" i="944"/>
  <c r="G40" i="944"/>
  <c r="O39" i="944"/>
  <c r="M39" i="944"/>
  <c r="AB39" i="944" s="1"/>
  <c r="K39" i="944"/>
  <c r="G39" i="944"/>
  <c r="L38" i="944"/>
  <c r="J38" i="944"/>
  <c r="K38" i="944" s="1"/>
  <c r="I38" i="944"/>
  <c r="O23" i="944"/>
  <c r="M23" i="944"/>
  <c r="K23" i="944"/>
  <c r="G23" i="944"/>
  <c r="O22" i="944"/>
  <c r="M22" i="944"/>
  <c r="K22" i="944"/>
  <c r="G22" i="944"/>
  <c r="L21" i="944"/>
  <c r="O21" i="944" s="1"/>
  <c r="J21" i="944"/>
  <c r="K21" i="944" s="1"/>
  <c r="I21" i="944"/>
  <c r="O10" i="944"/>
  <c r="M10" i="944"/>
  <c r="K10" i="944"/>
  <c r="G10" i="944"/>
  <c r="O9" i="944"/>
  <c r="M9" i="944"/>
  <c r="AB9" i="944" s="1"/>
  <c r="K9" i="944"/>
  <c r="G9" i="944"/>
  <c r="O8" i="944"/>
  <c r="M8" i="944"/>
  <c r="AA8" i="944" s="1"/>
  <c r="K8" i="944"/>
  <c r="G8" i="944"/>
  <c r="O7" i="944"/>
  <c r="M7" i="944"/>
  <c r="K7" i="944"/>
  <c r="G7" i="944"/>
  <c r="O6" i="944"/>
  <c r="M6" i="944"/>
  <c r="K6" i="944"/>
  <c r="G6" i="944"/>
  <c r="O5" i="944"/>
  <c r="M5" i="944"/>
  <c r="M21" i="944" s="1"/>
  <c r="K5" i="944"/>
  <c r="G5" i="944"/>
  <c r="H2" i="944"/>
  <c r="D1" i="944"/>
  <c r="X34" i="943"/>
  <c r="W34" i="943"/>
  <c r="V34" i="943"/>
  <c r="P34" i="943"/>
  <c r="M8" i="943" s="1"/>
  <c r="O34" i="943"/>
  <c r="N34" i="943"/>
  <c r="M34" i="943"/>
  <c r="K8" i="943" s="1"/>
  <c r="G34" i="943"/>
  <c r="N16" i="943"/>
  <c r="M16" i="943"/>
  <c r="J16" i="943"/>
  <c r="I16" i="943"/>
  <c r="H16" i="943"/>
  <c r="G16" i="943"/>
  <c r="F16" i="943"/>
  <c r="E16" i="943"/>
  <c r="G8" i="943" s="1"/>
  <c r="I8" i="943"/>
  <c r="F8" i="943"/>
  <c r="M7" i="943"/>
  <c r="K7" i="943"/>
  <c r="I7" i="943"/>
  <c r="G7" i="943"/>
  <c r="F7" i="943"/>
  <c r="E7" i="943"/>
  <c r="M6" i="943"/>
  <c r="K6" i="943"/>
  <c r="I6" i="943"/>
  <c r="G6" i="943"/>
  <c r="F6" i="943"/>
  <c r="E6" i="943"/>
  <c r="F3" i="943"/>
  <c r="AD140" i="942"/>
  <c r="AC140" i="942"/>
  <c r="Z140" i="942"/>
  <c r="Y140" i="942"/>
  <c r="L140" i="942"/>
  <c r="J140" i="942"/>
  <c r="K140" i="942" s="1"/>
  <c r="I140" i="942"/>
  <c r="O126" i="942"/>
  <c r="M126" i="942"/>
  <c r="AF126" i="942" s="1"/>
  <c r="K126" i="942"/>
  <c r="G126" i="942"/>
  <c r="O125" i="942"/>
  <c r="M125" i="942"/>
  <c r="K125" i="942"/>
  <c r="G125" i="942"/>
  <c r="O124" i="942"/>
  <c r="M124" i="942"/>
  <c r="K124" i="942"/>
  <c r="G124" i="942"/>
  <c r="AD123" i="942"/>
  <c r="AC123" i="942"/>
  <c r="Z123" i="942"/>
  <c r="Y123" i="942"/>
  <c r="L123" i="942"/>
  <c r="J123" i="942"/>
  <c r="I123" i="942"/>
  <c r="O109" i="942"/>
  <c r="M109" i="942"/>
  <c r="K109" i="942"/>
  <c r="G109" i="942"/>
  <c r="O108" i="942"/>
  <c r="M108" i="942"/>
  <c r="N108" i="942" s="1"/>
  <c r="K108" i="942"/>
  <c r="G108" i="942"/>
  <c r="O107" i="942"/>
  <c r="M107" i="942"/>
  <c r="K107" i="942"/>
  <c r="G107" i="942"/>
  <c r="AD106" i="942"/>
  <c r="AC106" i="942"/>
  <c r="Z106" i="942"/>
  <c r="Y106" i="942"/>
  <c r="L106" i="942"/>
  <c r="O106" i="942" s="1"/>
  <c r="J106" i="942"/>
  <c r="K106" i="942" s="1"/>
  <c r="I106" i="942"/>
  <c r="O91" i="942"/>
  <c r="M91" i="942"/>
  <c r="K91" i="942"/>
  <c r="G91" i="942"/>
  <c r="O90" i="942"/>
  <c r="M90" i="942"/>
  <c r="M106" i="942" s="1"/>
  <c r="K90" i="942"/>
  <c r="G90" i="942"/>
  <c r="AD89" i="942"/>
  <c r="AC89" i="942"/>
  <c r="Z89" i="942"/>
  <c r="Y89" i="942"/>
  <c r="L89" i="942"/>
  <c r="O89" i="942" s="1"/>
  <c r="J89" i="942"/>
  <c r="K89" i="942" s="1"/>
  <c r="I89" i="942"/>
  <c r="O75" i="942"/>
  <c r="M75" i="942"/>
  <c r="AE75" i="942" s="1"/>
  <c r="K75" i="942"/>
  <c r="G75" i="942"/>
  <c r="O74" i="942"/>
  <c r="M74" i="942"/>
  <c r="AF74" i="942" s="1"/>
  <c r="K74" i="942"/>
  <c r="G74" i="942"/>
  <c r="O73" i="942"/>
  <c r="M73" i="942"/>
  <c r="K73" i="942"/>
  <c r="G73" i="942"/>
  <c r="AD72" i="942"/>
  <c r="AC72" i="942"/>
  <c r="Z72" i="942"/>
  <c r="Y72" i="942"/>
  <c r="L72" i="942"/>
  <c r="O72" i="942" s="1"/>
  <c r="J72" i="942"/>
  <c r="I72" i="942"/>
  <c r="O59" i="942"/>
  <c r="M59" i="942"/>
  <c r="K59" i="942"/>
  <c r="G59" i="942"/>
  <c r="O58" i="942"/>
  <c r="M58" i="942"/>
  <c r="K58" i="942"/>
  <c r="G58" i="942"/>
  <c r="O57" i="942"/>
  <c r="M57" i="942"/>
  <c r="N57" i="942" s="1"/>
  <c r="K57" i="942"/>
  <c r="G57" i="942"/>
  <c r="O56" i="942"/>
  <c r="M56" i="942"/>
  <c r="K56" i="942"/>
  <c r="G56" i="942"/>
  <c r="AD55" i="942"/>
  <c r="AC55" i="942"/>
  <c r="AC2" i="942" s="1"/>
  <c r="Q6" i="940" s="1"/>
  <c r="Z55" i="942"/>
  <c r="Y55" i="942"/>
  <c r="Y2" i="942" s="1"/>
  <c r="O6" i="940" s="1"/>
  <c r="L55" i="942"/>
  <c r="O55" i="942" s="1"/>
  <c r="J55" i="942"/>
  <c r="K55" i="942" s="1"/>
  <c r="I55" i="942"/>
  <c r="O44" i="942"/>
  <c r="M44" i="942"/>
  <c r="K44" i="942"/>
  <c r="G44" i="942"/>
  <c r="O43" i="942"/>
  <c r="M43" i="942"/>
  <c r="AF43" i="942" s="1"/>
  <c r="K43" i="942"/>
  <c r="G43" i="942"/>
  <c r="O42" i="942"/>
  <c r="M42" i="942"/>
  <c r="AF42" i="942" s="1"/>
  <c r="K42" i="942"/>
  <c r="G42" i="942"/>
  <c r="O41" i="942"/>
  <c r="M41" i="942"/>
  <c r="K41" i="942"/>
  <c r="G41" i="942"/>
  <c r="AF40" i="942"/>
  <c r="O40" i="942"/>
  <c r="N40" i="942"/>
  <c r="Q40" i="942" s="1"/>
  <c r="M40" i="942"/>
  <c r="AE40" i="942" s="1"/>
  <c r="K40" i="942"/>
  <c r="G40" i="942"/>
  <c r="O39" i="942"/>
  <c r="M39" i="942"/>
  <c r="K39" i="942"/>
  <c r="G39" i="942"/>
  <c r="AD38" i="942"/>
  <c r="AC38" i="942"/>
  <c r="Z38" i="942"/>
  <c r="Y38" i="942"/>
  <c r="L38" i="942"/>
  <c r="J38" i="942"/>
  <c r="I38" i="942"/>
  <c r="O26" i="942"/>
  <c r="M26" i="942"/>
  <c r="AF26" i="942" s="1"/>
  <c r="K26" i="942"/>
  <c r="G26" i="942"/>
  <c r="O25" i="942"/>
  <c r="M25" i="942"/>
  <c r="AF25" i="942" s="1"/>
  <c r="K25" i="942"/>
  <c r="G25" i="942"/>
  <c r="O24" i="942"/>
  <c r="M24" i="942"/>
  <c r="K24" i="942"/>
  <c r="G24" i="942"/>
  <c r="O23" i="942"/>
  <c r="M23" i="942"/>
  <c r="K23" i="942"/>
  <c r="G23" i="942"/>
  <c r="O22" i="942"/>
  <c r="M22" i="942"/>
  <c r="K22" i="942"/>
  <c r="G22" i="942"/>
  <c r="AD21" i="942"/>
  <c r="AC21" i="942"/>
  <c r="Z21" i="942"/>
  <c r="Y21" i="942"/>
  <c r="L21" i="942"/>
  <c r="J21" i="942"/>
  <c r="I21" i="942"/>
  <c r="O7" i="942"/>
  <c r="M7" i="942"/>
  <c r="N7" i="942" s="1"/>
  <c r="K7" i="942"/>
  <c r="G7" i="942"/>
  <c r="O6" i="942"/>
  <c r="M6" i="942"/>
  <c r="K6" i="942"/>
  <c r="G6" i="942"/>
  <c r="O5" i="942"/>
  <c r="M5" i="942"/>
  <c r="M21" i="942" s="1"/>
  <c r="K5" i="942"/>
  <c r="G5" i="942"/>
  <c r="H2" i="942"/>
  <c r="D1" i="942"/>
  <c r="L140" i="941"/>
  <c r="O140" i="941" s="1"/>
  <c r="J140" i="941"/>
  <c r="K140" i="941" s="1"/>
  <c r="I140" i="941"/>
  <c r="O137" i="941"/>
  <c r="M137" i="941"/>
  <c r="N137" i="941" s="1"/>
  <c r="K137" i="941"/>
  <c r="G137" i="941"/>
  <c r="O136" i="941"/>
  <c r="M136" i="941"/>
  <c r="K136" i="941"/>
  <c r="G136" i="941"/>
  <c r="O135" i="941"/>
  <c r="M135" i="941"/>
  <c r="K135" i="941"/>
  <c r="G135" i="941"/>
  <c r="O134" i="941"/>
  <c r="M134" i="941"/>
  <c r="AB134" i="941" s="1"/>
  <c r="K134" i="941"/>
  <c r="G134" i="941"/>
  <c r="O133" i="941"/>
  <c r="M133" i="941"/>
  <c r="N133" i="941" s="1"/>
  <c r="K133" i="941"/>
  <c r="G133" i="941"/>
  <c r="O132" i="941"/>
  <c r="N132" i="941"/>
  <c r="Q132" i="941" s="1"/>
  <c r="M132" i="941"/>
  <c r="K132" i="941"/>
  <c r="G132" i="941"/>
  <c r="O131" i="941"/>
  <c r="M131" i="941"/>
  <c r="K131" i="941"/>
  <c r="G131" i="941"/>
  <c r="O130" i="941"/>
  <c r="M130" i="941"/>
  <c r="AB130" i="941" s="1"/>
  <c r="K130" i="941"/>
  <c r="G130" i="941"/>
  <c r="O129" i="941"/>
  <c r="M129" i="941"/>
  <c r="N129" i="941" s="1"/>
  <c r="K129" i="941"/>
  <c r="G129" i="941"/>
  <c r="O128" i="941"/>
  <c r="M128" i="941"/>
  <c r="K128" i="941"/>
  <c r="G128" i="941"/>
  <c r="O127" i="941"/>
  <c r="M127" i="941"/>
  <c r="K127" i="941"/>
  <c r="G127" i="941"/>
  <c r="O126" i="941"/>
  <c r="M126" i="941"/>
  <c r="AB126" i="941" s="1"/>
  <c r="K126" i="941"/>
  <c r="G126" i="941"/>
  <c r="O125" i="941"/>
  <c r="M125" i="941"/>
  <c r="N125" i="941" s="1"/>
  <c r="K125" i="941"/>
  <c r="G125" i="941"/>
  <c r="O124" i="941"/>
  <c r="M124" i="941"/>
  <c r="N124" i="941" s="1"/>
  <c r="K124" i="941"/>
  <c r="G124" i="941"/>
  <c r="L123" i="941"/>
  <c r="J123" i="941"/>
  <c r="K123" i="941" s="1"/>
  <c r="I123" i="941"/>
  <c r="O120" i="941"/>
  <c r="M120" i="941"/>
  <c r="K120" i="941"/>
  <c r="G120" i="941"/>
  <c r="O119" i="941"/>
  <c r="M119" i="941"/>
  <c r="K119" i="941"/>
  <c r="G119" i="941"/>
  <c r="O118" i="941"/>
  <c r="M118" i="941"/>
  <c r="K118" i="941"/>
  <c r="G118" i="941"/>
  <c r="O117" i="941"/>
  <c r="M117" i="941"/>
  <c r="K117" i="941"/>
  <c r="G117" i="941"/>
  <c r="O116" i="941"/>
  <c r="M116" i="941"/>
  <c r="K116" i="941"/>
  <c r="G116" i="941"/>
  <c r="O115" i="941"/>
  <c r="M115" i="941"/>
  <c r="K115" i="941"/>
  <c r="G115" i="941"/>
  <c r="O114" i="941"/>
  <c r="M114" i="941"/>
  <c r="K114" i="941"/>
  <c r="G114" i="941"/>
  <c r="O113" i="941"/>
  <c r="M113" i="941"/>
  <c r="K113" i="941"/>
  <c r="G113" i="941"/>
  <c r="O112" i="941"/>
  <c r="M112" i="941"/>
  <c r="K112" i="941"/>
  <c r="G112" i="941"/>
  <c r="O111" i="941"/>
  <c r="M111" i="941"/>
  <c r="K111" i="941"/>
  <c r="G111" i="941"/>
  <c r="O110" i="941"/>
  <c r="M110" i="941"/>
  <c r="K110" i="941"/>
  <c r="G110" i="941"/>
  <c r="O109" i="941"/>
  <c r="M109" i="941"/>
  <c r="K109" i="941"/>
  <c r="G109" i="941"/>
  <c r="O108" i="941"/>
  <c r="N108" i="941"/>
  <c r="M108" i="941"/>
  <c r="K108" i="941"/>
  <c r="G108" i="941"/>
  <c r="O107" i="941"/>
  <c r="M107" i="941"/>
  <c r="K107" i="941"/>
  <c r="G107" i="941"/>
  <c r="L106" i="941"/>
  <c r="O106" i="941" s="1"/>
  <c r="J106" i="941"/>
  <c r="I106" i="941"/>
  <c r="O90" i="941"/>
  <c r="M90" i="941"/>
  <c r="K90" i="941"/>
  <c r="G90" i="941"/>
  <c r="L89" i="941"/>
  <c r="J89" i="941"/>
  <c r="K89" i="941" s="1"/>
  <c r="I89" i="941"/>
  <c r="O73" i="941"/>
  <c r="M73" i="941"/>
  <c r="K73" i="941"/>
  <c r="G73" i="941"/>
  <c r="L72" i="941"/>
  <c r="J72" i="941"/>
  <c r="K72" i="941" s="1"/>
  <c r="I72" i="941"/>
  <c r="O63" i="941"/>
  <c r="M63" i="941"/>
  <c r="N63" i="941" s="1"/>
  <c r="K63" i="941"/>
  <c r="G63" i="941"/>
  <c r="O62" i="941"/>
  <c r="M62" i="941"/>
  <c r="AB62" i="941" s="1"/>
  <c r="K62" i="941"/>
  <c r="G62" i="941"/>
  <c r="O61" i="941"/>
  <c r="M61" i="941"/>
  <c r="K61" i="941"/>
  <c r="G61" i="941"/>
  <c r="O60" i="941"/>
  <c r="M60" i="941"/>
  <c r="K60" i="941"/>
  <c r="G60" i="941"/>
  <c r="O59" i="941"/>
  <c r="M59" i="941"/>
  <c r="K59" i="941"/>
  <c r="G59" i="941"/>
  <c r="O58" i="941"/>
  <c r="M58" i="941"/>
  <c r="AB58" i="941" s="1"/>
  <c r="K58" i="941"/>
  <c r="G58" i="941"/>
  <c r="O57" i="941"/>
  <c r="M57" i="941"/>
  <c r="K57" i="941"/>
  <c r="G57" i="941"/>
  <c r="O56" i="941"/>
  <c r="M56" i="941"/>
  <c r="K56" i="941"/>
  <c r="G56" i="941"/>
  <c r="L55" i="941"/>
  <c r="J55" i="941"/>
  <c r="I55" i="941"/>
  <c r="O46" i="941"/>
  <c r="M46" i="941"/>
  <c r="N46" i="941" s="1"/>
  <c r="K46" i="941"/>
  <c r="G46" i="941"/>
  <c r="O45" i="941"/>
  <c r="M45" i="941"/>
  <c r="AB45" i="941" s="1"/>
  <c r="K45" i="941"/>
  <c r="G45" i="941"/>
  <c r="O44" i="941"/>
  <c r="M44" i="941"/>
  <c r="K44" i="941"/>
  <c r="G44" i="941"/>
  <c r="O43" i="941"/>
  <c r="M43" i="941"/>
  <c r="K43" i="941"/>
  <c r="G43" i="941"/>
  <c r="O42" i="941"/>
  <c r="M42" i="941"/>
  <c r="N42" i="941" s="1"/>
  <c r="K42" i="941"/>
  <c r="G42" i="941"/>
  <c r="O41" i="941"/>
  <c r="M41" i="941"/>
  <c r="AA41" i="941" s="1"/>
  <c r="K41" i="941"/>
  <c r="G41" i="941"/>
  <c r="O40" i="941"/>
  <c r="M40" i="941"/>
  <c r="K40" i="941"/>
  <c r="G40" i="941"/>
  <c r="O39" i="941"/>
  <c r="M39" i="941"/>
  <c r="K39" i="941"/>
  <c r="G39" i="941"/>
  <c r="L38" i="941"/>
  <c r="J38" i="941"/>
  <c r="K38" i="941" s="1"/>
  <c r="I38" i="941"/>
  <c r="O23" i="941"/>
  <c r="M23" i="941"/>
  <c r="N23" i="941" s="1"/>
  <c r="K23" i="941"/>
  <c r="G23" i="941"/>
  <c r="O22" i="941"/>
  <c r="M22" i="941"/>
  <c r="K22" i="941"/>
  <c r="G22" i="941"/>
  <c r="L21" i="941"/>
  <c r="O21" i="941" s="1"/>
  <c r="J21" i="941"/>
  <c r="K21" i="941" s="1"/>
  <c r="I21" i="941"/>
  <c r="O10" i="941"/>
  <c r="M10" i="941"/>
  <c r="K10" i="941"/>
  <c r="G10" i="941"/>
  <c r="O9" i="941"/>
  <c r="M9" i="941"/>
  <c r="K9" i="941"/>
  <c r="G9" i="941"/>
  <c r="O8" i="941"/>
  <c r="M8" i="941"/>
  <c r="K8" i="941"/>
  <c r="G8" i="941"/>
  <c r="O7" i="941"/>
  <c r="M7" i="941"/>
  <c r="K7" i="941"/>
  <c r="G7" i="941"/>
  <c r="O6" i="941"/>
  <c r="M6" i="941"/>
  <c r="K6" i="941"/>
  <c r="G6" i="941"/>
  <c r="O5" i="941"/>
  <c r="M5" i="941"/>
  <c r="K5" i="941"/>
  <c r="G5" i="941"/>
  <c r="F1" i="941" s="1"/>
  <c r="H2" i="941"/>
  <c r="H1" i="941"/>
  <c r="D1" i="941"/>
  <c r="X34" i="940"/>
  <c r="W34" i="940"/>
  <c r="V34" i="940"/>
  <c r="M8" i="940" s="1"/>
  <c r="P34" i="940"/>
  <c r="O34" i="940"/>
  <c r="N34" i="940"/>
  <c r="M34" i="940"/>
  <c r="G34" i="940"/>
  <c r="N16" i="940"/>
  <c r="M16" i="940"/>
  <c r="J16" i="940"/>
  <c r="I16" i="940"/>
  <c r="H16" i="940"/>
  <c r="E8" i="940" s="1"/>
  <c r="G16" i="940"/>
  <c r="F16" i="940"/>
  <c r="E16" i="940"/>
  <c r="G8" i="940" s="1"/>
  <c r="K8" i="940"/>
  <c r="I8" i="940"/>
  <c r="F8" i="940"/>
  <c r="M7" i="940"/>
  <c r="K7" i="940"/>
  <c r="I7" i="940"/>
  <c r="G7" i="940"/>
  <c r="F7" i="940"/>
  <c r="E7" i="940"/>
  <c r="M6" i="940"/>
  <c r="K6" i="940"/>
  <c r="I6" i="940"/>
  <c r="G6" i="940"/>
  <c r="F6" i="940"/>
  <c r="E6" i="940"/>
  <c r="F3" i="940"/>
  <c r="O72" i="945" l="1"/>
  <c r="O89" i="953"/>
  <c r="K89" i="953"/>
  <c r="K72" i="953"/>
  <c r="O55" i="953"/>
  <c r="O38" i="953"/>
  <c r="K38" i="953"/>
  <c r="O21" i="953"/>
  <c r="K21" i="953"/>
  <c r="F1" i="953"/>
  <c r="M140" i="947"/>
  <c r="O123" i="947"/>
  <c r="O106" i="947"/>
  <c r="K106" i="947"/>
  <c r="O89" i="947"/>
  <c r="K89" i="947"/>
  <c r="O72" i="947"/>
  <c r="K72" i="947"/>
  <c r="O55" i="947"/>
  <c r="K55" i="947"/>
  <c r="O38" i="947"/>
  <c r="K38" i="947"/>
  <c r="O21" i="947"/>
  <c r="M55" i="942"/>
  <c r="Z2" i="942"/>
  <c r="P6" i="940" s="1"/>
  <c r="O38" i="942"/>
  <c r="K38" i="942"/>
  <c r="AD2" i="942"/>
  <c r="R6" i="940" s="1"/>
  <c r="O21" i="942"/>
  <c r="K21" i="942"/>
  <c r="F1" i="942"/>
  <c r="F1" i="959"/>
  <c r="E8" i="958"/>
  <c r="O72" i="957"/>
  <c r="O55" i="957"/>
  <c r="K89" i="956"/>
  <c r="F1" i="956"/>
  <c r="O38" i="956"/>
  <c r="G8" i="955"/>
  <c r="O140" i="954"/>
  <c r="K123" i="954"/>
  <c r="K72" i="960"/>
  <c r="O89" i="959"/>
  <c r="H1" i="957"/>
  <c r="K38" i="957"/>
  <c r="O21" i="957"/>
  <c r="F2" i="957"/>
  <c r="Q58" i="962"/>
  <c r="O72" i="959"/>
  <c r="AC2" i="954"/>
  <c r="Q6" i="952" s="1"/>
  <c r="F1" i="954"/>
  <c r="F2" i="954" s="1"/>
  <c r="O38" i="951"/>
  <c r="K55" i="950"/>
  <c r="K21" i="950"/>
  <c r="O21" i="948"/>
  <c r="Z2" i="945"/>
  <c r="P6" i="943" s="1"/>
  <c r="AD2" i="945"/>
  <c r="R6" i="943" s="1"/>
  <c r="H1" i="944"/>
  <c r="O123" i="941"/>
  <c r="K106" i="941"/>
  <c r="K55" i="941"/>
  <c r="O140" i="956"/>
  <c r="O123" i="956"/>
  <c r="O89" i="956"/>
  <c r="O72" i="956"/>
  <c r="O55" i="956"/>
  <c r="K38" i="956"/>
  <c r="O72" i="963"/>
  <c r="K38" i="963"/>
  <c r="O21" i="963"/>
  <c r="K21" i="963"/>
  <c r="F2" i="963"/>
  <c r="O140" i="962"/>
  <c r="O140" i="953"/>
  <c r="O106" i="951"/>
  <c r="P41" i="950"/>
  <c r="Q10" i="962"/>
  <c r="O140" i="957"/>
  <c r="K72" i="957"/>
  <c r="O123" i="954"/>
  <c r="K89" i="954"/>
  <c r="K89" i="951"/>
  <c r="Z2" i="951"/>
  <c r="P6" i="949" s="1"/>
  <c r="F1" i="951"/>
  <c r="Y2" i="950"/>
  <c r="AD2" i="950"/>
  <c r="O72" i="948"/>
  <c r="O55" i="948"/>
  <c r="O89" i="944"/>
  <c r="O38" i="944"/>
  <c r="F1" i="944"/>
  <c r="O140" i="942"/>
  <c r="K123" i="942"/>
  <c r="O89" i="941"/>
  <c r="O72" i="941"/>
  <c r="O55" i="941"/>
  <c r="O38" i="941"/>
  <c r="H1" i="950"/>
  <c r="H1" i="960"/>
  <c r="O38" i="962"/>
  <c r="O123" i="950"/>
  <c r="O123" i="942"/>
  <c r="M89" i="942"/>
  <c r="K72" i="942"/>
  <c r="Q108" i="941"/>
  <c r="Y2" i="951"/>
  <c r="O6" i="949" s="1"/>
  <c r="K140" i="962"/>
  <c r="K89" i="962"/>
  <c r="K38" i="962"/>
  <c r="O72" i="960"/>
  <c r="O72" i="951"/>
  <c r="K55" i="962"/>
  <c r="M8" i="961"/>
  <c r="K140" i="953"/>
  <c r="F1" i="945"/>
  <c r="F2" i="945" s="1"/>
  <c r="K21" i="945"/>
  <c r="AF109" i="963"/>
  <c r="AE109" i="963"/>
  <c r="N109" i="963"/>
  <c r="AF107" i="963"/>
  <c r="N107" i="963"/>
  <c r="AE107" i="963"/>
  <c r="N92" i="963"/>
  <c r="AF92" i="963"/>
  <c r="AE92" i="963"/>
  <c r="N91" i="963"/>
  <c r="AF91" i="963"/>
  <c r="AE90" i="963"/>
  <c r="AF90" i="963"/>
  <c r="N90" i="963"/>
  <c r="M106" i="963"/>
  <c r="AF74" i="963"/>
  <c r="N74" i="963"/>
  <c r="AE74" i="963"/>
  <c r="M89" i="963"/>
  <c r="AE73" i="963"/>
  <c r="AE59" i="963"/>
  <c r="AF59" i="963"/>
  <c r="AF58" i="963"/>
  <c r="AE58" i="963"/>
  <c r="N58" i="963"/>
  <c r="M72" i="963"/>
  <c r="N56" i="963"/>
  <c r="AF56" i="963"/>
  <c r="AE56" i="963"/>
  <c r="AF44" i="963"/>
  <c r="AE44" i="963"/>
  <c r="N44" i="963"/>
  <c r="Q44" i="963" s="1"/>
  <c r="N43" i="963"/>
  <c r="AF43" i="963"/>
  <c r="AF42" i="963"/>
  <c r="AE42" i="963"/>
  <c r="N42" i="963"/>
  <c r="N40" i="963"/>
  <c r="Q40" i="963" s="1"/>
  <c r="AE40" i="963"/>
  <c r="AF40" i="963"/>
  <c r="N39" i="963"/>
  <c r="M55" i="963"/>
  <c r="N55" i="963" s="1"/>
  <c r="AF27" i="963"/>
  <c r="AE27" i="963"/>
  <c r="N27" i="963"/>
  <c r="Q27" i="963" s="1"/>
  <c r="AE26" i="963"/>
  <c r="AF26" i="963"/>
  <c r="AF25" i="963"/>
  <c r="N25" i="963"/>
  <c r="Q25" i="963" s="1"/>
  <c r="AE25" i="963"/>
  <c r="AF23" i="963"/>
  <c r="AE23" i="963"/>
  <c r="N23" i="963"/>
  <c r="Q23" i="963" s="1"/>
  <c r="M38" i="963"/>
  <c r="AE22" i="963"/>
  <c r="AE7" i="963"/>
  <c r="AF7" i="963"/>
  <c r="AF6" i="963"/>
  <c r="AE6" i="963"/>
  <c r="N6" i="963"/>
  <c r="N137" i="962"/>
  <c r="AB137" i="962"/>
  <c r="AB136" i="962"/>
  <c r="AA136" i="962"/>
  <c r="AA134" i="962"/>
  <c r="AB134" i="962"/>
  <c r="N134" i="962"/>
  <c r="Q134" i="962" s="1"/>
  <c r="N133" i="962"/>
  <c r="AB133" i="962"/>
  <c r="AB132" i="962"/>
  <c r="AA132" i="962"/>
  <c r="AB130" i="962"/>
  <c r="AA130" i="962"/>
  <c r="N130" i="962"/>
  <c r="Q130" i="962" s="1"/>
  <c r="N129" i="962"/>
  <c r="AB129" i="962"/>
  <c r="AB128" i="962"/>
  <c r="AA128" i="962"/>
  <c r="AA126" i="962"/>
  <c r="N126" i="962"/>
  <c r="Q126" i="962" s="1"/>
  <c r="AB126" i="962"/>
  <c r="N125" i="962"/>
  <c r="AB125" i="962"/>
  <c r="M140" i="962"/>
  <c r="N124" i="962"/>
  <c r="AB124" i="962"/>
  <c r="N120" i="962"/>
  <c r="AB120" i="962"/>
  <c r="AA120" i="962"/>
  <c r="AB118" i="962"/>
  <c r="N118" i="962"/>
  <c r="AA117" i="962"/>
  <c r="AB117" i="962"/>
  <c r="Q116" i="962"/>
  <c r="P116" i="962"/>
  <c r="AB116" i="962"/>
  <c r="AA116" i="962"/>
  <c r="AB114" i="962"/>
  <c r="N114" i="962"/>
  <c r="AA113" i="962"/>
  <c r="AB113" i="962"/>
  <c r="N112" i="962"/>
  <c r="AA112" i="962"/>
  <c r="AB112" i="962"/>
  <c r="AB110" i="962"/>
  <c r="N110" i="962"/>
  <c r="AA109" i="962"/>
  <c r="AB109" i="962"/>
  <c r="N108" i="962"/>
  <c r="AA108" i="962"/>
  <c r="AB108" i="962"/>
  <c r="AA63" i="962"/>
  <c r="AB63" i="962"/>
  <c r="AB62" i="962"/>
  <c r="AA62" i="962"/>
  <c r="N62" i="962"/>
  <c r="Q60" i="962"/>
  <c r="P60" i="962"/>
  <c r="AA59" i="962"/>
  <c r="AB59" i="962"/>
  <c r="AB58" i="962"/>
  <c r="AA58" i="962"/>
  <c r="M72" i="962"/>
  <c r="N56" i="962"/>
  <c r="Q56" i="962" s="1"/>
  <c r="AB46" i="962"/>
  <c r="N46" i="962"/>
  <c r="Q46" i="962" s="1"/>
  <c r="AA46" i="962"/>
  <c r="N45" i="962"/>
  <c r="AA45" i="962"/>
  <c r="AB45" i="962"/>
  <c r="AB44" i="962"/>
  <c r="AA44" i="962"/>
  <c r="AB42" i="962"/>
  <c r="AA42" i="962"/>
  <c r="N42" i="962"/>
  <c r="Q42" i="962" s="1"/>
  <c r="N41" i="962"/>
  <c r="AB41" i="962"/>
  <c r="AA41" i="962"/>
  <c r="AB40" i="962"/>
  <c r="N40" i="962"/>
  <c r="Q40" i="962" s="1"/>
  <c r="AA40" i="962"/>
  <c r="N23" i="962"/>
  <c r="AB23" i="962"/>
  <c r="M38" i="962"/>
  <c r="AA22" i="962"/>
  <c r="AB22" i="962"/>
  <c r="N22" i="962"/>
  <c r="Q22" i="962" s="1"/>
  <c r="AB10" i="962"/>
  <c r="AA10" i="962"/>
  <c r="AA7" i="962"/>
  <c r="AB7" i="962"/>
  <c r="AA6" i="962"/>
  <c r="N6" i="962"/>
  <c r="AB6" i="962"/>
  <c r="AF125" i="960"/>
  <c r="N125" i="960"/>
  <c r="AE125" i="960"/>
  <c r="N124" i="960"/>
  <c r="AF124" i="960"/>
  <c r="M140" i="960"/>
  <c r="AF140" i="960" s="1"/>
  <c r="AG124" i="960" s="1"/>
  <c r="AE124" i="960"/>
  <c r="AE109" i="960"/>
  <c r="AF109" i="960"/>
  <c r="N108" i="960"/>
  <c r="AE108" i="960"/>
  <c r="N107" i="960"/>
  <c r="AF107" i="960"/>
  <c r="N91" i="960"/>
  <c r="AF91" i="960"/>
  <c r="AF76" i="960"/>
  <c r="N76" i="960"/>
  <c r="Q76" i="960" s="1"/>
  <c r="AE76" i="960"/>
  <c r="M89" i="960"/>
  <c r="AE73" i="960"/>
  <c r="AF73" i="960"/>
  <c r="AE60" i="960"/>
  <c r="AF60" i="960"/>
  <c r="N59" i="960"/>
  <c r="AE59" i="960"/>
  <c r="N57" i="960"/>
  <c r="Q57" i="960" s="1"/>
  <c r="AE57" i="960"/>
  <c r="AF57" i="960"/>
  <c r="AE42" i="960"/>
  <c r="AF42" i="960"/>
  <c r="N42" i="960"/>
  <c r="AE41" i="960"/>
  <c r="AF41" i="960"/>
  <c r="N41" i="960"/>
  <c r="AF39" i="960"/>
  <c r="N39" i="960"/>
  <c r="Q39" i="960" s="1"/>
  <c r="AF26" i="960"/>
  <c r="N26" i="960"/>
  <c r="Q26" i="960" s="1"/>
  <c r="N25" i="960"/>
  <c r="AF25" i="960"/>
  <c r="P24" i="960"/>
  <c r="Q24" i="960"/>
  <c r="AE24" i="960"/>
  <c r="AF24" i="960"/>
  <c r="AF23" i="960"/>
  <c r="AE23" i="960"/>
  <c r="N23" i="960"/>
  <c r="Q23" i="960" s="1"/>
  <c r="AF6" i="960"/>
  <c r="N6" i="960"/>
  <c r="Q6" i="960" s="1"/>
  <c r="N137" i="959"/>
  <c r="AB137" i="959"/>
  <c r="N134" i="959"/>
  <c r="AA134" i="959"/>
  <c r="AB134" i="959"/>
  <c r="N133" i="959"/>
  <c r="AB133" i="959"/>
  <c r="N130" i="959"/>
  <c r="AA130" i="959"/>
  <c r="N129" i="959"/>
  <c r="AB129" i="959"/>
  <c r="N126" i="959"/>
  <c r="AA126" i="959"/>
  <c r="N125" i="959"/>
  <c r="AB125" i="959"/>
  <c r="M140" i="959"/>
  <c r="N124" i="959"/>
  <c r="Q124" i="959" s="1"/>
  <c r="AA120" i="959"/>
  <c r="AB120" i="959"/>
  <c r="N120" i="959"/>
  <c r="Q120" i="959" s="1"/>
  <c r="N119" i="959"/>
  <c r="AA119" i="959"/>
  <c r="AB119" i="959"/>
  <c r="AA116" i="959"/>
  <c r="N116" i="959"/>
  <c r="Q116" i="959" s="1"/>
  <c r="AB116" i="959"/>
  <c r="N115" i="959"/>
  <c r="AA115" i="959"/>
  <c r="AB115" i="959"/>
  <c r="AA112" i="959"/>
  <c r="AB112" i="959"/>
  <c r="N112" i="959"/>
  <c r="Q112" i="959" s="1"/>
  <c r="N111" i="959"/>
  <c r="AB111" i="959"/>
  <c r="AA111" i="959"/>
  <c r="AA108" i="959"/>
  <c r="N108" i="959"/>
  <c r="Q108" i="959" s="1"/>
  <c r="AB108" i="959"/>
  <c r="M106" i="959"/>
  <c r="AA90" i="959"/>
  <c r="AB73" i="959"/>
  <c r="M89" i="959"/>
  <c r="N89" i="959" s="1"/>
  <c r="N73" i="959"/>
  <c r="AA62" i="959"/>
  <c r="AB62" i="959"/>
  <c r="N62" i="959"/>
  <c r="Q62" i="959" s="1"/>
  <c r="AA61" i="959"/>
  <c r="AB61" i="959"/>
  <c r="N58" i="959"/>
  <c r="Q58" i="959" s="1"/>
  <c r="AA58" i="959"/>
  <c r="AB58" i="959"/>
  <c r="N57" i="959"/>
  <c r="AB57" i="959"/>
  <c r="AA57" i="959"/>
  <c r="M72" i="959"/>
  <c r="N56" i="959"/>
  <c r="Q56" i="959" s="1"/>
  <c r="AB46" i="959"/>
  <c r="N46" i="959"/>
  <c r="Q46" i="959" s="1"/>
  <c r="N45" i="959"/>
  <c r="AB45" i="959"/>
  <c r="AA45" i="959"/>
  <c r="AB42" i="959"/>
  <c r="N42" i="959"/>
  <c r="Q42" i="959" s="1"/>
  <c r="N41" i="959"/>
  <c r="AB41" i="959"/>
  <c r="AA41" i="959"/>
  <c r="M55" i="959"/>
  <c r="AA39" i="959"/>
  <c r="M38" i="959"/>
  <c r="AA22" i="959"/>
  <c r="N22" i="959"/>
  <c r="Q22" i="959" s="1"/>
  <c r="N10" i="959"/>
  <c r="Q10" i="959" s="1"/>
  <c r="AB10" i="959"/>
  <c r="AA10" i="959"/>
  <c r="N9" i="959"/>
  <c r="AB9" i="959"/>
  <c r="AA9" i="959"/>
  <c r="AA6" i="959"/>
  <c r="AB6" i="959"/>
  <c r="N6" i="959"/>
  <c r="Q6" i="959" s="1"/>
  <c r="AF126" i="957"/>
  <c r="N126" i="957"/>
  <c r="N125" i="957"/>
  <c r="AF125" i="957"/>
  <c r="AE125" i="957"/>
  <c r="N124" i="957"/>
  <c r="AF124" i="957"/>
  <c r="AE124" i="957"/>
  <c r="M140" i="957"/>
  <c r="N109" i="957"/>
  <c r="AE109" i="957"/>
  <c r="AF109" i="957"/>
  <c r="AF108" i="957"/>
  <c r="AE108" i="957"/>
  <c r="N108" i="957"/>
  <c r="M123" i="957"/>
  <c r="N107" i="957"/>
  <c r="AF91" i="957"/>
  <c r="AE91" i="957"/>
  <c r="N91" i="957"/>
  <c r="M106" i="957"/>
  <c r="N90" i="957"/>
  <c r="AF77" i="957"/>
  <c r="N77" i="957"/>
  <c r="AF76" i="957"/>
  <c r="AE76" i="957"/>
  <c r="N76" i="957"/>
  <c r="AE75" i="957"/>
  <c r="AF75" i="957"/>
  <c r="AE74" i="957"/>
  <c r="AF74" i="957"/>
  <c r="N74" i="957"/>
  <c r="M89" i="957"/>
  <c r="AE73" i="957"/>
  <c r="N60" i="957"/>
  <c r="AF60" i="957"/>
  <c r="N57" i="957"/>
  <c r="AF57" i="957"/>
  <c r="AE57" i="957"/>
  <c r="N43" i="957"/>
  <c r="AE43" i="957"/>
  <c r="AF42" i="957"/>
  <c r="N42" i="957"/>
  <c r="AE42" i="957"/>
  <c r="AE41" i="957"/>
  <c r="AF41" i="957"/>
  <c r="N41" i="957"/>
  <c r="AF40" i="957"/>
  <c r="N40" i="957"/>
  <c r="AE40" i="957"/>
  <c r="M55" i="957"/>
  <c r="AF39" i="957"/>
  <c r="AE39" i="957"/>
  <c r="AE26" i="957"/>
  <c r="AF26" i="957"/>
  <c r="AE25" i="957"/>
  <c r="AF25" i="957"/>
  <c r="N25" i="957"/>
  <c r="AF24" i="957"/>
  <c r="N24" i="957"/>
  <c r="AF23" i="957"/>
  <c r="N23" i="957"/>
  <c r="N6" i="957"/>
  <c r="AE6" i="957"/>
  <c r="AF6" i="957"/>
  <c r="N5" i="957"/>
  <c r="AF5" i="957"/>
  <c r="N135" i="956"/>
  <c r="AA135" i="956"/>
  <c r="AB135" i="956"/>
  <c r="AB134" i="956"/>
  <c r="N134" i="956"/>
  <c r="AA134" i="956"/>
  <c r="N131" i="956"/>
  <c r="AA131" i="956"/>
  <c r="AB130" i="956"/>
  <c r="AA130" i="956"/>
  <c r="N130" i="956"/>
  <c r="N127" i="956"/>
  <c r="AA127" i="956"/>
  <c r="AA126" i="956"/>
  <c r="AB126" i="956"/>
  <c r="N126" i="956"/>
  <c r="AB124" i="956"/>
  <c r="N124" i="956"/>
  <c r="M140" i="956"/>
  <c r="AB120" i="956"/>
  <c r="N120" i="956"/>
  <c r="AA120" i="956"/>
  <c r="N119" i="956"/>
  <c r="AB119" i="956"/>
  <c r="AA119" i="956"/>
  <c r="AB116" i="956"/>
  <c r="N116" i="956"/>
  <c r="AA116" i="956"/>
  <c r="N115" i="956"/>
  <c r="AA115" i="956"/>
  <c r="AB115" i="956"/>
  <c r="N112" i="956"/>
  <c r="AB112" i="956"/>
  <c r="AA112" i="956"/>
  <c r="N111" i="956"/>
  <c r="AB111" i="956"/>
  <c r="AA111" i="956"/>
  <c r="N108" i="956"/>
  <c r="AB108" i="956"/>
  <c r="AA108" i="956"/>
  <c r="N107" i="956"/>
  <c r="AB107" i="956"/>
  <c r="M106" i="956"/>
  <c r="AA90" i="956"/>
  <c r="AB73" i="956"/>
  <c r="M89" i="956"/>
  <c r="N73" i="956"/>
  <c r="AB62" i="956"/>
  <c r="AA62" i="956"/>
  <c r="N62" i="956"/>
  <c r="N61" i="956"/>
  <c r="AB61" i="956"/>
  <c r="AA58" i="956"/>
  <c r="N58" i="956"/>
  <c r="AB58" i="956"/>
  <c r="N57" i="956"/>
  <c r="AB57" i="956"/>
  <c r="AB56" i="956"/>
  <c r="N56" i="956"/>
  <c r="AB46" i="956"/>
  <c r="N46" i="956"/>
  <c r="N45" i="956"/>
  <c r="AA45" i="956"/>
  <c r="AB45" i="956"/>
  <c r="AA44" i="956"/>
  <c r="AB44" i="956"/>
  <c r="N44" i="956"/>
  <c r="AB43" i="956"/>
  <c r="N43" i="956"/>
  <c r="AB42" i="956"/>
  <c r="N42" i="956"/>
  <c r="N41" i="956"/>
  <c r="AB41" i="956"/>
  <c r="AA41" i="956"/>
  <c r="N40" i="956"/>
  <c r="AA40" i="956"/>
  <c r="AB40" i="956"/>
  <c r="N39" i="956"/>
  <c r="AA39" i="956"/>
  <c r="AA22" i="956"/>
  <c r="N22" i="956"/>
  <c r="AB22" i="956"/>
  <c r="M38" i="956"/>
  <c r="AB10" i="956"/>
  <c r="N10" i="956"/>
  <c r="AA10" i="956"/>
  <c r="N9" i="956"/>
  <c r="AB9" i="956"/>
  <c r="AA6" i="956"/>
  <c r="AB6" i="956"/>
  <c r="N6" i="956"/>
  <c r="M21" i="956"/>
  <c r="AA5" i="956"/>
  <c r="N5" i="956"/>
  <c r="AB5" i="956"/>
  <c r="AE124" i="954"/>
  <c r="N124" i="954"/>
  <c r="AF124" i="954"/>
  <c r="M140" i="954"/>
  <c r="AE109" i="954"/>
  <c r="AF109" i="954"/>
  <c r="N109" i="954"/>
  <c r="AF108" i="954"/>
  <c r="AE108" i="954"/>
  <c r="N108" i="954"/>
  <c r="N107" i="954"/>
  <c r="M123" i="954"/>
  <c r="AE107" i="954"/>
  <c r="AF107" i="954"/>
  <c r="N91" i="954"/>
  <c r="AF91" i="954"/>
  <c r="AF90" i="954"/>
  <c r="N90" i="954"/>
  <c r="AE90" i="954"/>
  <c r="AF75" i="954"/>
  <c r="N75" i="954"/>
  <c r="AE75" i="954"/>
  <c r="M89" i="954"/>
  <c r="AE73" i="954"/>
  <c r="N73" i="954"/>
  <c r="AF73" i="954"/>
  <c r="N60" i="954"/>
  <c r="AF60" i="954"/>
  <c r="AE60" i="954"/>
  <c r="AE59" i="954"/>
  <c r="AF59" i="954"/>
  <c r="N59" i="954"/>
  <c r="AF42" i="954"/>
  <c r="AE42" i="954"/>
  <c r="N41" i="954"/>
  <c r="AE41" i="954"/>
  <c r="AF41" i="954"/>
  <c r="N40" i="954"/>
  <c r="AE40" i="954"/>
  <c r="AF39" i="954"/>
  <c r="M55" i="954"/>
  <c r="AE39" i="954"/>
  <c r="AE26" i="954"/>
  <c r="N26" i="954"/>
  <c r="AF26" i="954"/>
  <c r="N23" i="954"/>
  <c r="AE23" i="954"/>
  <c r="AB137" i="953"/>
  <c r="N137" i="953"/>
  <c r="N136" i="953"/>
  <c r="AA136" i="953"/>
  <c r="AB135" i="953"/>
  <c r="AA135" i="953"/>
  <c r="N135" i="953"/>
  <c r="AB134" i="953"/>
  <c r="AA134" i="953"/>
  <c r="N134" i="953"/>
  <c r="AB133" i="953"/>
  <c r="N133" i="953"/>
  <c r="N132" i="953"/>
  <c r="AA132" i="953"/>
  <c r="AA131" i="953"/>
  <c r="AB131" i="953"/>
  <c r="N131" i="953"/>
  <c r="AA130" i="953"/>
  <c r="AB130" i="953"/>
  <c r="N130" i="953"/>
  <c r="AB129" i="953"/>
  <c r="N129" i="953"/>
  <c r="AA129" i="953"/>
  <c r="AB127" i="953"/>
  <c r="AA127" i="953"/>
  <c r="N127" i="953"/>
  <c r="AB126" i="953"/>
  <c r="N126" i="953"/>
  <c r="AA126" i="953"/>
  <c r="AB125" i="953"/>
  <c r="AA125" i="953"/>
  <c r="N124" i="953"/>
  <c r="AA124" i="953"/>
  <c r="AB124" i="953"/>
  <c r="N117" i="953"/>
  <c r="AA117" i="953"/>
  <c r="AB117" i="953"/>
  <c r="N116" i="953"/>
  <c r="AB116" i="953"/>
  <c r="AA116" i="953"/>
  <c r="N113" i="953"/>
  <c r="AB113" i="953"/>
  <c r="AA113" i="953"/>
  <c r="N112" i="953"/>
  <c r="AA112" i="953"/>
  <c r="AB112" i="953"/>
  <c r="N109" i="953"/>
  <c r="AA109" i="953"/>
  <c r="N108" i="953"/>
  <c r="AA108" i="953"/>
  <c r="M123" i="953"/>
  <c r="AB107" i="953"/>
  <c r="N107" i="953"/>
  <c r="N63" i="953"/>
  <c r="AB63" i="953"/>
  <c r="AA63" i="953"/>
  <c r="N62" i="953"/>
  <c r="AB62" i="953"/>
  <c r="AA62" i="953"/>
  <c r="N59" i="953"/>
  <c r="AB59" i="953"/>
  <c r="AA59" i="953"/>
  <c r="N58" i="953"/>
  <c r="AA58" i="953"/>
  <c r="AB58" i="953"/>
  <c r="M72" i="953"/>
  <c r="AB56" i="953"/>
  <c r="AA56" i="953"/>
  <c r="N56" i="953"/>
  <c r="AA46" i="953"/>
  <c r="AB46" i="953"/>
  <c r="N45" i="953"/>
  <c r="AB45" i="953"/>
  <c r="AA42" i="953"/>
  <c r="AB42" i="953"/>
  <c r="N22" i="953"/>
  <c r="AA22" i="953"/>
  <c r="AB22" i="953"/>
  <c r="N10" i="953"/>
  <c r="AB10" i="953"/>
  <c r="AB8" i="953"/>
  <c r="N8" i="953"/>
  <c r="AB7" i="953"/>
  <c r="N7" i="953"/>
  <c r="AA7" i="953"/>
  <c r="M21" i="953"/>
  <c r="AA5" i="953"/>
  <c r="N5" i="953"/>
  <c r="AB5" i="953"/>
  <c r="AF126" i="951"/>
  <c r="N126" i="951"/>
  <c r="AF125" i="951"/>
  <c r="AE125" i="951"/>
  <c r="N125" i="951"/>
  <c r="N124" i="951"/>
  <c r="M140" i="951"/>
  <c r="AF124" i="951"/>
  <c r="AE124" i="951"/>
  <c r="AE109" i="951"/>
  <c r="AF109" i="951"/>
  <c r="AF108" i="951"/>
  <c r="N108" i="951"/>
  <c r="AE90" i="951"/>
  <c r="N90" i="951"/>
  <c r="AF90" i="951"/>
  <c r="AF75" i="951"/>
  <c r="AE75" i="951"/>
  <c r="N73" i="951"/>
  <c r="AE73" i="951"/>
  <c r="M89" i="951"/>
  <c r="AF73" i="951"/>
  <c r="AE59" i="951"/>
  <c r="AF59" i="951"/>
  <c r="AF58" i="951"/>
  <c r="N58" i="951"/>
  <c r="AF57" i="951"/>
  <c r="N57" i="951"/>
  <c r="N42" i="951"/>
  <c r="AE42" i="951"/>
  <c r="AF42" i="951"/>
  <c r="N41" i="951"/>
  <c r="AF41" i="951"/>
  <c r="AF39" i="951"/>
  <c r="N39" i="951"/>
  <c r="N26" i="951"/>
  <c r="AF26" i="951"/>
  <c r="AE26" i="951"/>
  <c r="AF25" i="951"/>
  <c r="AE25" i="951"/>
  <c r="N25" i="951"/>
  <c r="AF24" i="951"/>
  <c r="AE24" i="951"/>
  <c r="N24" i="951"/>
  <c r="AF23" i="951"/>
  <c r="N23" i="951"/>
  <c r="AE23" i="951"/>
  <c r="M38" i="951"/>
  <c r="N22" i="951"/>
  <c r="AF7" i="951"/>
  <c r="N7" i="951"/>
  <c r="AE137" i="950"/>
  <c r="AF137" i="950"/>
  <c r="N137" i="950"/>
  <c r="AF136" i="950"/>
  <c r="AE136" i="950"/>
  <c r="N136" i="950"/>
  <c r="P134" i="950"/>
  <c r="Q134" i="950"/>
  <c r="AE133" i="950"/>
  <c r="AF133" i="950"/>
  <c r="N133" i="950"/>
  <c r="AF132" i="950"/>
  <c r="AE132" i="950"/>
  <c r="N132" i="950"/>
  <c r="P130" i="950"/>
  <c r="Q130" i="950"/>
  <c r="AE129" i="950"/>
  <c r="AF129" i="950"/>
  <c r="AE128" i="950"/>
  <c r="N128" i="950"/>
  <c r="AF126" i="950"/>
  <c r="N126" i="950"/>
  <c r="AE125" i="950"/>
  <c r="N125" i="950"/>
  <c r="AF125" i="950"/>
  <c r="N120" i="950"/>
  <c r="AF120" i="950"/>
  <c r="AE120" i="950"/>
  <c r="AF119" i="950"/>
  <c r="N119" i="950"/>
  <c r="AE119" i="950"/>
  <c r="N116" i="950"/>
  <c r="AF116" i="950"/>
  <c r="AE116" i="950"/>
  <c r="N115" i="950"/>
  <c r="AE115" i="950"/>
  <c r="AF115" i="950"/>
  <c r="N114" i="950"/>
  <c r="AE114" i="950"/>
  <c r="N112" i="950"/>
  <c r="AF112" i="950"/>
  <c r="AE112" i="950"/>
  <c r="AF111" i="950"/>
  <c r="N111" i="950"/>
  <c r="AE111" i="950"/>
  <c r="N110" i="950"/>
  <c r="AE110" i="950"/>
  <c r="N108" i="950"/>
  <c r="AF108" i="950"/>
  <c r="AE108" i="950"/>
  <c r="AE107" i="950"/>
  <c r="N107" i="950"/>
  <c r="AF107" i="950"/>
  <c r="AF90" i="950"/>
  <c r="AE90" i="950"/>
  <c r="N62" i="950"/>
  <c r="AF62" i="950"/>
  <c r="AE62" i="950"/>
  <c r="N61" i="950"/>
  <c r="AF61" i="950"/>
  <c r="AE61" i="950"/>
  <c r="N60" i="950"/>
  <c r="AE60" i="950"/>
  <c r="N58" i="950"/>
  <c r="AE58" i="950"/>
  <c r="AF58" i="950"/>
  <c r="AE57" i="950"/>
  <c r="N57" i="950"/>
  <c r="AF57" i="950"/>
  <c r="AE56" i="950"/>
  <c r="N56" i="950"/>
  <c r="AF56" i="950"/>
  <c r="AF46" i="950"/>
  <c r="N46" i="950"/>
  <c r="AF45" i="950"/>
  <c r="AE45" i="950"/>
  <c r="N45" i="950"/>
  <c r="AF44" i="950"/>
  <c r="AE44" i="950"/>
  <c r="N44" i="950"/>
  <c r="AF43" i="950"/>
  <c r="AE43" i="950"/>
  <c r="N43" i="950"/>
  <c r="AF42" i="950"/>
  <c r="N42" i="950"/>
  <c r="AF41" i="950"/>
  <c r="AE41" i="950"/>
  <c r="AF40" i="950"/>
  <c r="N40" i="950"/>
  <c r="AE40" i="950"/>
  <c r="M55" i="950"/>
  <c r="AE39" i="950"/>
  <c r="AE23" i="950"/>
  <c r="AF23" i="950"/>
  <c r="AF22" i="950"/>
  <c r="AE22" i="950"/>
  <c r="N10" i="950"/>
  <c r="AE10" i="950"/>
  <c r="AF10" i="950"/>
  <c r="AF9" i="950"/>
  <c r="AE9" i="950"/>
  <c r="N9" i="950"/>
  <c r="N8" i="950"/>
  <c r="AE8" i="950"/>
  <c r="N6" i="950"/>
  <c r="AF6" i="950"/>
  <c r="AE6" i="950"/>
  <c r="N5" i="950"/>
  <c r="M21" i="950"/>
  <c r="AF5" i="950"/>
  <c r="AE5" i="950"/>
  <c r="AF125" i="948"/>
  <c r="AE125" i="948"/>
  <c r="P124" i="948"/>
  <c r="Q124" i="948"/>
  <c r="M140" i="948"/>
  <c r="AE124" i="948"/>
  <c r="AF124" i="948"/>
  <c r="AE109" i="948"/>
  <c r="N109" i="948"/>
  <c r="Q109" i="948" s="1"/>
  <c r="AF109" i="948"/>
  <c r="N108" i="948"/>
  <c r="AE108" i="948"/>
  <c r="N91" i="948"/>
  <c r="AF91" i="948"/>
  <c r="AE91" i="948"/>
  <c r="N90" i="948"/>
  <c r="AE90" i="948"/>
  <c r="M106" i="948"/>
  <c r="N106" i="948" s="1"/>
  <c r="AF90" i="948"/>
  <c r="N75" i="948"/>
  <c r="AF75" i="948"/>
  <c r="AE75" i="948"/>
  <c r="M89" i="948"/>
  <c r="AE73" i="948"/>
  <c r="AE58" i="948"/>
  <c r="AF58" i="948"/>
  <c r="AF43" i="948"/>
  <c r="N43" i="948"/>
  <c r="AF42" i="948"/>
  <c r="AE42" i="948"/>
  <c r="AF41" i="948"/>
  <c r="N41" i="948"/>
  <c r="Q41" i="948" s="1"/>
  <c r="AE41" i="948"/>
  <c r="N40" i="948"/>
  <c r="AF40" i="948"/>
  <c r="AE40" i="948"/>
  <c r="N39" i="948"/>
  <c r="AE39" i="948"/>
  <c r="AF39" i="948"/>
  <c r="AF26" i="948"/>
  <c r="N26" i="948"/>
  <c r="AE26" i="948"/>
  <c r="AF24" i="948"/>
  <c r="N24" i="948"/>
  <c r="N7" i="948"/>
  <c r="AF7" i="948"/>
  <c r="AE7" i="948"/>
  <c r="AF6" i="948"/>
  <c r="N6" i="948"/>
  <c r="AE6" i="948"/>
  <c r="M21" i="948"/>
  <c r="AF5" i="948"/>
  <c r="N5" i="948"/>
  <c r="AE5" i="948"/>
  <c r="N135" i="947"/>
  <c r="AB135" i="947"/>
  <c r="AA135" i="947"/>
  <c r="N132" i="947"/>
  <c r="AB132" i="947"/>
  <c r="AA132" i="947"/>
  <c r="AA131" i="947"/>
  <c r="N131" i="947"/>
  <c r="AB131" i="947"/>
  <c r="N128" i="947"/>
  <c r="AA128" i="947"/>
  <c r="AB128" i="947"/>
  <c r="AB127" i="947"/>
  <c r="AA127" i="947"/>
  <c r="N127" i="947"/>
  <c r="AB124" i="947"/>
  <c r="N124" i="947"/>
  <c r="N120" i="947"/>
  <c r="AA120" i="947"/>
  <c r="AB120" i="947"/>
  <c r="AA119" i="947"/>
  <c r="AB119" i="947"/>
  <c r="AA118" i="947"/>
  <c r="N118" i="947"/>
  <c r="N116" i="947"/>
  <c r="AA116" i="947"/>
  <c r="AB116" i="947"/>
  <c r="AA115" i="947"/>
  <c r="AB115" i="947"/>
  <c r="AA114" i="947"/>
  <c r="N114" i="947"/>
  <c r="N112" i="947"/>
  <c r="AB112" i="947"/>
  <c r="AA112" i="947"/>
  <c r="AA110" i="947"/>
  <c r="N110" i="947"/>
  <c r="N108" i="947"/>
  <c r="AB108" i="947"/>
  <c r="AA108" i="947"/>
  <c r="M123" i="947"/>
  <c r="N107" i="947"/>
  <c r="AB107" i="947"/>
  <c r="AA107" i="947"/>
  <c r="N63" i="947"/>
  <c r="AB63" i="947"/>
  <c r="N62" i="947"/>
  <c r="AB62" i="947"/>
  <c r="AA62" i="947"/>
  <c r="AA60" i="947"/>
  <c r="N60" i="947"/>
  <c r="N59" i="947"/>
  <c r="AB59" i="947"/>
  <c r="AB58" i="947"/>
  <c r="AA58" i="947"/>
  <c r="N58" i="947"/>
  <c r="AB56" i="947"/>
  <c r="N56" i="947"/>
  <c r="AB46" i="947"/>
  <c r="N46" i="947"/>
  <c r="N45" i="947"/>
  <c r="AB45" i="947"/>
  <c r="AA45" i="947"/>
  <c r="AB44" i="947"/>
  <c r="N44" i="947"/>
  <c r="AA44" i="947"/>
  <c r="AA42" i="947"/>
  <c r="AB42" i="947"/>
  <c r="N42" i="947"/>
  <c r="AB41" i="947"/>
  <c r="N41" i="947"/>
  <c r="AA41" i="947"/>
  <c r="AB40" i="947"/>
  <c r="N40" i="947"/>
  <c r="AA40" i="947"/>
  <c r="AB39" i="947"/>
  <c r="N39" i="947"/>
  <c r="AB22" i="947"/>
  <c r="AA22" i="947"/>
  <c r="N22" i="947"/>
  <c r="N10" i="947"/>
  <c r="AB10" i="947"/>
  <c r="AA10" i="947"/>
  <c r="AA8" i="947"/>
  <c r="N8" i="947"/>
  <c r="N6" i="947"/>
  <c r="AB6" i="947"/>
  <c r="AA6" i="947"/>
  <c r="M21" i="947"/>
  <c r="AA5" i="947"/>
  <c r="N5" i="947"/>
  <c r="AF126" i="945"/>
  <c r="N126" i="945"/>
  <c r="Q126" i="945" s="1"/>
  <c r="AF125" i="945"/>
  <c r="AE125" i="945"/>
  <c r="N125" i="945"/>
  <c r="N124" i="945"/>
  <c r="AE124" i="945"/>
  <c r="AF124" i="945"/>
  <c r="M140" i="945"/>
  <c r="AF140" i="945" s="1"/>
  <c r="AG124" i="945" s="1"/>
  <c r="AE109" i="945"/>
  <c r="AF109" i="945"/>
  <c r="N108" i="945"/>
  <c r="AF108" i="945"/>
  <c r="AE108" i="945"/>
  <c r="N91" i="945"/>
  <c r="AE91" i="945"/>
  <c r="Q90" i="945"/>
  <c r="P90" i="945"/>
  <c r="AE75" i="945"/>
  <c r="N75" i="945"/>
  <c r="AF75" i="945"/>
  <c r="AF74" i="945"/>
  <c r="N74" i="945"/>
  <c r="Q74" i="945" s="1"/>
  <c r="N57" i="945"/>
  <c r="AF57" i="945"/>
  <c r="N44" i="945"/>
  <c r="AE44" i="945"/>
  <c r="N42" i="945"/>
  <c r="AF42" i="945"/>
  <c r="AE42" i="945"/>
  <c r="AE41" i="945"/>
  <c r="AF41" i="945"/>
  <c r="N41" i="945"/>
  <c r="N40" i="945"/>
  <c r="AE40" i="945"/>
  <c r="AF39" i="945"/>
  <c r="AE39" i="945"/>
  <c r="N26" i="945"/>
  <c r="AF26" i="945"/>
  <c r="AE26" i="945"/>
  <c r="AF25" i="945"/>
  <c r="N25" i="945"/>
  <c r="Q25" i="945" s="1"/>
  <c r="P24" i="945"/>
  <c r="Q24" i="945"/>
  <c r="AF24" i="945"/>
  <c r="AE24" i="945"/>
  <c r="N23" i="945"/>
  <c r="AE23" i="945"/>
  <c r="AF23" i="945"/>
  <c r="M38" i="945"/>
  <c r="AE22" i="945"/>
  <c r="N7" i="945"/>
  <c r="AF7" i="945"/>
  <c r="AF6" i="945"/>
  <c r="AE6" i="945"/>
  <c r="N6" i="945"/>
  <c r="P6" i="945" s="1"/>
  <c r="N137" i="944"/>
  <c r="AB137" i="944"/>
  <c r="N136" i="944"/>
  <c r="AA136" i="944"/>
  <c r="AA134" i="944"/>
  <c r="N134" i="944"/>
  <c r="Q134" i="944" s="1"/>
  <c r="AB134" i="944"/>
  <c r="N133" i="944"/>
  <c r="AB133" i="944"/>
  <c r="N132" i="944"/>
  <c r="AA132" i="944"/>
  <c r="AB130" i="944"/>
  <c r="N130" i="944"/>
  <c r="Q130" i="944" s="1"/>
  <c r="N129" i="944"/>
  <c r="AA129" i="944"/>
  <c r="AB129" i="944"/>
  <c r="N128" i="944"/>
  <c r="AA128" i="944"/>
  <c r="AA126" i="944"/>
  <c r="AB126" i="944"/>
  <c r="N126" i="944"/>
  <c r="Q126" i="944" s="1"/>
  <c r="N125" i="944"/>
  <c r="AB125" i="944"/>
  <c r="AA125" i="944"/>
  <c r="N124" i="944"/>
  <c r="AB124" i="944"/>
  <c r="AA120" i="944"/>
  <c r="N120" i="944"/>
  <c r="AB120" i="944"/>
  <c r="P117" i="944"/>
  <c r="Q117" i="944"/>
  <c r="AA117" i="944"/>
  <c r="AB117" i="944"/>
  <c r="AA116" i="944"/>
  <c r="AB116" i="944"/>
  <c r="N116" i="944"/>
  <c r="N113" i="944"/>
  <c r="AB113" i="944"/>
  <c r="AA112" i="944"/>
  <c r="N112" i="944"/>
  <c r="AB108" i="944"/>
  <c r="N108" i="944"/>
  <c r="AA73" i="944"/>
  <c r="N73" i="944"/>
  <c r="Q73" i="944" s="1"/>
  <c r="N63" i="944"/>
  <c r="AB63" i="944"/>
  <c r="AB62" i="944"/>
  <c r="N62" i="944"/>
  <c r="AA59" i="944"/>
  <c r="AB59" i="944"/>
  <c r="N59" i="944"/>
  <c r="N46" i="944"/>
  <c r="AA46" i="944"/>
  <c r="AA45" i="944"/>
  <c r="N45" i="944"/>
  <c r="AB45" i="944"/>
  <c r="AB44" i="944"/>
  <c r="N44" i="944"/>
  <c r="AB43" i="944"/>
  <c r="N43" i="944"/>
  <c r="Q43" i="944" s="1"/>
  <c r="N42" i="944"/>
  <c r="AA42" i="944"/>
  <c r="AB41" i="944"/>
  <c r="AA41" i="944"/>
  <c r="N41" i="944"/>
  <c r="AA40" i="944"/>
  <c r="AB40" i="944"/>
  <c r="N40" i="944"/>
  <c r="N23" i="944"/>
  <c r="AB23" i="944"/>
  <c r="N22" i="944"/>
  <c r="AB22" i="944"/>
  <c r="AB10" i="944"/>
  <c r="AA10" i="944"/>
  <c r="N10" i="944"/>
  <c r="N7" i="944"/>
  <c r="AB7" i="944"/>
  <c r="N6" i="944"/>
  <c r="AB6" i="944"/>
  <c r="AA6" i="944"/>
  <c r="N125" i="942"/>
  <c r="AE125" i="942"/>
  <c r="AF125" i="942"/>
  <c r="AE124" i="942"/>
  <c r="AF124" i="942"/>
  <c r="N124" i="942"/>
  <c r="M140" i="942"/>
  <c r="AF140" i="942" s="1"/>
  <c r="AG124" i="942" s="1"/>
  <c r="N109" i="942"/>
  <c r="AF109" i="942"/>
  <c r="AE109" i="942"/>
  <c r="M123" i="942"/>
  <c r="N107" i="942"/>
  <c r="Q107" i="942" s="1"/>
  <c r="AE107" i="942"/>
  <c r="AE91" i="942"/>
  <c r="N91" i="942"/>
  <c r="Q91" i="942" s="1"/>
  <c r="AF91" i="942"/>
  <c r="AE73" i="942"/>
  <c r="N73" i="942"/>
  <c r="Q73" i="942" s="1"/>
  <c r="AF73" i="942"/>
  <c r="AE59" i="942"/>
  <c r="AF59" i="942"/>
  <c r="N59" i="942"/>
  <c r="Q59" i="942" s="1"/>
  <c r="N58" i="942"/>
  <c r="AF58" i="942"/>
  <c r="AE58" i="942"/>
  <c r="AF56" i="942"/>
  <c r="AE56" i="942"/>
  <c r="N56" i="942"/>
  <c r="Q56" i="942" s="1"/>
  <c r="AE44" i="942"/>
  <c r="AF44" i="942"/>
  <c r="N44" i="942"/>
  <c r="Q44" i="942" s="1"/>
  <c r="AF41" i="942"/>
  <c r="N41" i="942"/>
  <c r="AE41" i="942"/>
  <c r="N24" i="942"/>
  <c r="AF24" i="942"/>
  <c r="AE24" i="942"/>
  <c r="AE23" i="942"/>
  <c r="N23" i="942"/>
  <c r="AF23" i="942"/>
  <c r="M38" i="942"/>
  <c r="AF22" i="942"/>
  <c r="AE6" i="942"/>
  <c r="AF6" i="942"/>
  <c r="N6" i="942"/>
  <c r="AA136" i="941"/>
  <c r="N136" i="941"/>
  <c r="Q136" i="941" s="1"/>
  <c r="AB136" i="941"/>
  <c r="N135" i="941"/>
  <c r="AA135" i="941"/>
  <c r="AB135" i="941"/>
  <c r="AA132" i="941"/>
  <c r="AB132" i="941"/>
  <c r="N131" i="941"/>
  <c r="AB131" i="941"/>
  <c r="AA131" i="941"/>
  <c r="AA128" i="941"/>
  <c r="AB128" i="941"/>
  <c r="N128" i="941"/>
  <c r="Q128" i="941" s="1"/>
  <c r="N127" i="941"/>
  <c r="AA127" i="941"/>
  <c r="AB127" i="941"/>
  <c r="AA120" i="941"/>
  <c r="AB120" i="941"/>
  <c r="AB119" i="941"/>
  <c r="AA119" i="941"/>
  <c r="N119" i="941"/>
  <c r="Q119" i="941" s="1"/>
  <c r="AB118" i="941"/>
  <c r="AA118" i="941"/>
  <c r="N118" i="941"/>
  <c r="Q118" i="941" s="1"/>
  <c r="AB117" i="941"/>
  <c r="N117" i="941"/>
  <c r="Q117" i="941" s="1"/>
  <c r="AA116" i="941"/>
  <c r="AB116" i="941"/>
  <c r="AB115" i="941"/>
  <c r="AA115" i="941"/>
  <c r="N115" i="941"/>
  <c r="Q115" i="941" s="1"/>
  <c r="AB114" i="941"/>
  <c r="N114" i="941"/>
  <c r="AA114" i="941"/>
  <c r="AB113" i="941"/>
  <c r="N113" i="941"/>
  <c r="Q113" i="941" s="1"/>
  <c r="N112" i="941"/>
  <c r="Q112" i="941" s="1"/>
  <c r="AA112" i="941"/>
  <c r="AB112" i="941"/>
  <c r="AB111" i="941"/>
  <c r="N111" i="941"/>
  <c r="Q111" i="941" s="1"/>
  <c r="AA111" i="941"/>
  <c r="N110" i="941"/>
  <c r="AA110" i="941"/>
  <c r="AB109" i="941"/>
  <c r="N109" i="941"/>
  <c r="Q109" i="941" s="1"/>
  <c r="AA108" i="941"/>
  <c r="AB108" i="941"/>
  <c r="N107" i="941"/>
  <c r="AA107" i="941"/>
  <c r="AB107" i="941"/>
  <c r="M123" i="941"/>
  <c r="AA123" i="941" s="1"/>
  <c r="AB90" i="941"/>
  <c r="M106" i="941"/>
  <c r="AB106" i="941" s="1"/>
  <c r="AC90" i="941" s="1"/>
  <c r="N90" i="941"/>
  <c r="Q90" i="941" s="1"/>
  <c r="M89" i="941"/>
  <c r="AA73" i="941"/>
  <c r="AB61" i="941"/>
  <c r="N61" i="941"/>
  <c r="Q61" i="941" s="1"/>
  <c r="AB60" i="941"/>
  <c r="AA60" i="941"/>
  <c r="N60" i="941"/>
  <c r="Q60" i="941" s="1"/>
  <c r="N59" i="941"/>
  <c r="AA59" i="941"/>
  <c r="AB57" i="941"/>
  <c r="N57" i="941"/>
  <c r="Q57" i="941" s="1"/>
  <c r="AA56" i="941"/>
  <c r="AB56" i="941"/>
  <c r="AB44" i="941"/>
  <c r="N44" i="941"/>
  <c r="Q44" i="941" s="1"/>
  <c r="AA43" i="941"/>
  <c r="N43" i="941"/>
  <c r="Q43" i="941" s="1"/>
  <c r="AB43" i="941"/>
  <c r="AB40" i="941"/>
  <c r="AA40" i="941"/>
  <c r="N40" i="941"/>
  <c r="Q40" i="941" s="1"/>
  <c r="AB39" i="941"/>
  <c r="N39" i="941"/>
  <c r="Q39" i="941" s="1"/>
  <c r="N22" i="941"/>
  <c r="AB22" i="941"/>
  <c r="N10" i="941"/>
  <c r="AA10" i="941"/>
  <c r="AB10" i="941"/>
  <c r="AB9" i="941"/>
  <c r="N9" i="941"/>
  <c r="Q9" i="941" s="1"/>
  <c r="AB8" i="941"/>
  <c r="N8" i="941"/>
  <c r="Q8" i="941" s="1"/>
  <c r="AA8" i="941"/>
  <c r="N7" i="941"/>
  <c r="AA7" i="941"/>
  <c r="AB7" i="941"/>
  <c r="N6" i="941"/>
  <c r="AA6" i="941"/>
  <c r="AB6" i="941"/>
  <c r="AA5" i="941"/>
  <c r="N5" i="941"/>
  <c r="M21" i="941"/>
  <c r="AB5" i="941"/>
  <c r="P39" i="963"/>
  <c r="Q39" i="963"/>
  <c r="P28" i="963"/>
  <c r="Q28" i="963"/>
  <c r="N89" i="963"/>
  <c r="AF89" i="963"/>
  <c r="AG73" i="963" s="1"/>
  <c r="AE89" i="963"/>
  <c r="Q91" i="963"/>
  <c r="P91" i="963"/>
  <c r="Q23" i="962"/>
  <c r="P23" i="962"/>
  <c r="N106" i="962"/>
  <c r="AB106" i="962"/>
  <c r="AC90" i="962" s="1"/>
  <c r="AA106" i="962"/>
  <c r="Q129" i="962"/>
  <c r="P129" i="962"/>
  <c r="I3" i="961"/>
  <c r="F2" i="962"/>
  <c r="P24" i="963"/>
  <c r="Q24" i="963"/>
  <c r="Q125" i="962"/>
  <c r="P125" i="962"/>
  <c r="N38" i="963"/>
  <c r="AF38" i="963"/>
  <c r="AG22" i="963" s="1"/>
  <c r="AE38" i="963"/>
  <c r="Q45" i="962"/>
  <c r="P45" i="962"/>
  <c r="AF21" i="963"/>
  <c r="AG5" i="963" s="1"/>
  <c r="AE21" i="963"/>
  <c r="N21" i="963"/>
  <c r="N38" i="962"/>
  <c r="AB38" i="962"/>
  <c r="AC22" i="962" s="1"/>
  <c r="AA38" i="962"/>
  <c r="N89" i="962"/>
  <c r="AB89" i="962"/>
  <c r="AC73" i="962" s="1"/>
  <c r="AA89" i="962"/>
  <c r="Q137" i="962"/>
  <c r="P137" i="962"/>
  <c r="AF72" i="963"/>
  <c r="AG56" i="963" s="1"/>
  <c r="AE72" i="963"/>
  <c r="N72" i="963"/>
  <c r="Q41" i="962"/>
  <c r="P41" i="962"/>
  <c r="P43" i="962"/>
  <c r="Q43" i="962"/>
  <c r="AB72" i="962"/>
  <c r="AC56" i="962" s="1"/>
  <c r="AA72" i="962"/>
  <c r="N72" i="962"/>
  <c r="Q43" i="963"/>
  <c r="P43" i="963"/>
  <c r="N55" i="962"/>
  <c r="AB55" i="962"/>
  <c r="AC39" i="962" s="1"/>
  <c r="AA55" i="962"/>
  <c r="Q133" i="962"/>
  <c r="P133" i="962"/>
  <c r="P8" i="962"/>
  <c r="Q8" i="962"/>
  <c r="N140" i="962"/>
  <c r="AB140" i="962"/>
  <c r="AC124" i="962" s="1"/>
  <c r="AA140" i="962"/>
  <c r="Q55" i="963"/>
  <c r="R39" i="963" s="1"/>
  <c r="P55" i="963"/>
  <c r="AB9" i="962"/>
  <c r="AB57" i="962"/>
  <c r="AB61" i="962"/>
  <c r="G8" i="961"/>
  <c r="N7" i="962"/>
  <c r="AB39" i="962"/>
  <c r="AA43" i="962"/>
  <c r="AA56" i="962"/>
  <c r="N59" i="962"/>
  <c r="N63" i="962"/>
  <c r="AB90" i="962"/>
  <c r="N109" i="962"/>
  <c r="N113" i="962"/>
  <c r="N117" i="962"/>
  <c r="N7" i="963"/>
  <c r="N22" i="963"/>
  <c r="AE24" i="963"/>
  <c r="AE28" i="963"/>
  <c r="N59" i="963"/>
  <c r="N73" i="963"/>
  <c r="AA90" i="962"/>
  <c r="O89" i="963"/>
  <c r="AA8" i="962"/>
  <c r="M21" i="962"/>
  <c r="P22" i="962"/>
  <c r="P42" i="962"/>
  <c r="AB43" i="962"/>
  <c r="P46" i="962"/>
  <c r="AB56" i="962"/>
  <c r="AA60" i="962"/>
  <c r="AA73" i="962"/>
  <c r="AA110" i="962"/>
  <c r="AA114" i="962"/>
  <c r="AA118" i="962"/>
  <c r="M123" i="962"/>
  <c r="N128" i="962"/>
  <c r="N132" i="962"/>
  <c r="N136" i="962"/>
  <c r="P23" i="963"/>
  <c r="AF24" i="963"/>
  <c r="P27" i="963"/>
  <c r="AF28" i="963"/>
  <c r="AE39" i="963"/>
  <c r="M123" i="963"/>
  <c r="AA39" i="962"/>
  <c r="O55" i="962"/>
  <c r="AB111" i="962"/>
  <c r="AB115" i="962"/>
  <c r="AB119" i="962"/>
  <c r="AF57" i="963"/>
  <c r="AF108" i="963"/>
  <c r="AB8" i="962"/>
  <c r="AA23" i="962"/>
  <c r="AB73" i="962"/>
  <c r="AA125" i="962"/>
  <c r="AA129" i="962"/>
  <c r="AA133" i="962"/>
  <c r="AA137" i="962"/>
  <c r="N26" i="963"/>
  <c r="AF39" i="963"/>
  <c r="AE43" i="963"/>
  <c r="AE55" i="963"/>
  <c r="AE91" i="963"/>
  <c r="AF55" i="963"/>
  <c r="AG39" i="963" s="1"/>
  <c r="N5" i="962"/>
  <c r="N107" i="962"/>
  <c r="AA124" i="962"/>
  <c r="N127" i="962"/>
  <c r="N131" i="962"/>
  <c r="N135" i="962"/>
  <c r="N5" i="963"/>
  <c r="N41" i="963"/>
  <c r="N9" i="962"/>
  <c r="N39" i="962"/>
  <c r="N57" i="962"/>
  <c r="N61" i="962"/>
  <c r="N90" i="962"/>
  <c r="N111" i="962"/>
  <c r="N115" i="962"/>
  <c r="N119" i="962"/>
  <c r="AF22" i="963"/>
  <c r="N57" i="963"/>
  <c r="AF73" i="963"/>
  <c r="N108" i="963"/>
  <c r="P40" i="962"/>
  <c r="P44" i="962"/>
  <c r="P25" i="963"/>
  <c r="N73" i="962"/>
  <c r="AA127" i="962"/>
  <c r="AA131" i="962"/>
  <c r="AA135" i="962"/>
  <c r="AE41" i="963"/>
  <c r="H1" i="962"/>
  <c r="AA5" i="962"/>
  <c r="P56" i="962"/>
  <c r="AA107" i="962"/>
  <c r="P126" i="962"/>
  <c r="P130" i="962"/>
  <c r="P134" i="962"/>
  <c r="AE5" i="963"/>
  <c r="P40" i="963"/>
  <c r="P44" i="963"/>
  <c r="AF5" i="963"/>
  <c r="Q126" i="959"/>
  <c r="P126" i="959"/>
  <c r="Q134" i="959"/>
  <c r="P134" i="959"/>
  <c r="P8" i="959"/>
  <c r="Q8" i="959"/>
  <c r="P110" i="959"/>
  <c r="Q110" i="959"/>
  <c r="Q115" i="959"/>
  <c r="P115" i="959"/>
  <c r="Q129" i="959"/>
  <c r="P129" i="959"/>
  <c r="Q23" i="959"/>
  <c r="P23" i="959"/>
  <c r="P60" i="959"/>
  <c r="Q60" i="959"/>
  <c r="Q9" i="959"/>
  <c r="P9" i="959"/>
  <c r="Q111" i="959"/>
  <c r="P111" i="959"/>
  <c r="P118" i="959"/>
  <c r="Q118" i="959"/>
  <c r="N72" i="959"/>
  <c r="AB72" i="959"/>
  <c r="AC56" i="959" s="1"/>
  <c r="AA72" i="959"/>
  <c r="Q130" i="959"/>
  <c r="P130" i="959"/>
  <c r="AF21" i="960"/>
  <c r="AG5" i="960" s="1"/>
  <c r="AE21" i="960"/>
  <c r="N21" i="960"/>
  <c r="Q137" i="959"/>
  <c r="P137" i="959"/>
  <c r="Q45" i="959"/>
  <c r="P45" i="959"/>
  <c r="P43" i="959"/>
  <c r="Q43" i="959"/>
  <c r="Q125" i="959"/>
  <c r="P125" i="959"/>
  <c r="Q133" i="959"/>
  <c r="P133" i="959"/>
  <c r="N140" i="959"/>
  <c r="AB140" i="959"/>
  <c r="AC124" i="959" s="1"/>
  <c r="AA140" i="959"/>
  <c r="Q124" i="960"/>
  <c r="P124" i="960"/>
  <c r="Q91" i="960"/>
  <c r="P91" i="960"/>
  <c r="Q41" i="959"/>
  <c r="P41" i="959"/>
  <c r="N89" i="960"/>
  <c r="AF89" i="960"/>
  <c r="AG73" i="960" s="1"/>
  <c r="AE89" i="960"/>
  <c r="P114" i="959"/>
  <c r="Q114" i="959"/>
  <c r="Q119" i="959"/>
  <c r="P119" i="959"/>
  <c r="P108" i="960"/>
  <c r="Q108" i="960"/>
  <c r="Q107" i="960"/>
  <c r="P107" i="960"/>
  <c r="N38" i="959"/>
  <c r="AB38" i="959"/>
  <c r="AC22" i="959" s="1"/>
  <c r="AA38" i="959"/>
  <c r="P59" i="960"/>
  <c r="Q59" i="960"/>
  <c r="N106" i="959"/>
  <c r="AA106" i="959"/>
  <c r="AB106" i="959"/>
  <c r="AC90" i="959" s="1"/>
  <c r="N55" i="959"/>
  <c r="AB55" i="959"/>
  <c r="AC39" i="959" s="1"/>
  <c r="AA55" i="959"/>
  <c r="Q57" i="959"/>
  <c r="P57" i="959"/>
  <c r="P89" i="959"/>
  <c r="Q89" i="959"/>
  <c r="R73" i="959" s="1"/>
  <c r="N7" i="959"/>
  <c r="AB39" i="959"/>
  <c r="AA43" i="959"/>
  <c r="AA56" i="959"/>
  <c r="N59" i="959"/>
  <c r="N63" i="959"/>
  <c r="AB90" i="959"/>
  <c r="N109" i="959"/>
  <c r="N113" i="959"/>
  <c r="N117" i="959"/>
  <c r="AB126" i="959"/>
  <c r="AB130" i="959"/>
  <c r="N7" i="960"/>
  <c r="N22" i="960"/>
  <c r="M38" i="960"/>
  <c r="N58" i="960"/>
  <c r="K8" i="958"/>
  <c r="AA8" i="959"/>
  <c r="M21" i="959"/>
  <c r="P22" i="959"/>
  <c r="P42" i="959"/>
  <c r="AB43" i="959"/>
  <c r="P46" i="959"/>
  <c r="AB56" i="959"/>
  <c r="AA60" i="959"/>
  <c r="AA73" i="959"/>
  <c r="AA89" i="959"/>
  <c r="AA110" i="959"/>
  <c r="AA114" i="959"/>
  <c r="AA118" i="959"/>
  <c r="M123" i="959"/>
  <c r="P124" i="959"/>
  <c r="N128" i="959"/>
  <c r="N132" i="959"/>
  <c r="N136" i="959"/>
  <c r="P23" i="960"/>
  <c r="N40" i="960"/>
  <c r="P76" i="960"/>
  <c r="P90" i="960"/>
  <c r="N140" i="960"/>
  <c r="AB8" i="959"/>
  <c r="AA23" i="959"/>
  <c r="AB60" i="959"/>
  <c r="AB89" i="959"/>
  <c r="AC73" i="959" s="1"/>
  <c r="AB110" i="959"/>
  <c r="AB114" i="959"/>
  <c r="AB118" i="959"/>
  <c r="AA125" i="959"/>
  <c r="AA129" i="959"/>
  <c r="AA133" i="959"/>
  <c r="AA137" i="959"/>
  <c r="O38" i="960"/>
  <c r="M55" i="960"/>
  <c r="AF59" i="960"/>
  <c r="N75" i="960"/>
  <c r="AE91" i="960"/>
  <c r="AF108" i="960"/>
  <c r="N126" i="960"/>
  <c r="AB23" i="959"/>
  <c r="AA42" i="959"/>
  <c r="AA46" i="959"/>
  <c r="N5" i="959"/>
  <c r="AA7" i="959"/>
  <c r="AA59" i="959"/>
  <c r="AA63" i="959"/>
  <c r="N107" i="959"/>
  <c r="AA109" i="959"/>
  <c r="AA113" i="959"/>
  <c r="AA117" i="959"/>
  <c r="AA124" i="959"/>
  <c r="N127" i="959"/>
  <c r="N131" i="959"/>
  <c r="N135" i="959"/>
  <c r="N5" i="960"/>
  <c r="AE7" i="960"/>
  <c r="P26" i="960"/>
  <c r="P39" i="960"/>
  <c r="N43" i="960"/>
  <c r="N56" i="960"/>
  <c r="AE58" i="960"/>
  <c r="M72" i="960"/>
  <c r="M123" i="960"/>
  <c r="P6" i="959"/>
  <c r="P10" i="959"/>
  <c r="AB22" i="959"/>
  <c r="N40" i="959"/>
  <c r="N44" i="959"/>
  <c r="P58" i="959"/>
  <c r="P62" i="959"/>
  <c r="P108" i="959"/>
  <c r="P112" i="959"/>
  <c r="P116" i="959"/>
  <c r="P120" i="959"/>
  <c r="AB124" i="959"/>
  <c r="AA128" i="959"/>
  <c r="AA132" i="959"/>
  <c r="AA136" i="959"/>
  <c r="P6" i="960"/>
  <c r="AE22" i="960"/>
  <c r="AE40" i="960"/>
  <c r="P57" i="960"/>
  <c r="N74" i="960"/>
  <c r="N39" i="959"/>
  <c r="N61" i="959"/>
  <c r="N90" i="959"/>
  <c r="AE26" i="960"/>
  <c r="N60" i="960"/>
  <c r="N73" i="960"/>
  <c r="AE75" i="960"/>
  <c r="N109" i="960"/>
  <c r="AE126" i="960"/>
  <c r="AE6" i="960"/>
  <c r="AE39" i="960"/>
  <c r="AA127" i="959"/>
  <c r="AA131" i="959"/>
  <c r="AA135" i="959"/>
  <c r="AE43" i="960"/>
  <c r="M106" i="960"/>
  <c r="AA5" i="959"/>
  <c r="AA40" i="959"/>
  <c r="AA44" i="959"/>
  <c r="P56" i="959"/>
  <c r="AA107" i="959"/>
  <c r="AE5" i="960"/>
  <c r="AE56" i="960"/>
  <c r="AE74" i="960"/>
  <c r="AE140" i="960"/>
  <c r="AF5" i="960"/>
  <c r="AB21" i="956"/>
  <c r="AC5" i="956" s="1"/>
  <c r="AA21" i="956"/>
  <c r="N21" i="956"/>
  <c r="Q41" i="956"/>
  <c r="P41" i="956"/>
  <c r="P115" i="956"/>
  <c r="Q115" i="956"/>
  <c r="Q124" i="957"/>
  <c r="P124" i="957"/>
  <c r="Q45" i="956"/>
  <c r="P45" i="956"/>
  <c r="Q131" i="956"/>
  <c r="P131" i="956"/>
  <c r="N106" i="957"/>
  <c r="AF106" i="957"/>
  <c r="AG90" i="957" s="1"/>
  <c r="AE106" i="957"/>
  <c r="P111" i="956"/>
  <c r="Q111" i="956"/>
  <c r="N55" i="957"/>
  <c r="AF55" i="957"/>
  <c r="AG39" i="957" s="1"/>
  <c r="AE55" i="957"/>
  <c r="Q43" i="957"/>
  <c r="P43" i="957"/>
  <c r="N72" i="957"/>
  <c r="AF72" i="957"/>
  <c r="AG56" i="957" s="1"/>
  <c r="AE72" i="957"/>
  <c r="P61" i="956"/>
  <c r="Q61" i="956"/>
  <c r="Q5" i="957"/>
  <c r="P5" i="957"/>
  <c r="Q127" i="956"/>
  <c r="P127" i="956"/>
  <c r="Q125" i="957"/>
  <c r="P125" i="957"/>
  <c r="P9" i="956"/>
  <c r="Q9" i="956"/>
  <c r="Q107" i="956"/>
  <c r="P107" i="956"/>
  <c r="Q135" i="956"/>
  <c r="P135" i="956"/>
  <c r="N123" i="957"/>
  <c r="AF123" i="957"/>
  <c r="AG107" i="957" s="1"/>
  <c r="AE123" i="957"/>
  <c r="P57" i="956"/>
  <c r="Q57" i="956"/>
  <c r="P119" i="956"/>
  <c r="Q119" i="956"/>
  <c r="P39" i="956"/>
  <c r="Q39" i="956"/>
  <c r="N106" i="956"/>
  <c r="AB106" i="956"/>
  <c r="AC90" i="956" s="1"/>
  <c r="AA106" i="956"/>
  <c r="Q109" i="957"/>
  <c r="P109" i="957"/>
  <c r="P60" i="957"/>
  <c r="Q60" i="957"/>
  <c r="N89" i="957"/>
  <c r="AF89" i="957"/>
  <c r="AG73" i="957" s="1"/>
  <c r="AE89" i="957"/>
  <c r="E8" i="955"/>
  <c r="H1" i="956"/>
  <c r="N8" i="956"/>
  <c r="M55" i="956"/>
  <c r="N60" i="956"/>
  <c r="AA107" i="956"/>
  <c r="N110" i="956"/>
  <c r="N114" i="956"/>
  <c r="N118" i="956"/>
  <c r="AB127" i="956"/>
  <c r="AB131" i="956"/>
  <c r="AE5" i="957"/>
  <c r="AF43" i="957"/>
  <c r="AE56" i="957"/>
  <c r="N59" i="957"/>
  <c r="AA9" i="956"/>
  <c r="N23" i="956"/>
  <c r="AA57" i="956"/>
  <c r="AA61" i="956"/>
  <c r="M72" i="956"/>
  <c r="N125" i="956"/>
  <c r="N129" i="956"/>
  <c r="N133" i="956"/>
  <c r="N137" i="956"/>
  <c r="M21" i="957"/>
  <c r="AF56" i="957"/>
  <c r="AE60" i="957"/>
  <c r="N7" i="956"/>
  <c r="AB39" i="956"/>
  <c r="AA43" i="956"/>
  <c r="AA56" i="956"/>
  <c r="N59" i="956"/>
  <c r="N63" i="956"/>
  <c r="AB90" i="956"/>
  <c r="N109" i="956"/>
  <c r="N113" i="956"/>
  <c r="N117" i="956"/>
  <c r="N7" i="957"/>
  <c r="N22" i="957"/>
  <c r="AE24" i="957"/>
  <c r="M38" i="957"/>
  <c r="N58" i="957"/>
  <c r="AF73" i="957"/>
  <c r="AE77" i="957"/>
  <c r="AE107" i="957"/>
  <c r="AA8" i="956"/>
  <c r="AA60" i="956"/>
  <c r="AA73" i="956"/>
  <c r="AA110" i="956"/>
  <c r="AA114" i="956"/>
  <c r="AA118" i="956"/>
  <c r="M123" i="956"/>
  <c r="N128" i="956"/>
  <c r="N132" i="956"/>
  <c r="N136" i="956"/>
  <c r="AE59" i="957"/>
  <c r="AE90" i="957"/>
  <c r="AF107" i="957"/>
  <c r="AA23" i="956"/>
  <c r="AA125" i="956"/>
  <c r="AA129" i="956"/>
  <c r="AA133" i="956"/>
  <c r="AA137" i="956"/>
  <c r="N26" i="957"/>
  <c r="O38" i="957"/>
  <c r="N39" i="957"/>
  <c r="N75" i="957"/>
  <c r="AF90" i="957"/>
  <c r="AA42" i="956"/>
  <c r="AA46" i="956"/>
  <c r="AE23" i="957"/>
  <c r="AE126" i="957"/>
  <c r="AA7" i="956"/>
  <c r="AA59" i="956"/>
  <c r="AA63" i="956"/>
  <c r="AA109" i="956"/>
  <c r="AA113" i="956"/>
  <c r="AA117" i="956"/>
  <c r="AA124" i="956"/>
  <c r="AE7" i="957"/>
  <c r="N56" i="957"/>
  <c r="AE58" i="957"/>
  <c r="AA128" i="956"/>
  <c r="AA132" i="956"/>
  <c r="AA136" i="956"/>
  <c r="AE22" i="957"/>
  <c r="N90" i="956"/>
  <c r="N73" i="957"/>
  <c r="P45" i="953"/>
  <c r="Q45" i="953"/>
  <c r="Q58" i="953"/>
  <c r="P58" i="953"/>
  <c r="Q116" i="953"/>
  <c r="P116" i="953"/>
  <c r="P58" i="954"/>
  <c r="Q58" i="954"/>
  <c r="AA72" i="953"/>
  <c r="N72" i="953"/>
  <c r="AB72" i="953"/>
  <c r="AC56" i="953" s="1"/>
  <c r="P23" i="954"/>
  <c r="Q23" i="954"/>
  <c r="N89" i="954"/>
  <c r="AF89" i="954"/>
  <c r="AG73" i="954" s="1"/>
  <c r="AE89" i="954"/>
  <c r="Q10" i="953"/>
  <c r="P10" i="953"/>
  <c r="Q63" i="953"/>
  <c r="P63" i="953"/>
  <c r="N21" i="954"/>
  <c r="AF21" i="954"/>
  <c r="AG5" i="954" s="1"/>
  <c r="AE21" i="954"/>
  <c r="N123" i="953"/>
  <c r="AB123" i="953"/>
  <c r="AC107" i="953" s="1"/>
  <c r="AA123" i="953"/>
  <c r="Q109" i="953"/>
  <c r="P109" i="953"/>
  <c r="Q124" i="953"/>
  <c r="P124" i="953"/>
  <c r="Q41" i="954"/>
  <c r="P41" i="954"/>
  <c r="N21" i="953"/>
  <c r="AB21" i="953"/>
  <c r="AC5" i="953" s="1"/>
  <c r="AA21" i="953"/>
  <c r="Q112" i="953"/>
  <c r="P112" i="953"/>
  <c r="P128" i="953"/>
  <c r="Q128" i="953"/>
  <c r="Q6" i="953"/>
  <c r="P6" i="953"/>
  <c r="Q59" i="953"/>
  <c r="P59" i="953"/>
  <c r="Q117" i="953"/>
  <c r="P117" i="953"/>
  <c r="P132" i="953"/>
  <c r="Q132" i="953"/>
  <c r="P136" i="953"/>
  <c r="Q136" i="953"/>
  <c r="P41" i="953"/>
  <c r="Q41" i="953"/>
  <c r="Q62" i="953"/>
  <c r="P62" i="953"/>
  <c r="Q120" i="953"/>
  <c r="P120" i="953"/>
  <c r="Q108" i="953"/>
  <c r="P108" i="953"/>
  <c r="N38" i="954"/>
  <c r="AF38" i="954"/>
  <c r="AG22" i="954" s="1"/>
  <c r="AE38" i="954"/>
  <c r="Q22" i="953"/>
  <c r="P22" i="953"/>
  <c r="Q113" i="953"/>
  <c r="P113" i="953"/>
  <c r="P7" i="954"/>
  <c r="Q7" i="954"/>
  <c r="Q40" i="954"/>
  <c r="P40" i="954"/>
  <c r="Q91" i="954"/>
  <c r="P91" i="954"/>
  <c r="Q107" i="954"/>
  <c r="P107" i="954"/>
  <c r="N40" i="953"/>
  <c r="N44" i="953"/>
  <c r="AB109" i="953"/>
  <c r="N6" i="954"/>
  <c r="N57" i="954"/>
  <c r="N9" i="953"/>
  <c r="N39" i="953"/>
  <c r="AA41" i="953"/>
  <c r="AA45" i="953"/>
  <c r="N57" i="953"/>
  <c r="N61" i="953"/>
  <c r="N90" i="953"/>
  <c r="M106" i="953"/>
  <c r="N111" i="953"/>
  <c r="N115" i="953"/>
  <c r="N119" i="953"/>
  <c r="AB128" i="953"/>
  <c r="AB132" i="953"/>
  <c r="AB136" i="953"/>
  <c r="N5" i="954"/>
  <c r="AE7" i="954"/>
  <c r="AF23" i="954"/>
  <c r="P39" i="954"/>
  <c r="N43" i="954"/>
  <c r="N56" i="954"/>
  <c r="AE58" i="954"/>
  <c r="M72" i="954"/>
  <c r="AA6" i="953"/>
  <c r="AA10" i="953"/>
  <c r="AB41" i="953"/>
  <c r="AA120" i="953"/>
  <c r="H1" i="954"/>
  <c r="AF7" i="954"/>
  <c r="AE22" i="954"/>
  <c r="N25" i="954"/>
  <c r="AF58" i="954"/>
  <c r="N74" i="954"/>
  <c r="AE91" i="954"/>
  <c r="N126" i="954"/>
  <c r="AB6" i="953"/>
  <c r="M38" i="953"/>
  <c r="N43" i="953"/>
  <c r="N73" i="953"/>
  <c r="M89" i="953"/>
  <c r="AB120" i="953"/>
  <c r="AF22" i="954"/>
  <c r="AF40" i="954"/>
  <c r="AA40" i="953"/>
  <c r="AA44" i="953"/>
  <c r="M55" i="953"/>
  <c r="N60" i="953"/>
  <c r="AA107" i="953"/>
  <c r="N110" i="953"/>
  <c r="N114" i="953"/>
  <c r="N118" i="953"/>
  <c r="AE6" i="954"/>
  <c r="AE57" i="954"/>
  <c r="AA9" i="953"/>
  <c r="N23" i="953"/>
  <c r="AA57" i="953"/>
  <c r="AA61" i="953"/>
  <c r="AA111" i="953"/>
  <c r="AA115" i="953"/>
  <c r="AA119" i="953"/>
  <c r="M140" i="953"/>
  <c r="N24" i="954"/>
  <c r="AE43" i="954"/>
  <c r="N125" i="954"/>
  <c r="AA39" i="953"/>
  <c r="N42" i="953"/>
  <c r="N46" i="953"/>
  <c r="AA90" i="953"/>
  <c r="AE5" i="954"/>
  <c r="AE25" i="954"/>
  <c r="P42" i="954"/>
  <c r="AE56" i="954"/>
  <c r="AE74" i="954"/>
  <c r="AE126" i="954"/>
  <c r="AA43" i="953"/>
  <c r="P125" i="953"/>
  <c r="AF5" i="954"/>
  <c r="AA8" i="953"/>
  <c r="AA60" i="953"/>
  <c r="AA73" i="953"/>
  <c r="AA110" i="953"/>
  <c r="AA114" i="953"/>
  <c r="AA118" i="953"/>
  <c r="M106" i="954"/>
  <c r="AA23" i="953"/>
  <c r="AA133" i="953"/>
  <c r="AA137" i="953"/>
  <c r="N22" i="954"/>
  <c r="AE24" i="954"/>
  <c r="AE125" i="954"/>
  <c r="Q6" i="950"/>
  <c r="P6" i="950"/>
  <c r="N21" i="951"/>
  <c r="AF21" i="951"/>
  <c r="AG5" i="951" s="1"/>
  <c r="AE21" i="951"/>
  <c r="Q116" i="950"/>
  <c r="P116" i="950"/>
  <c r="Q124" i="951"/>
  <c r="P124" i="951"/>
  <c r="F2" i="950"/>
  <c r="Q114" i="950"/>
  <c r="P114" i="950"/>
  <c r="Q42" i="951"/>
  <c r="P42" i="951"/>
  <c r="Q110" i="950"/>
  <c r="P110" i="950"/>
  <c r="Q107" i="951"/>
  <c r="P107" i="951"/>
  <c r="Q60" i="950"/>
  <c r="P60" i="950"/>
  <c r="Q112" i="950"/>
  <c r="P112" i="950"/>
  <c r="Q40" i="951"/>
  <c r="P40" i="951"/>
  <c r="Q91" i="951"/>
  <c r="P91" i="951"/>
  <c r="N55" i="950"/>
  <c r="AE55" i="950"/>
  <c r="AF55" i="950"/>
  <c r="AG39" i="950" s="1"/>
  <c r="Q62" i="950"/>
  <c r="P62" i="950"/>
  <c r="Q108" i="950"/>
  <c r="P108" i="950"/>
  <c r="Q127" i="950"/>
  <c r="P127" i="950"/>
  <c r="Q131" i="950"/>
  <c r="P131" i="950"/>
  <c r="Q58" i="950"/>
  <c r="P58" i="950"/>
  <c r="Q115" i="950"/>
  <c r="P115" i="950"/>
  <c r="Q41" i="951"/>
  <c r="P41" i="951"/>
  <c r="N38" i="951"/>
  <c r="AF38" i="951"/>
  <c r="AG22" i="951" s="1"/>
  <c r="AE38" i="951"/>
  <c r="Q8" i="950"/>
  <c r="P8" i="950"/>
  <c r="Q10" i="950"/>
  <c r="P10" i="950"/>
  <c r="Q118" i="950"/>
  <c r="P118" i="950"/>
  <c r="Q120" i="950"/>
  <c r="P120" i="950"/>
  <c r="AF39" i="950"/>
  <c r="K38" i="950"/>
  <c r="M72" i="950"/>
  <c r="AF128" i="950"/>
  <c r="M55" i="951"/>
  <c r="K72" i="951"/>
  <c r="AE124" i="950"/>
  <c r="N135" i="950"/>
  <c r="AE42" i="950"/>
  <c r="AE46" i="950"/>
  <c r="N6" i="951"/>
  <c r="N7" i="950"/>
  <c r="M38" i="950"/>
  <c r="N59" i="950"/>
  <c r="N63" i="950"/>
  <c r="N73" i="950"/>
  <c r="M89" i="950"/>
  <c r="N109" i="950"/>
  <c r="N113" i="950"/>
  <c r="N117" i="950"/>
  <c r="AE127" i="950"/>
  <c r="AE131" i="950"/>
  <c r="AE135" i="950"/>
  <c r="M140" i="950"/>
  <c r="N5" i="951"/>
  <c r="AE7" i="951"/>
  <c r="N43" i="951"/>
  <c r="N56" i="951"/>
  <c r="AE58" i="951"/>
  <c r="M72" i="951"/>
  <c r="AE108" i="951"/>
  <c r="AE118" i="950"/>
  <c r="M123" i="950"/>
  <c r="AF127" i="950"/>
  <c r="AF131" i="950"/>
  <c r="AE22" i="951"/>
  <c r="AE40" i="951"/>
  <c r="AE91" i="951"/>
  <c r="AF22" i="951"/>
  <c r="AF40" i="951"/>
  <c r="AF91" i="951"/>
  <c r="AE107" i="951"/>
  <c r="AF114" i="950"/>
  <c r="N22" i="950"/>
  <c r="N124" i="950"/>
  <c r="AE126" i="950"/>
  <c r="AE130" i="950"/>
  <c r="AE134" i="950"/>
  <c r="AE6" i="951"/>
  <c r="AE39" i="951"/>
  <c r="AE57" i="951"/>
  <c r="P74" i="951"/>
  <c r="AF107" i="951"/>
  <c r="M123" i="951"/>
  <c r="M106" i="950"/>
  <c r="AE7" i="950"/>
  <c r="AE59" i="950"/>
  <c r="AE63" i="950"/>
  <c r="O106" i="950"/>
  <c r="AE109" i="950"/>
  <c r="AE113" i="950"/>
  <c r="AE117" i="950"/>
  <c r="P129" i="950"/>
  <c r="AE43" i="951"/>
  <c r="P60" i="951"/>
  <c r="N39" i="950"/>
  <c r="AF110" i="950"/>
  <c r="AE73" i="950"/>
  <c r="AE5" i="951"/>
  <c r="AE56" i="951"/>
  <c r="N59" i="951"/>
  <c r="AE74" i="951"/>
  <c r="N109" i="951"/>
  <c r="AE126" i="951"/>
  <c r="AF8" i="950"/>
  <c r="N23" i="950"/>
  <c r="AF60" i="950"/>
  <c r="N90" i="950"/>
  <c r="AF118" i="950"/>
  <c r="AF5" i="951"/>
  <c r="M106" i="951"/>
  <c r="Q62" i="947"/>
  <c r="P62" i="947"/>
  <c r="Q120" i="947"/>
  <c r="P120" i="947"/>
  <c r="Q91" i="948"/>
  <c r="P91" i="948"/>
  <c r="AF140" i="948"/>
  <c r="AG124" i="948" s="1"/>
  <c r="AE140" i="948"/>
  <c r="N140" i="948"/>
  <c r="AB21" i="947"/>
  <c r="AC5" i="947" s="1"/>
  <c r="AA21" i="947"/>
  <c r="N21" i="947"/>
  <c r="Q108" i="947"/>
  <c r="P108" i="947"/>
  <c r="Q129" i="947"/>
  <c r="P129" i="947"/>
  <c r="Q136" i="947"/>
  <c r="P136" i="947"/>
  <c r="Q45" i="947"/>
  <c r="P45" i="947"/>
  <c r="Q113" i="947"/>
  <c r="P113" i="947"/>
  <c r="Q7" i="948"/>
  <c r="P7" i="948"/>
  <c r="Q107" i="948"/>
  <c r="P107" i="948"/>
  <c r="Q7" i="947"/>
  <c r="P7" i="947"/>
  <c r="Q125" i="947"/>
  <c r="P125" i="947"/>
  <c r="N38" i="948"/>
  <c r="AF38" i="948"/>
  <c r="AG22" i="948" s="1"/>
  <c r="AE38" i="948"/>
  <c r="Q10" i="947"/>
  <c r="P10" i="947"/>
  <c r="AB123" i="947"/>
  <c r="AC107" i="947" s="1"/>
  <c r="AA123" i="947"/>
  <c r="N123" i="947"/>
  <c r="Q116" i="947"/>
  <c r="P116" i="947"/>
  <c r="Q132" i="947"/>
  <c r="P132" i="947"/>
  <c r="Q56" i="948"/>
  <c r="P56" i="948"/>
  <c r="Q44" i="948"/>
  <c r="P44" i="948"/>
  <c r="Q63" i="947"/>
  <c r="P63" i="947"/>
  <c r="Q137" i="947"/>
  <c r="P137" i="947"/>
  <c r="N89" i="948"/>
  <c r="AF89" i="948"/>
  <c r="AG73" i="948" s="1"/>
  <c r="AE89" i="948"/>
  <c r="Q108" i="948"/>
  <c r="P108" i="948"/>
  <c r="Q109" i="947"/>
  <c r="P109" i="947"/>
  <c r="Q128" i="947"/>
  <c r="P128" i="947"/>
  <c r="P23" i="948"/>
  <c r="Q23" i="948"/>
  <c r="Q40" i="948"/>
  <c r="P40" i="948"/>
  <c r="Q23" i="947"/>
  <c r="P23" i="947"/>
  <c r="Q112" i="947"/>
  <c r="P112" i="947"/>
  <c r="Q57" i="948"/>
  <c r="P57" i="948"/>
  <c r="Q6" i="947"/>
  <c r="P6" i="947"/>
  <c r="N21" i="948"/>
  <c r="AF21" i="948"/>
  <c r="AG5" i="948" s="1"/>
  <c r="AE21" i="948"/>
  <c r="Q59" i="947"/>
  <c r="P59" i="947"/>
  <c r="Q117" i="947"/>
  <c r="P117" i="947"/>
  <c r="Q133" i="947"/>
  <c r="P133" i="947"/>
  <c r="AB8" i="947"/>
  <c r="AA23" i="947"/>
  <c r="AB60" i="947"/>
  <c r="AB73" i="947"/>
  <c r="AB110" i="947"/>
  <c r="AB114" i="947"/>
  <c r="AB118" i="947"/>
  <c r="AA125" i="947"/>
  <c r="AA129" i="947"/>
  <c r="AA133" i="947"/>
  <c r="AA137" i="947"/>
  <c r="AB23" i="947"/>
  <c r="AA46" i="947"/>
  <c r="AB125" i="947"/>
  <c r="AB129" i="947"/>
  <c r="AB133" i="947"/>
  <c r="AB137" i="947"/>
  <c r="AE23" i="948"/>
  <c r="AA7" i="947"/>
  <c r="AA59" i="947"/>
  <c r="AA63" i="947"/>
  <c r="AA109" i="947"/>
  <c r="AA113" i="947"/>
  <c r="AA117" i="947"/>
  <c r="AA124" i="947"/>
  <c r="AF23" i="948"/>
  <c r="AE57" i="948"/>
  <c r="M72" i="948"/>
  <c r="AB7" i="947"/>
  <c r="AB109" i="947"/>
  <c r="AB113" i="947"/>
  <c r="AB117" i="947"/>
  <c r="AE22" i="948"/>
  <c r="N25" i="948"/>
  <c r="AE44" i="948"/>
  <c r="AF57" i="948"/>
  <c r="N74" i="948"/>
  <c r="AF108" i="948"/>
  <c r="N126" i="948"/>
  <c r="N9" i="947"/>
  <c r="N57" i="947"/>
  <c r="N61" i="947"/>
  <c r="N90" i="947"/>
  <c r="M106" i="947"/>
  <c r="N111" i="947"/>
  <c r="N115" i="947"/>
  <c r="N119" i="947"/>
  <c r="AB136" i="947"/>
  <c r="AF22" i="948"/>
  <c r="AF44" i="948"/>
  <c r="AE56" i="948"/>
  <c r="N59" i="948"/>
  <c r="N73" i="948"/>
  <c r="AE107" i="948"/>
  <c r="N126" i="947"/>
  <c r="N130" i="947"/>
  <c r="N134" i="947"/>
  <c r="N42" i="948"/>
  <c r="AF56" i="948"/>
  <c r="AF107" i="948"/>
  <c r="M123" i="948"/>
  <c r="M38" i="947"/>
  <c r="N43" i="947"/>
  <c r="N73" i="947"/>
  <c r="M89" i="947"/>
  <c r="AE43" i="948"/>
  <c r="AE106" i="948"/>
  <c r="N125" i="948"/>
  <c r="M55" i="947"/>
  <c r="AE25" i="948"/>
  <c r="N58" i="948"/>
  <c r="AE74" i="948"/>
  <c r="AF106" i="948"/>
  <c r="AG90" i="948" s="1"/>
  <c r="AE126" i="948"/>
  <c r="AB5" i="947"/>
  <c r="AA9" i="947"/>
  <c r="AA57" i="947"/>
  <c r="AA61" i="947"/>
  <c r="M72" i="947"/>
  <c r="AA111" i="947"/>
  <c r="AA39" i="947"/>
  <c r="AA90" i="947"/>
  <c r="AA126" i="947"/>
  <c r="AA130" i="947"/>
  <c r="AA134" i="947"/>
  <c r="M55" i="948"/>
  <c r="P109" i="948"/>
  <c r="AA43" i="947"/>
  <c r="AA56" i="947"/>
  <c r="N22" i="948"/>
  <c r="AE24" i="948"/>
  <c r="P41" i="948"/>
  <c r="AF73" i="948"/>
  <c r="Q109" i="944"/>
  <c r="P109" i="944"/>
  <c r="Q63" i="944"/>
  <c r="P63" i="944"/>
  <c r="Q136" i="944"/>
  <c r="P136" i="944"/>
  <c r="Q44" i="945"/>
  <c r="P44" i="945"/>
  <c r="Q56" i="945"/>
  <c r="P56" i="945"/>
  <c r="N89" i="945"/>
  <c r="AF89" i="945"/>
  <c r="AG73" i="945" s="1"/>
  <c r="AE89" i="945"/>
  <c r="AB21" i="944"/>
  <c r="AC5" i="944" s="1"/>
  <c r="AA21" i="944"/>
  <c r="N21" i="944"/>
  <c r="Q129" i="944"/>
  <c r="P129" i="944"/>
  <c r="Q40" i="945"/>
  <c r="P40" i="945"/>
  <c r="P22" i="944"/>
  <c r="Q22" i="944"/>
  <c r="Q7" i="945"/>
  <c r="P7" i="945"/>
  <c r="N38" i="945"/>
  <c r="AF38" i="945"/>
  <c r="AG22" i="945" s="1"/>
  <c r="AE38" i="945"/>
  <c r="Q42" i="945"/>
  <c r="P42" i="945"/>
  <c r="Q113" i="944"/>
  <c r="P113" i="944"/>
  <c r="N21" i="945"/>
  <c r="AF21" i="945"/>
  <c r="AG5" i="945" s="1"/>
  <c r="AE21" i="945"/>
  <c r="P124" i="944"/>
  <c r="Q124" i="944"/>
  <c r="Q23" i="944"/>
  <c r="P23" i="944"/>
  <c r="Q125" i="944"/>
  <c r="P125" i="944"/>
  <c r="Q132" i="944"/>
  <c r="P132" i="944"/>
  <c r="Q57" i="945"/>
  <c r="P57" i="945"/>
  <c r="AB123" i="944"/>
  <c r="AC107" i="944" s="1"/>
  <c r="AA123" i="944"/>
  <c r="N123" i="944"/>
  <c r="Q137" i="944"/>
  <c r="P137" i="944"/>
  <c r="Q7" i="944"/>
  <c r="P7" i="944"/>
  <c r="P46" i="944"/>
  <c r="Q46" i="944"/>
  <c r="P42" i="944"/>
  <c r="Q42" i="944"/>
  <c r="P128" i="944"/>
  <c r="Q128" i="944"/>
  <c r="Q91" i="945"/>
  <c r="P91" i="945"/>
  <c r="Q107" i="945"/>
  <c r="P107" i="945"/>
  <c r="Q133" i="944"/>
  <c r="P133" i="944"/>
  <c r="Q124" i="945"/>
  <c r="P124" i="945"/>
  <c r="AB8" i="944"/>
  <c r="AA23" i="944"/>
  <c r="AB60" i="944"/>
  <c r="AB73" i="944"/>
  <c r="AB110" i="944"/>
  <c r="AB114" i="944"/>
  <c r="AB118" i="944"/>
  <c r="AA133" i="944"/>
  <c r="AA137" i="944"/>
  <c r="AF58" i="945"/>
  <c r="N5" i="944"/>
  <c r="AA7" i="944"/>
  <c r="AA22" i="944"/>
  <c r="AB42" i="944"/>
  <c r="AB46" i="944"/>
  <c r="AA63" i="944"/>
  <c r="N107" i="944"/>
  <c r="AA109" i="944"/>
  <c r="AA113" i="944"/>
  <c r="AA124" i="944"/>
  <c r="N127" i="944"/>
  <c r="N131" i="944"/>
  <c r="N135" i="944"/>
  <c r="N5" i="945"/>
  <c r="AE7" i="945"/>
  <c r="N43" i="945"/>
  <c r="AE57" i="945"/>
  <c r="M72" i="945"/>
  <c r="N140" i="945"/>
  <c r="P58" i="944"/>
  <c r="H1" i="945"/>
  <c r="N9" i="944"/>
  <c r="N39" i="944"/>
  <c r="N57" i="944"/>
  <c r="N61" i="944"/>
  <c r="N90" i="944"/>
  <c r="M106" i="944"/>
  <c r="N111" i="944"/>
  <c r="N115" i="944"/>
  <c r="N119" i="944"/>
  <c r="AB128" i="944"/>
  <c r="AB132" i="944"/>
  <c r="AB136" i="944"/>
  <c r="Q6" i="945"/>
  <c r="AF22" i="945"/>
  <c r="AF40" i="945"/>
  <c r="AF44" i="945"/>
  <c r="AE56" i="945"/>
  <c r="N59" i="945"/>
  <c r="N73" i="945"/>
  <c r="AF91" i="945"/>
  <c r="AE107" i="945"/>
  <c r="N56" i="944"/>
  <c r="AA58" i="944"/>
  <c r="AA62" i="944"/>
  <c r="AA108" i="944"/>
  <c r="P25" i="945"/>
  <c r="AF56" i="945"/>
  <c r="P74" i="945"/>
  <c r="AF107" i="945"/>
  <c r="M123" i="945"/>
  <c r="P126" i="945"/>
  <c r="M38" i="944"/>
  <c r="M89" i="944"/>
  <c r="O106" i="944"/>
  <c r="AA127" i="944"/>
  <c r="AA131" i="944"/>
  <c r="AA135" i="944"/>
  <c r="M140" i="944"/>
  <c r="AE43" i="945"/>
  <c r="E8" i="943"/>
  <c r="AA5" i="944"/>
  <c r="N8" i="944"/>
  <c r="AA44" i="944"/>
  <c r="M55" i="944"/>
  <c r="N60" i="944"/>
  <c r="AA107" i="944"/>
  <c r="N110" i="944"/>
  <c r="N114" i="944"/>
  <c r="N118" i="944"/>
  <c r="P126" i="944"/>
  <c r="P130" i="944"/>
  <c r="P134" i="944"/>
  <c r="AE5" i="945"/>
  <c r="AE25" i="945"/>
  <c r="N58" i="945"/>
  <c r="AE74" i="945"/>
  <c r="N109" i="945"/>
  <c r="AE126" i="945"/>
  <c r="AB5" i="944"/>
  <c r="AA9" i="944"/>
  <c r="P43" i="944"/>
  <c r="AA57" i="944"/>
  <c r="AA61" i="944"/>
  <c r="M72" i="944"/>
  <c r="P73" i="944"/>
  <c r="AB107" i="944"/>
  <c r="AA111" i="944"/>
  <c r="AA115" i="944"/>
  <c r="AA119" i="944"/>
  <c r="AF5" i="945"/>
  <c r="AE59" i="945"/>
  <c r="AA39" i="944"/>
  <c r="AA90" i="944"/>
  <c r="AA130" i="944"/>
  <c r="M55" i="945"/>
  <c r="AE73" i="945"/>
  <c r="M106" i="945"/>
  <c r="AA43" i="944"/>
  <c r="AA56" i="944"/>
  <c r="N22" i="945"/>
  <c r="AF73" i="945"/>
  <c r="AE140" i="945"/>
  <c r="Q6" i="941"/>
  <c r="P6" i="941"/>
  <c r="Q10" i="941"/>
  <c r="P10" i="941"/>
  <c r="P131" i="941"/>
  <c r="Q131" i="941"/>
  <c r="P133" i="941"/>
  <c r="Q133" i="941"/>
  <c r="F2" i="941"/>
  <c r="P23" i="941"/>
  <c r="Q23" i="941"/>
  <c r="P42" i="941"/>
  <c r="Q42" i="941"/>
  <c r="Q63" i="941"/>
  <c r="P63" i="941"/>
  <c r="P107" i="941"/>
  <c r="Q107" i="941"/>
  <c r="N106" i="942"/>
  <c r="AF106" i="942"/>
  <c r="AG90" i="942" s="1"/>
  <c r="AE106" i="942"/>
  <c r="Q108" i="942"/>
  <c r="P108" i="942"/>
  <c r="P124" i="941"/>
  <c r="Q124" i="941"/>
  <c r="P127" i="941"/>
  <c r="Q127" i="941"/>
  <c r="P129" i="941"/>
  <c r="Q129" i="941"/>
  <c r="Q57" i="942"/>
  <c r="P57" i="942"/>
  <c r="Q125" i="942"/>
  <c r="P125" i="942"/>
  <c r="Q59" i="941"/>
  <c r="P59" i="941"/>
  <c r="N38" i="942"/>
  <c r="AF38" i="942"/>
  <c r="AG22" i="942" s="1"/>
  <c r="AE38" i="942"/>
  <c r="Q109" i="942"/>
  <c r="P109" i="942"/>
  <c r="P125" i="941"/>
  <c r="Q125" i="941"/>
  <c r="P135" i="941"/>
  <c r="Q135" i="941"/>
  <c r="P137" i="941"/>
  <c r="Q137" i="941"/>
  <c r="N21" i="942"/>
  <c r="AF21" i="942"/>
  <c r="AG5" i="942" s="1"/>
  <c r="AE21" i="942"/>
  <c r="Q7" i="942"/>
  <c r="P7" i="942"/>
  <c r="Q24" i="942"/>
  <c r="P24" i="942"/>
  <c r="Q58" i="942"/>
  <c r="P58" i="942"/>
  <c r="P22" i="941"/>
  <c r="Q22" i="941"/>
  <c r="Q46" i="941"/>
  <c r="P46" i="941"/>
  <c r="N89" i="941"/>
  <c r="AB89" i="941"/>
  <c r="AC73" i="941" s="1"/>
  <c r="AA89" i="941"/>
  <c r="Q110" i="941"/>
  <c r="P110" i="941"/>
  <c r="N123" i="942"/>
  <c r="AF123" i="942"/>
  <c r="AG107" i="942" s="1"/>
  <c r="AE123" i="942"/>
  <c r="AA23" i="941"/>
  <c r="N41" i="941"/>
  <c r="N45" i="941"/>
  <c r="AB73" i="941"/>
  <c r="P109" i="941"/>
  <c r="AB110" i="941"/>
  <c r="P113" i="941"/>
  <c r="P117" i="941"/>
  <c r="N123" i="941"/>
  <c r="AA125" i="941"/>
  <c r="AA129" i="941"/>
  <c r="AA133" i="941"/>
  <c r="AA137" i="941"/>
  <c r="N26" i="942"/>
  <c r="N39" i="942"/>
  <c r="N75" i="942"/>
  <c r="N90" i="942"/>
  <c r="AB23" i="941"/>
  <c r="AA42" i="941"/>
  <c r="AA46" i="941"/>
  <c r="N58" i="941"/>
  <c r="N62" i="941"/>
  <c r="N116" i="941"/>
  <c r="N120" i="941"/>
  <c r="AB125" i="941"/>
  <c r="P128" i="941"/>
  <c r="AB129" i="941"/>
  <c r="P132" i="941"/>
  <c r="AB133" i="941"/>
  <c r="P136" i="941"/>
  <c r="AB137" i="941"/>
  <c r="P40" i="942"/>
  <c r="P44" i="942"/>
  <c r="P56" i="942"/>
  <c r="P91" i="942"/>
  <c r="P107" i="942"/>
  <c r="AA22" i="941"/>
  <c r="AB42" i="941"/>
  <c r="AB46" i="941"/>
  <c r="AA63" i="941"/>
  <c r="AA109" i="941"/>
  <c r="AA113" i="941"/>
  <c r="AA117" i="941"/>
  <c r="AA124" i="941"/>
  <c r="N5" i="942"/>
  <c r="AE7" i="942"/>
  <c r="N43" i="942"/>
  <c r="AE57" i="942"/>
  <c r="M72" i="942"/>
  <c r="AE108" i="942"/>
  <c r="N140" i="942"/>
  <c r="AB59" i="941"/>
  <c r="AB63" i="941"/>
  <c r="P108" i="941"/>
  <c r="P112" i="941"/>
  <c r="AB124" i="941"/>
  <c r="H1" i="942"/>
  <c r="AF7" i="942"/>
  <c r="AE22" i="942"/>
  <c r="N25" i="942"/>
  <c r="AF57" i="942"/>
  <c r="N74" i="942"/>
  <c r="AF108" i="942"/>
  <c r="N126" i="942"/>
  <c r="AE26" i="942"/>
  <c r="AA45" i="941"/>
  <c r="AB21" i="941"/>
  <c r="AC5" i="941" s="1"/>
  <c r="P40" i="941"/>
  <c r="AB41" i="941"/>
  <c r="P44" i="941"/>
  <c r="N56" i="941"/>
  <c r="AA58" i="941"/>
  <c r="AA62" i="941"/>
  <c r="N106" i="941"/>
  <c r="AB123" i="941"/>
  <c r="AC107" i="941" s="1"/>
  <c r="N126" i="941"/>
  <c r="N130" i="941"/>
  <c r="N134" i="941"/>
  <c r="AE39" i="942"/>
  <c r="N42" i="942"/>
  <c r="AF75" i="942"/>
  <c r="AE90" i="942"/>
  <c r="AF107" i="942"/>
  <c r="P9" i="941"/>
  <c r="M38" i="941"/>
  <c r="P39" i="941"/>
  <c r="P57" i="941"/>
  <c r="P61" i="941"/>
  <c r="N73" i="941"/>
  <c r="P90" i="941"/>
  <c r="P111" i="941"/>
  <c r="P115" i="941"/>
  <c r="P119" i="941"/>
  <c r="M140" i="941"/>
  <c r="AF39" i="942"/>
  <c r="AE43" i="942"/>
  <c r="P59" i="942"/>
  <c r="P73" i="942"/>
  <c r="AF90" i="942"/>
  <c r="AA44" i="941"/>
  <c r="M55" i="941"/>
  <c r="AE5" i="942"/>
  <c r="AE25" i="942"/>
  <c r="AE74" i="942"/>
  <c r="AE126" i="942"/>
  <c r="AA9" i="941"/>
  <c r="P43" i="941"/>
  <c r="AA57" i="941"/>
  <c r="AA61" i="941"/>
  <c r="M72" i="941"/>
  <c r="AF5" i="942"/>
  <c r="P8" i="941"/>
  <c r="AA39" i="941"/>
  <c r="P60" i="941"/>
  <c r="AA90" i="941"/>
  <c r="AA106" i="941"/>
  <c r="P118" i="941"/>
  <c r="AA126" i="941"/>
  <c r="AA130" i="941"/>
  <c r="AA134" i="941"/>
  <c r="AE42" i="942"/>
  <c r="N22" i="942"/>
  <c r="AE140" i="942"/>
  <c r="P109" i="963" l="1"/>
  <c r="Q109" i="963"/>
  <c r="P58" i="963"/>
  <c r="Q58" i="963"/>
  <c r="P42" i="963"/>
  <c r="Q42" i="963"/>
  <c r="P6" i="963"/>
  <c r="Q6" i="963"/>
  <c r="P120" i="962"/>
  <c r="Q120" i="962"/>
  <c r="P118" i="962"/>
  <c r="Q118" i="962"/>
  <c r="P114" i="962"/>
  <c r="Q114" i="962"/>
  <c r="P112" i="962"/>
  <c r="Q112" i="962"/>
  <c r="P110" i="962"/>
  <c r="Q110" i="962"/>
  <c r="P108" i="962"/>
  <c r="Q108" i="962"/>
  <c r="P62" i="962"/>
  <c r="Q62" i="962"/>
  <c r="P6" i="962"/>
  <c r="Q6" i="962"/>
  <c r="Q125" i="960"/>
  <c r="P125" i="960"/>
  <c r="Q42" i="960"/>
  <c r="P42" i="960"/>
  <c r="P41" i="960"/>
  <c r="Q41" i="960"/>
  <c r="Q25" i="960"/>
  <c r="P25" i="960"/>
  <c r="Q73" i="959"/>
  <c r="P73" i="959"/>
  <c r="P108" i="957"/>
  <c r="Q108" i="957"/>
  <c r="P74" i="957"/>
  <c r="Q74" i="957"/>
  <c r="P40" i="957"/>
  <c r="Q40" i="957"/>
  <c r="P25" i="957"/>
  <c r="Q25" i="957"/>
  <c r="P44" i="956"/>
  <c r="Q44" i="956"/>
  <c r="P40" i="956"/>
  <c r="Q40" i="956"/>
  <c r="P10" i="956"/>
  <c r="Q10" i="956"/>
  <c r="P6" i="956"/>
  <c r="Q6" i="956"/>
  <c r="P5" i="956"/>
  <c r="Q5" i="956"/>
  <c r="P108" i="954"/>
  <c r="Q108" i="954"/>
  <c r="Q130" i="953"/>
  <c r="P130" i="953"/>
  <c r="Q125" i="951"/>
  <c r="P125" i="951"/>
  <c r="Q90" i="951"/>
  <c r="P90" i="951"/>
  <c r="P57" i="951"/>
  <c r="Q57" i="951"/>
  <c r="Q39" i="951"/>
  <c r="P39" i="951"/>
  <c r="Q26" i="951"/>
  <c r="P26" i="951"/>
  <c r="Q24" i="951"/>
  <c r="P24" i="951"/>
  <c r="P136" i="950"/>
  <c r="Q136" i="950"/>
  <c r="P132" i="950"/>
  <c r="Q132" i="950"/>
  <c r="Q128" i="950"/>
  <c r="P128" i="950"/>
  <c r="Q126" i="950"/>
  <c r="P126" i="950"/>
  <c r="Q119" i="950"/>
  <c r="P119" i="950"/>
  <c r="P111" i="950"/>
  <c r="Q111" i="950"/>
  <c r="Q107" i="950"/>
  <c r="P107" i="950"/>
  <c r="P61" i="950"/>
  <c r="Q61" i="950"/>
  <c r="P57" i="950"/>
  <c r="Q57" i="950"/>
  <c r="Q45" i="950"/>
  <c r="P45" i="950"/>
  <c r="Q43" i="950"/>
  <c r="P43" i="950"/>
  <c r="P9" i="950"/>
  <c r="Q9" i="950"/>
  <c r="Q5" i="950"/>
  <c r="P5" i="950"/>
  <c r="Q26" i="948"/>
  <c r="P26" i="948"/>
  <c r="P6" i="948"/>
  <c r="Q6" i="948"/>
  <c r="P5" i="948"/>
  <c r="Q5" i="948"/>
  <c r="P127" i="947"/>
  <c r="Q127" i="947"/>
  <c r="P107" i="947"/>
  <c r="Q107" i="947"/>
  <c r="P58" i="947"/>
  <c r="Q58" i="947"/>
  <c r="Q41" i="947"/>
  <c r="P41" i="947"/>
  <c r="P5" i="947"/>
  <c r="Q5" i="947"/>
  <c r="Q125" i="945"/>
  <c r="P125" i="945"/>
  <c r="P108" i="945"/>
  <c r="Q108" i="945"/>
  <c r="Q75" i="945"/>
  <c r="P75" i="945"/>
  <c r="P41" i="945"/>
  <c r="Q41" i="945"/>
  <c r="Q26" i="945"/>
  <c r="P26" i="945"/>
  <c r="Q59" i="944"/>
  <c r="P59" i="944"/>
  <c r="Q45" i="944"/>
  <c r="P45" i="944"/>
  <c r="Q41" i="944"/>
  <c r="P41" i="944"/>
  <c r="Q124" i="942"/>
  <c r="P124" i="942"/>
  <c r="P41" i="942"/>
  <c r="Q41" i="942"/>
  <c r="P23" i="942"/>
  <c r="Q23" i="942"/>
  <c r="Q6" i="942"/>
  <c r="P6" i="942"/>
  <c r="Q114" i="941"/>
  <c r="P114" i="941"/>
  <c r="P5" i="941"/>
  <c r="Q5" i="941"/>
  <c r="F2" i="953"/>
  <c r="I3" i="952"/>
  <c r="N140" i="947"/>
  <c r="AB140" i="947"/>
  <c r="AC124" i="947" s="1"/>
  <c r="AA140" i="947"/>
  <c r="AE55" i="942"/>
  <c r="AF55" i="942"/>
  <c r="AG39" i="942" s="1"/>
  <c r="N55" i="942"/>
  <c r="F2" i="942"/>
  <c r="I3" i="940"/>
  <c r="I3" i="958"/>
  <c r="F2" i="959"/>
  <c r="I3" i="955"/>
  <c r="F2" i="956"/>
  <c r="F2" i="951"/>
  <c r="I3" i="949"/>
  <c r="F2" i="944"/>
  <c r="I3" i="943"/>
  <c r="N89" i="942"/>
  <c r="AF89" i="942"/>
  <c r="AG73" i="942" s="1"/>
  <c r="AE89" i="942"/>
  <c r="Q107" i="963"/>
  <c r="P107" i="963"/>
  <c r="Q92" i="963"/>
  <c r="P92" i="963"/>
  <c r="Q90" i="963"/>
  <c r="P90" i="963"/>
  <c r="N106" i="963"/>
  <c r="AE106" i="963"/>
  <c r="AF106" i="963"/>
  <c r="AG90" i="963" s="1"/>
  <c r="Q74" i="963"/>
  <c r="P74" i="963"/>
  <c r="Q56" i="963"/>
  <c r="P56" i="963"/>
  <c r="Q124" i="962"/>
  <c r="P124" i="962"/>
  <c r="Q126" i="957"/>
  <c r="P126" i="957"/>
  <c r="AF140" i="957"/>
  <c r="AG124" i="957" s="1"/>
  <c r="N140" i="957"/>
  <c r="AE140" i="957"/>
  <c r="Q107" i="957"/>
  <c r="P107" i="957"/>
  <c r="Q91" i="957"/>
  <c r="P91" i="957"/>
  <c r="Q90" i="957"/>
  <c r="P90" i="957"/>
  <c r="Q77" i="957"/>
  <c r="P77" i="957"/>
  <c r="Q76" i="957"/>
  <c r="P76" i="957"/>
  <c r="Q57" i="957"/>
  <c r="P57" i="957"/>
  <c r="Q42" i="957"/>
  <c r="P42" i="957"/>
  <c r="Q41" i="957"/>
  <c r="P41" i="957"/>
  <c r="Q24" i="957"/>
  <c r="P24" i="957"/>
  <c r="Q23" i="957"/>
  <c r="P23" i="957"/>
  <c r="Q6" i="957"/>
  <c r="P6" i="957"/>
  <c r="Q134" i="956"/>
  <c r="P134" i="956"/>
  <c r="Q130" i="956"/>
  <c r="P130" i="956"/>
  <c r="Q126" i="956"/>
  <c r="P126" i="956"/>
  <c r="Q124" i="956"/>
  <c r="P124" i="956"/>
  <c r="AB140" i="956"/>
  <c r="AC124" i="956" s="1"/>
  <c r="AA140" i="956"/>
  <c r="N140" i="956"/>
  <c r="Q120" i="956"/>
  <c r="P120" i="956"/>
  <c r="Q116" i="956"/>
  <c r="P116" i="956"/>
  <c r="Q112" i="956"/>
  <c r="P112" i="956"/>
  <c r="Q108" i="956"/>
  <c r="P108" i="956"/>
  <c r="AB89" i="956"/>
  <c r="AC73" i="956" s="1"/>
  <c r="N89" i="956"/>
  <c r="AA89" i="956"/>
  <c r="Q73" i="956"/>
  <c r="P73" i="956"/>
  <c r="Q62" i="956"/>
  <c r="P62" i="956"/>
  <c r="Q58" i="956"/>
  <c r="P58" i="956"/>
  <c r="Q56" i="956"/>
  <c r="P56" i="956"/>
  <c r="Q46" i="956"/>
  <c r="P46" i="956"/>
  <c r="Q43" i="956"/>
  <c r="P43" i="956"/>
  <c r="Q42" i="956"/>
  <c r="P42" i="956"/>
  <c r="Q22" i="956"/>
  <c r="P22" i="956"/>
  <c r="AB38" i="956"/>
  <c r="AC22" i="956" s="1"/>
  <c r="AA38" i="956"/>
  <c r="N38" i="956"/>
  <c r="Q124" i="954"/>
  <c r="P124" i="954"/>
  <c r="AF140" i="954"/>
  <c r="AG124" i="954" s="1"/>
  <c r="AE140" i="954"/>
  <c r="N140" i="954"/>
  <c r="Q109" i="954"/>
  <c r="P109" i="954"/>
  <c r="N123" i="954"/>
  <c r="AE123" i="954"/>
  <c r="AF123" i="954"/>
  <c r="AG107" i="954" s="1"/>
  <c r="Q90" i="954"/>
  <c r="P90" i="954"/>
  <c r="Q75" i="954"/>
  <c r="P75" i="954"/>
  <c r="Q73" i="954"/>
  <c r="P73" i="954"/>
  <c r="Q60" i="954"/>
  <c r="P60" i="954"/>
  <c r="Q59" i="954"/>
  <c r="P59" i="954"/>
  <c r="AF55" i="954"/>
  <c r="AG39" i="954" s="1"/>
  <c r="N55" i="954"/>
  <c r="AE55" i="954"/>
  <c r="Q26" i="954"/>
  <c r="P26" i="954"/>
  <c r="Q137" i="953"/>
  <c r="P137" i="953"/>
  <c r="Q135" i="953"/>
  <c r="P135" i="953"/>
  <c r="Q134" i="953"/>
  <c r="P134" i="953"/>
  <c r="Q133" i="953"/>
  <c r="P133" i="953"/>
  <c r="Q131" i="953"/>
  <c r="P131" i="953"/>
  <c r="Q129" i="953"/>
  <c r="P129" i="953"/>
  <c r="Q127" i="953"/>
  <c r="P127" i="953"/>
  <c r="Q126" i="953"/>
  <c r="P126" i="953"/>
  <c r="Q107" i="953"/>
  <c r="P107" i="953"/>
  <c r="Q56" i="953"/>
  <c r="P56" i="953"/>
  <c r="Q8" i="953"/>
  <c r="P8" i="953"/>
  <c r="Q7" i="953"/>
  <c r="P7" i="953"/>
  <c r="Q5" i="953"/>
  <c r="P5" i="953"/>
  <c r="Q126" i="951"/>
  <c r="P126" i="951"/>
  <c r="AF140" i="951"/>
  <c r="AG124" i="951" s="1"/>
  <c r="AE140" i="951"/>
  <c r="N140" i="951"/>
  <c r="Q108" i="951"/>
  <c r="P108" i="951"/>
  <c r="Q73" i="951"/>
  <c r="P73" i="951"/>
  <c r="N89" i="951"/>
  <c r="AE89" i="951"/>
  <c r="AF89" i="951"/>
  <c r="AG73" i="951" s="1"/>
  <c r="Q58" i="951"/>
  <c r="P58" i="951"/>
  <c r="Q25" i="951"/>
  <c r="P25" i="951"/>
  <c r="P23" i="951"/>
  <c r="Q23" i="951"/>
  <c r="Q22" i="951"/>
  <c r="P22" i="951"/>
  <c r="Q7" i="951"/>
  <c r="P7" i="951"/>
  <c r="Q137" i="950"/>
  <c r="P137" i="950"/>
  <c r="Q133" i="950"/>
  <c r="P133" i="950"/>
  <c r="Q125" i="950"/>
  <c r="P125" i="950"/>
  <c r="P56" i="950"/>
  <c r="Q56" i="950"/>
  <c r="P46" i="950"/>
  <c r="Q46" i="950"/>
  <c r="Q44" i="950"/>
  <c r="P44" i="950"/>
  <c r="P42" i="950"/>
  <c r="Q42" i="950"/>
  <c r="Q40" i="950"/>
  <c r="P40" i="950"/>
  <c r="N21" i="950"/>
  <c r="AF21" i="950"/>
  <c r="AG5" i="950" s="1"/>
  <c r="AE21" i="950"/>
  <c r="Q90" i="948"/>
  <c r="P90" i="948"/>
  <c r="P106" i="948"/>
  <c r="Q106" i="948"/>
  <c r="R90" i="948" s="1"/>
  <c r="Q75" i="948"/>
  <c r="P75" i="948"/>
  <c r="Q43" i="948"/>
  <c r="P43" i="948"/>
  <c r="Q39" i="948"/>
  <c r="P39" i="948"/>
  <c r="Q24" i="948"/>
  <c r="P24" i="948"/>
  <c r="Q135" i="947"/>
  <c r="P135" i="947"/>
  <c r="Q131" i="947"/>
  <c r="P131" i="947"/>
  <c r="P124" i="947"/>
  <c r="Q124" i="947"/>
  <c r="Q118" i="947"/>
  <c r="P118" i="947"/>
  <c r="Q114" i="947"/>
  <c r="P114" i="947"/>
  <c r="Q110" i="947"/>
  <c r="P110" i="947"/>
  <c r="Q60" i="947"/>
  <c r="P60" i="947"/>
  <c r="Q56" i="947"/>
  <c r="P56" i="947"/>
  <c r="P46" i="947"/>
  <c r="Q46" i="947"/>
  <c r="Q44" i="947"/>
  <c r="P44" i="947"/>
  <c r="P42" i="947"/>
  <c r="Q42" i="947"/>
  <c r="Q40" i="947"/>
  <c r="P40" i="947"/>
  <c r="Q39" i="947"/>
  <c r="P39" i="947"/>
  <c r="P22" i="947"/>
  <c r="Q22" i="947"/>
  <c r="Q8" i="947"/>
  <c r="P8" i="947"/>
  <c r="P23" i="945"/>
  <c r="Q23" i="945"/>
  <c r="P120" i="944"/>
  <c r="Q120" i="944"/>
  <c r="P116" i="944"/>
  <c r="Q116" i="944"/>
  <c r="P112" i="944"/>
  <c r="Q112" i="944"/>
  <c r="Q108" i="944"/>
  <c r="P108" i="944"/>
  <c r="P62" i="944"/>
  <c r="Q62" i="944"/>
  <c r="Q44" i="944"/>
  <c r="P44" i="944"/>
  <c r="Q40" i="944"/>
  <c r="P40" i="944"/>
  <c r="P10" i="944"/>
  <c r="Q10" i="944"/>
  <c r="Q6" i="944"/>
  <c r="P6" i="944"/>
  <c r="Q7" i="941"/>
  <c r="P7" i="941"/>
  <c r="AA21" i="941"/>
  <c r="N21" i="941"/>
  <c r="P89" i="962"/>
  <c r="Q89" i="962"/>
  <c r="R73" i="962" s="1"/>
  <c r="Q39" i="962"/>
  <c r="P39" i="962"/>
  <c r="Q59" i="963"/>
  <c r="P59" i="963"/>
  <c r="Q57" i="962"/>
  <c r="P57" i="962"/>
  <c r="Q9" i="962"/>
  <c r="P9" i="962"/>
  <c r="Q106" i="962"/>
  <c r="R90" i="962" s="1"/>
  <c r="P106" i="962"/>
  <c r="Q108" i="963"/>
  <c r="P108" i="963"/>
  <c r="Q41" i="963"/>
  <c r="P41" i="963"/>
  <c r="Q7" i="962"/>
  <c r="P7" i="962"/>
  <c r="P38" i="962"/>
  <c r="Q38" i="962"/>
  <c r="R22" i="962" s="1"/>
  <c r="Q5" i="963"/>
  <c r="P5" i="963"/>
  <c r="Q22" i="963"/>
  <c r="P22" i="963"/>
  <c r="Q21" i="963"/>
  <c r="R5" i="963" s="1"/>
  <c r="P21" i="963"/>
  <c r="Q57" i="963"/>
  <c r="P57" i="963"/>
  <c r="Q135" i="962"/>
  <c r="P135" i="962"/>
  <c r="Q136" i="962"/>
  <c r="P136" i="962"/>
  <c r="Q7" i="963"/>
  <c r="P7" i="963"/>
  <c r="Q72" i="963"/>
  <c r="R56" i="963" s="1"/>
  <c r="P72" i="963"/>
  <c r="P140" i="962"/>
  <c r="Q140" i="962"/>
  <c r="R124" i="962" s="1"/>
  <c r="Q131" i="962"/>
  <c r="P131" i="962"/>
  <c r="Q26" i="963"/>
  <c r="P26" i="963"/>
  <c r="Q132" i="962"/>
  <c r="P132" i="962"/>
  <c r="Q117" i="962"/>
  <c r="P117" i="962"/>
  <c r="Q73" i="963"/>
  <c r="P73" i="963"/>
  <c r="Q119" i="962"/>
  <c r="P119" i="962"/>
  <c r="Q127" i="962"/>
  <c r="P127" i="962"/>
  <c r="Q128" i="962"/>
  <c r="P128" i="962"/>
  <c r="Q113" i="962"/>
  <c r="P113" i="962"/>
  <c r="Q55" i="962"/>
  <c r="R39" i="962" s="1"/>
  <c r="P55" i="962"/>
  <c r="Q89" i="963"/>
  <c r="R73" i="963" s="1"/>
  <c r="P89" i="963"/>
  <c r="Q115" i="962"/>
  <c r="P115" i="962"/>
  <c r="AB21" i="962"/>
  <c r="AC5" i="962" s="1"/>
  <c r="AA21" i="962"/>
  <c r="N21" i="962"/>
  <c r="Q109" i="962"/>
  <c r="P109" i="962"/>
  <c r="Q111" i="962"/>
  <c r="P111" i="962"/>
  <c r="Q107" i="962"/>
  <c r="P107" i="962"/>
  <c r="AE123" i="963"/>
  <c r="N123" i="963"/>
  <c r="AF123" i="963"/>
  <c r="AG107" i="963" s="1"/>
  <c r="AB123" i="962"/>
  <c r="AC107" i="962" s="1"/>
  <c r="AA123" i="962"/>
  <c r="N123" i="962"/>
  <c r="Q90" i="962"/>
  <c r="P90" i="962"/>
  <c r="Q5" i="962"/>
  <c r="P5" i="962"/>
  <c r="Q63" i="962"/>
  <c r="P63" i="962"/>
  <c r="Q72" i="962"/>
  <c r="R56" i="962" s="1"/>
  <c r="P72" i="962"/>
  <c r="P73" i="962"/>
  <c r="Q73" i="962"/>
  <c r="Q61" i="962"/>
  <c r="P61" i="962"/>
  <c r="Q59" i="962"/>
  <c r="P59" i="962"/>
  <c r="Q38" i="963"/>
  <c r="R22" i="963" s="1"/>
  <c r="P38" i="963"/>
  <c r="Q39" i="959"/>
  <c r="P39" i="959"/>
  <c r="Q56" i="960"/>
  <c r="P56" i="960"/>
  <c r="Q75" i="960"/>
  <c r="P75" i="960"/>
  <c r="AB123" i="959"/>
  <c r="AC107" i="959" s="1"/>
  <c r="AA123" i="959"/>
  <c r="N123" i="959"/>
  <c r="AB21" i="959"/>
  <c r="AC5" i="959" s="1"/>
  <c r="AA21" i="959"/>
  <c r="N21" i="959"/>
  <c r="Q74" i="960"/>
  <c r="P74" i="960"/>
  <c r="Q43" i="960"/>
  <c r="P43" i="960"/>
  <c r="Q107" i="959"/>
  <c r="P107" i="959"/>
  <c r="Q63" i="959"/>
  <c r="P63" i="959"/>
  <c r="Q55" i="959"/>
  <c r="R39" i="959" s="1"/>
  <c r="P55" i="959"/>
  <c r="Q140" i="960"/>
  <c r="R124" i="960" s="1"/>
  <c r="P140" i="960"/>
  <c r="Q58" i="960"/>
  <c r="P58" i="960"/>
  <c r="Q44" i="959"/>
  <c r="P44" i="959"/>
  <c r="AF38" i="960"/>
  <c r="AG22" i="960" s="1"/>
  <c r="AE38" i="960"/>
  <c r="N38" i="960"/>
  <c r="Q106" i="959"/>
  <c r="R90" i="959" s="1"/>
  <c r="P106" i="959"/>
  <c r="Q21" i="960"/>
  <c r="R5" i="960" s="1"/>
  <c r="P21" i="960"/>
  <c r="AE55" i="960"/>
  <c r="N55" i="960"/>
  <c r="D2" i="960" s="1"/>
  <c r="AF55" i="960"/>
  <c r="AG39" i="960" s="1"/>
  <c r="Q109" i="960"/>
  <c r="P109" i="960"/>
  <c r="Q40" i="959"/>
  <c r="P40" i="959"/>
  <c r="Q5" i="960"/>
  <c r="P5" i="960"/>
  <c r="Q5" i="959"/>
  <c r="P5" i="959"/>
  <c r="Q22" i="960"/>
  <c r="P22" i="960"/>
  <c r="P140" i="959"/>
  <c r="Q140" i="959"/>
  <c r="R124" i="959" s="1"/>
  <c r="Q135" i="959"/>
  <c r="P135" i="959"/>
  <c r="Q40" i="960"/>
  <c r="P40" i="960"/>
  <c r="Q7" i="960"/>
  <c r="P7" i="960"/>
  <c r="Q7" i="959"/>
  <c r="P7" i="959"/>
  <c r="Q73" i="960"/>
  <c r="P73" i="960"/>
  <c r="Q131" i="959"/>
  <c r="P131" i="959"/>
  <c r="Q60" i="960"/>
  <c r="P60" i="960"/>
  <c r="Q127" i="959"/>
  <c r="P127" i="959"/>
  <c r="Q136" i="959"/>
  <c r="P136" i="959"/>
  <c r="Q89" i="960"/>
  <c r="R73" i="960" s="1"/>
  <c r="P89" i="960"/>
  <c r="Q59" i="959"/>
  <c r="P59" i="959"/>
  <c r="N106" i="960"/>
  <c r="AF106" i="960"/>
  <c r="AG90" i="960" s="1"/>
  <c r="AE106" i="960"/>
  <c r="N123" i="960"/>
  <c r="AF123" i="960"/>
  <c r="AG107" i="960" s="1"/>
  <c r="AE123" i="960"/>
  <c r="Q126" i="960"/>
  <c r="P126" i="960"/>
  <c r="Q132" i="959"/>
  <c r="P132" i="959"/>
  <c r="Q117" i="959"/>
  <c r="P117" i="959"/>
  <c r="P38" i="959"/>
  <c r="Q38" i="959"/>
  <c r="R22" i="959" s="1"/>
  <c r="Q90" i="959"/>
  <c r="P90" i="959"/>
  <c r="N72" i="960"/>
  <c r="AF72" i="960"/>
  <c r="AG56" i="960" s="1"/>
  <c r="AE72" i="960"/>
  <c r="Q128" i="959"/>
  <c r="P128" i="959"/>
  <c r="Q113" i="959"/>
  <c r="P113" i="959"/>
  <c r="Q61" i="959"/>
  <c r="P61" i="959"/>
  <c r="Q109" i="959"/>
  <c r="P109" i="959"/>
  <c r="Q72" i="959"/>
  <c r="R56" i="959" s="1"/>
  <c r="P72" i="959"/>
  <c r="Q75" i="957"/>
  <c r="P75" i="957"/>
  <c r="Q39" i="957"/>
  <c r="P39" i="957"/>
  <c r="N38" i="957"/>
  <c r="AF38" i="957"/>
  <c r="AG22" i="957" s="1"/>
  <c r="AE38" i="957"/>
  <c r="Q125" i="956"/>
  <c r="P125" i="956"/>
  <c r="Q58" i="957"/>
  <c r="P58" i="957"/>
  <c r="Q7" i="956"/>
  <c r="P7" i="956"/>
  <c r="Q55" i="957"/>
  <c r="R39" i="957" s="1"/>
  <c r="P55" i="957"/>
  <c r="Q26" i="957"/>
  <c r="P26" i="957"/>
  <c r="Q22" i="957"/>
  <c r="P22" i="957"/>
  <c r="AB72" i="956"/>
  <c r="AC56" i="956" s="1"/>
  <c r="AA72" i="956"/>
  <c r="N72" i="956"/>
  <c r="Q60" i="956"/>
  <c r="P60" i="956"/>
  <c r="Q89" i="957"/>
  <c r="R73" i="957" s="1"/>
  <c r="P89" i="957"/>
  <c r="Q136" i="956"/>
  <c r="P136" i="956"/>
  <c r="Q7" i="957"/>
  <c r="P7" i="957"/>
  <c r="Q123" i="957"/>
  <c r="R107" i="957" s="1"/>
  <c r="P123" i="957"/>
  <c r="Q114" i="956"/>
  <c r="P114" i="956"/>
  <c r="Q110" i="956"/>
  <c r="P110" i="956"/>
  <c r="Q132" i="956"/>
  <c r="P132" i="956"/>
  <c r="Q117" i="956"/>
  <c r="P117" i="956"/>
  <c r="AB55" i="956"/>
  <c r="AC39" i="956" s="1"/>
  <c r="AA55" i="956"/>
  <c r="N55" i="956"/>
  <c r="Q133" i="956"/>
  <c r="P133" i="956"/>
  <c r="Q128" i="956"/>
  <c r="P128" i="956"/>
  <c r="Q113" i="956"/>
  <c r="P113" i="956"/>
  <c r="P73" i="957"/>
  <c r="Q73" i="957"/>
  <c r="Q109" i="956"/>
  <c r="P109" i="956"/>
  <c r="Q23" i="956"/>
  <c r="P23" i="956"/>
  <c r="Q8" i="956"/>
  <c r="P8" i="956"/>
  <c r="Q106" i="956"/>
  <c r="R90" i="956" s="1"/>
  <c r="P106" i="956"/>
  <c r="P90" i="956"/>
  <c r="Q90" i="956"/>
  <c r="AB123" i="956"/>
  <c r="AC107" i="956" s="1"/>
  <c r="AA123" i="956"/>
  <c r="N123" i="956"/>
  <c r="Q21" i="956"/>
  <c r="R5" i="956" s="1"/>
  <c r="P21" i="956"/>
  <c r="Q59" i="957"/>
  <c r="P59" i="957"/>
  <c r="Q63" i="956"/>
  <c r="P63" i="956"/>
  <c r="AE21" i="957"/>
  <c r="N21" i="957"/>
  <c r="AF21" i="957"/>
  <c r="AG5" i="957" s="1"/>
  <c r="P72" i="957"/>
  <c r="Q72" i="957"/>
  <c r="R56" i="957" s="1"/>
  <c r="P106" i="957"/>
  <c r="Q106" i="957"/>
  <c r="R90" i="957" s="1"/>
  <c r="Q129" i="956"/>
  <c r="P129" i="956"/>
  <c r="Q56" i="957"/>
  <c r="P56" i="957"/>
  <c r="Q59" i="956"/>
  <c r="P59" i="956"/>
  <c r="Q137" i="956"/>
  <c r="P137" i="956"/>
  <c r="Q118" i="956"/>
  <c r="P118" i="956"/>
  <c r="AA140" i="953"/>
  <c r="N140" i="953"/>
  <c r="AB140" i="953"/>
  <c r="AC124" i="953" s="1"/>
  <c r="Q118" i="953"/>
  <c r="P118" i="953"/>
  <c r="Q114" i="953"/>
  <c r="P114" i="953"/>
  <c r="Q73" i="953"/>
  <c r="P73" i="953"/>
  <c r="Q43" i="954"/>
  <c r="P43" i="954"/>
  <c r="Q119" i="953"/>
  <c r="P119" i="953"/>
  <c r="AB89" i="953"/>
  <c r="AC73" i="953" s="1"/>
  <c r="AA89" i="953"/>
  <c r="N89" i="953"/>
  <c r="Q110" i="953"/>
  <c r="P110" i="953"/>
  <c r="Q43" i="953"/>
  <c r="P43" i="953"/>
  <c r="Q115" i="953"/>
  <c r="P115" i="953"/>
  <c r="Q57" i="954"/>
  <c r="P57" i="954"/>
  <c r="Q72" i="953"/>
  <c r="R56" i="953" s="1"/>
  <c r="P72" i="953"/>
  <c r="Q46" i="953"/>
  <c r="P46" i="953"/>
  <c r="AB38" i="953"/>
  <c r="AC22" i="953" s="1"/>
  <c r="AA38" i="953"/>
  <c r="N38" i="953"/>
  <c r="Q111" i="953"/>
  <c r="P111" i="953"/>
  <c r="P21" i="953"/>
  <c r="Q21" i="953"/>
  <c r="R5" i="953" s="1"/>
  <c r="P21" i="954"/>
  <c r="Q21" i="954"/>
  <c r="R5" i="954" s="1"/>
  <c r="Q42" i="953"/>
  <c r="P42" i="953"/>
  <c r="Q60" i="953"/>
  <c r="P60" i="953"/>
  <c r="Q6" i="954"/>
  <c r="P6" i="954"/>
  <c r="Q56" i="954"/>
  <c r="P56" i="954"/>
  <c r="N106" i="954"/>
  <c r="AF106" i="954"/>
  <c r="AG90" i="954" s="1"/>
  <c r="AE106" i="954"/>
  <c r="Q126" i="954"/>
  <c r="P126" i="954"/>
  <c r="AB106" i="953"/>
  <c r="AC90" i="953" s="1"/>
  <c r="AA106" i="953"/>
  <c r="N106" i="953"/>
  <c r="P123" i="953"/>
  <c r="Q123" i="953"/>
  <c r="R107" i="953" s="1"/>
  <c r="Q23" i="953"/>
  <c r="P23" i="953"/>
  <c r="AB55" i="953"/>
  <c r="AC39" i="953" s="1"/>
  <c r="AA55" i="953"/>
  <c r="N55" i="953"/>
  <c r="Q140" i="954"/>
  <c r="R124" i="954" s="1"/>
  <c r="P140" i="954"/>
  <c r="Q5" i="954"/>
  <c r="P5" i="954"/>
  <c r="Q90" i="953"/>
  <c r="P90" i="953"/>
  <c r="Q44" i="953"/>
  <c r="P44" i="953"/>
  <c r="Q125" i="954"/>
  <c r="P125" i="954"/>
  <c r="Q61" i="953"/>
  <c r="P61" i="953"/>
  <c r="Q40" i="953"/>
  <c r="P40" i="953"/>
  <c r="Q9" i="953"/>
  <c r="P9" i="953"/>
  <c r="Q74" i="954"/>
  <c r="P74" i="954"/>
  <c r="Q57" i="953"/>
  <c r="P57" i="953"/>
  <c r="P22" i="954"/>
  <c r="Q22" i="954"/>
  <c r="Q25" i="954"/>
  <c r="P25" i="954"/>
  <c r="AE72" i="954"/>
  <c r="AF72" i="954"/>
  <c r="AG56" i="954" s="1"/>
  <c r="N72" i="954"/>
  <c r="Q38" i="954"/>
  <c r="R22" i="954" s="1"/>
  <c r="P38" i="954"/>
  <c r="Q89" i="954"/>
  <c r="R73" i="954" s="1"/>
  <c r="P89" i="954"/>
  <c r="Q24" i="954"/>
  <c r="P24" i="954"/>
  <c r="Q39" i="953"/>
  <c r="P39" i="953"/>
  <c r="Q23" i="950"/>
  <c r="P23" i="950"/>
  <c r="P59" i="950"/>
  <c r="Q59" i="950"/>
  <c r="AF55" i="951"/>
  <c r="AG39" i="951" s="1"/>
  <c r="AE55" i="951"/>
  <c r="N55" i="951"/>
  <c r="Q5" i="951"/>
  <c r="P5" i="951"/>
  <c r="AE38" i="950"/>
  <c r="N38" i="950"/>
  <c r="AF38" i="950"/>
  <c r="AG22" i="950" s="1"/>
  <c r="N106" i="950"/>
  <c r="AF106" i="950"/>
  <c r="AG90" i="950" s="1"/>
  <c r="AE106" i="950"/>
  <c r="Q124" i="950"/>
  <c r="P124" i="950"/>
  <c r="AE140" i="950"/>
  <c r="N140" i="950"/>
  <c r="AF140" i="950"/>
  <c r="AG124" i="950" s="1"/>
  <c r="P7" i="950"/>
  <c r="Q7" i="950"/>
  <c r="Q109" i="951"/>
  <c r="P109" i="951"/>
  <c r="Q6" i="951"/>
  <c r="P6" i="951"/>
  <c r="Q55" i="950"/>
  <c r="R39" i="950" s="1"/>
  <c r="P55" i="950"/>
  <c r="N123" i="951"/>
  <c r="AF123" i="951"/>
  <c r="AG107" i="951" s="1"/>
  <c r="AE123" i="951"/>
  <c r="N123" i="950"/>
  <c r="AF123" i="950"/>
  <c r="AG107" i="950" s="1"/>
  <c r="AE123" i="950"/>
  <c r="Q22" i="950"/>
  <c r="P22" i="950"/>
  <c r="AE72" i="950"/>
  <c r="N72" i="950"/>
  <c r="AF72" i="950"/>
  <c r="AG56" i="950" s="1"/>
  <c r="N106" i="951"/>
  <c r="AF106" i="951"/>
  <c r="AG90" i="951" s="1"/>
  <c r="AE106" i="951"/>
  <c r="Q59" i="951"/>
  <c r="P59" i="951"/>
  <c r="Q140" i="951"/>
  <c r="R124" i="951" s="1"/>
  <c r="P140" i="951"/>
  <c r="Q117" i="950"/>
  <c r="P117" i="950"/>
  <c r="P113" i="950"/>
  <c r="Q113" i="950"/>
  <c r="Q135" i="950"/>
  <c r="P135" i="950"/>
  <c r="AE72" i="951"/>
  <c r="N72" i="951"/>
  <c r="AF72" i="951"/>
  <c r="AG56" i="951" s="1"/>
  <c r="P109" i="950"/>
  <c r="Q109" i="950"/>
  <c r="AE89" i="950"/>
  <c r="N89" i="950"/>
  <c r="AF89" i="950"/>
  <c r="AG73" i="950" s="1"/>
  <c r="P21" i="951"/>
  <c r="Q21" i="951"/>
  <c r="R5" i="951" s="1"/>
  <c r="Q90" i="950"/>
  <c r="P90" i="950"/>
  <c r="Q56" i="951"/>
  <c r="P56" i="951"/>
  <c r="Q73" i="950"/>
  <c r="P73" i="950"/>
  <c r="Q38" i="951"/>
  <c r="R22" i="951" s="1"/>
  <c r="P38" i="951"/>
  <c r="Q39" i="950"/>
  <c r="P39" i="950"/>
  <c r="Q43" i="951"/>
  <c r="P43" i="951"/>
  <c r="P63" i="950"/>
  <c r="Q63" i="950"/>
  <c r="Q9" i="947"/>
  <c r="P9" i="947"/>
  <c r="Q21" i="947"/>
  <c r="R5" i="947" s="1"/>
  <c r="P21" i="947"/>
  <c r="N55" i="947"/>
  <c r="AB55" i="947"/>
  <c r="AC39" i="947" s="1"/>
  <c r="AA55" i="947"/>
  <c r="Q126" i="948"/>
  <c r="P126" i="948"/>
  <c r="N72" i="947"/>
  <c r="AB72" i="947"/>
  <c r="AC56" i="947" s="1"/>
  <c r="AA72" i="947"/>
  <c r="Q125" i="948"/>
  <c r="P125" i="948"/>
  <c r="Q134" i="947"/>
  <c r="P134" i="947"/>
  <c r="AE72" i="948"/>
  <c r="N72" i="948"/>
  <c r="AF72" i="948"/>
  <c r="AG56" i="948" s="1"/>
  <c r="Q130" i="947"/>
  <c r="P130" i="947"/>
  <c r="Q74" i="948"/>
  <c r="P74" i="948"/>
  <c r="Q140" i="948"/>
  <c r="R124" i="948" s="1"/>
  <c r="P140" i="948"/>
  <c r="N55" i="948"/>
  <c r="AF55" i="948"/>
  <c r="AG39" i="948" s="1"/>
  <c r="AE55" i="948"/>
  <c r="Q126" i="947"/>
  <c r="P126" i="947"/>
  <c r="AA89" i="947"/>
  <c r="N89" i="947"/>
  <c r="AB89" i="947"/>
  <c r="AC73" i="947" s="1"/>
  <c r="Q119" i="947"/>
  <c r="P119" i="947"/>
  <c r="Q38" i="948"/>
  <c r="R22" i="948" s="1"/>
  <c r="P38" i="948"/>
  <c r="Q73" i="947"/>
  <c r="P73" i="947"/>
  <c r="Q115" i="947"/>
  <c r="P115" i="947"/>
  <c r="Q25" i="948"/>
  <c r="P25" i="948"/>
  <c r="Q43" i="947"/>
  <c r="P43" i="947"/>
  <c r="Q111" i="947"/>
  <c r="P111" i="947"/>
  <c r="P21" i="948"/>
  <c r="Q21" i="948"/>
  <c r="R5" i="948" s="1"/>
  <c r="Q73" i="948"/>
  <c r="P73" i="948"/>
  <c r="AB106" i="947"/>
  <c r="AC90" i="947" s="1"/>
  <c r="AA106" i="947"/>
  <c r="N106" i="947"/>
  <c r="Q22" i="948"/>
  <c r="P22" i="948"/>
  <c r="AA38" i="947"/>
  <c r="N38" i="947"/>
  <c r="AB38" i="947"/>
  <c r="AC22" i="947" s="1"/>
  <c r="Q59" i="948"/>
  <c r="P59" i="948"/>
  <c r="Q90" i="947"/>
  <c r="P90" i="947"/>
  <c r="Q140" i="947"/>
  <c r="R124" i="947" s="1"/>
  <c r="P140" i="947"/>
  <c r="Q89" i="948"/>
  <c r="R73" i="948" s="1"/>
  <c r="P89" i="948"/>
  <c r="Q58" i="948"/>
  <c r="P58" i="948"/>
  <c r="N123" i="948"/>
  <c r="AF123" i="948"/>
  <c r="AG107" i="948" s="1"/>
  <c r="AE123" i="948"/>
  <c r="Q61" i="947"/>
  <c r="P61" i="947"/>
  <c r="Q123" i="947"/>
  <c r="R107" i="947" s="1"/>
  <c r="P123" i="947"/>
  <c r="Q42" i="948"/>
  <c r="P42" i="948"/>
  <c r="Q57" i="947"/>
  <c r="P57" i="947"/>
  <c r="Q118" i="944"/>
  <c r="P118" i="944"/>
  <c r="AB106" i="944"/>
  <c r="AC90" i="944" s="1"/>
  <c r="AA106" i="944"/>
  <c r="N106" i="944"/>
  <c r="Q140" i="945"/>
  <c r="R124" i="945" s="1"/>
  <c r="P140" i="945"/>
  <c r="Q107" i="944"/>
  <c r="P107" i="944"/>
  <c r="Q38" i="945"/>
  <c r="R22" i="945" s="1"/>
  <c r="P38" i="945"/>
  <c r="Q114" i="944"/>
  <c r="P114" i="944"/>
  <c r="Q90" i="944"/>
  <c r="P90" i="944"/>
  <c r="AE72" i="945"/>
  <c r="N72" i="945"/>
  <c r="AF72" i="945"/>
  <c r="AG56" i="945" s="1"/>
  <c r="Q56" i="944"/>
  <c r="P56" i="944"/>
  <c r="Q43" i="945"/>
  <c r="P43" i="945"/>
  <c r="Q109" i="945"/>
  <c r="P109" i="945"/>
  <c r="Q60" i="944"/>
  <c r="P60" i="944"/>
  <c r="AA89" i="944"/>
  <c r="N89" i="944"/>
  <c r="AB89" i="944"/>
  <c r="AC73" i="944" s="1"/>
  <c r="Q57" i="944"/>
  <c r="P57" i="944"/>
  <c r="Q123" i="944"/>
  <c r="R107" i="944" s="1"/>
  <c r="P123" i="944"/>
  <c r="Q22" i="945"/>
  <c r="P22" i="945"/>
  <c r="N55" i="944"/>
  <c r="AB55" i="944"/>
  <c r="AC39" i="944" s="1"/>
  <c r="AA55" i="944"/>
  <c r="AA38" i="944"/>
  <c r="N38" i="944"/>
  <c r="AB38" i="944"/>
  <c r="AC22" i="944" s="1"/>
  <c r="Q39" i="944"/>
  <c r="P39" i="944"/>
  <c r="Q5" i="945"/>
  <c r="P5" i="945"/>
  <c r="P21" i="945"/>
  <c r="Q21" i="945"/>
  <c r="R5" i="945" s="1"/>
  <c r="Q110" i="944"/>
  <c r="P110" i="944"/>
  <c r="Q61" i="944"/>
  <c r="P61" i="944"/>
  <c r="Q58" i="945"/>
  <c r="P58" i="945"/>
  <c r="Q135" i="944"/>
  <c r="P135" i="944"/>
  <c r="Q5" i="944"/>
  <c r="P5" i="944"/>
  <c r="Q8" i="944"/>
  <c r="P8" i="944"/>
  <c r="AF123" i="945"/>
  <c r="AG107" i="945" s="1"/>
  <c r="N123" i="945"/>
  <c r="AE123" i="945"/>
  <c r="Q119" i="944"/>
  <c r="P119" i="944"/>
  <c r="Q9" i="944"/>
  <c r="P9" i="944"/>
  <c r="Q131" i="944"/>
  <c r="P131" i="944"/>
  <c r="Q89" i="945"/>
  <c r="R73" i="945" s="1"/>
  <c r="P89" i="945"/>
  <c r="N106" i="945"/>
  <c r="AF106" i="945"/>
  <c r="AG90" i="945" s="1"/>
  <c r="AE106" i="945"/>
  <c r="Q73" i="945"/>
  <c r="P73" i="945"/>
  <c r="Q127" i="944"/>
  <c r="P127" i="944"/>
  <c r="Q59" i="945"/>
  <c r="P59" i="945"/>
  <c r="Q21" i="944"/>
  <c r="R5" i="944" s="1"/>
  <c r="P21" i="944"/>
  <c r="N55" i="945"/>
  <c r="D2" i="945" s="1"/>
  <c r="AF55" i="945"/>
  <c r="AG39" i="945" s="1"/>
  <c r="AE55" i="945"/>
  <c r="N72" i="944"/>
  <c r="D2" i="944" s="1"/>
  <c r="AA72" i="944"/>
  <c r="AB72" i="944"/>
  <c r="AC56" i="944" s="1"/>
  <c r="Q115" i="944"/>
  <c r="P115" i="944"/>
  <c r="AA140" i="944"/>
  <c r="N140" i="944"/>
  <c r="AB140" i="944"/>
  <c r="AC124" i="944" s="1"/>
  <c r="Q111" i="944"/>
  <c r="P111" i="944"/>
  <c r="Q5" i="942"/>
  <c r="P5" i="942"/>
  <c r="Q58" i="941"/>
  <c r="P58" i="941"/>
  <c r="Q123" i="941"/>
  <c r="R107" i="941" s="1"/>
  <c r="P123" i="941"/>
  <c r="Q42" i="942"/>
  <c r="P42" i="942"/>
  <c r="Q123" i="942"/>
  <c r="R107" i="942" s="1"/>
  <c r="P123" i="942"/>
  <c r="Q55" i="942"/>
  <c r="R39" i="942" s="1"/>
  <c r="P55" i="942"/>
  <c r="Q106" i="942"/>
  <c r="R90" i="942" s="1"/>
  <c r="P106" i="942"/>
  <c r="Q134" i="941"/>
  <c r="P134" i="941"/>
  <c r="N55" i="941"/>
  <c r="AB55" i="941"/>
  <c r="AC39" i="941" s="1"/>
  <c r="AA55" i="941"/>
  <c r="Q73" i="941"/>
  <c r="P73" i="941"/>
  <c r="Q130" i="941"/>
  <c r="P130" i="941"/>
  <c r="Q90" i="942"/>
  <c r="P90" i="942"/>
  <c r="Q126" i="941"/>
  <c r="P126" i="941"/>
  <c r="Q126" i="942"/>
  <c r="P126" i="942"/>
  <c r="Q75" i="942"/>
  <c r="P75" i="942"/>
  <c r="Q89" i="942"/>
  <c r="R73" i="942" s="1"/>
  <c r="P89" i="942"/>
  <c r="Q140" i="942"/>
  <c r="R124" i="942" s="1"/>
  <c r="P140" i="942"/>
  <c r="Q39" i="942"/>
  <c r="P39" i="942"/>
  <c r="Q45" i="941"/>
  <c r="P45" i="941"/>
  <c r="Q89" i="941"/>
  <c r="R73" i="941" s="1"/>
  <c r="P89" i="941"/>
  <c r="Q38" i="942"/>
  <c r="R22" i="942" s="1"/>
  <c r="P38" i="942"/>
  <c r="Q22" i="942"/>
  <c r="P22" i="942"/>
  <c r="N72" i="941"/>
  <c r="AB72" i="941"/>
  <c r="AC56" i="941" s="1"/>
  <c r="AA72" i="941"/>
  <c r="Q106" i="941"/>
  <c r="R90" i="941" s="1"/>
  <c r="P106" i="941"/>
  <c r="Q74" i="942"/>
  <c r="P74" i="942"/>
  <c r="Q26" i="942"/>
  <c r="P26" i="942"/>
  <c r="Q41" i="941"/>
  <c r="P41" i="941"/>
  <c r="P21" i="942"/>
  <c r="Q21" i="942"/>
  <c r="R5" i="942" s="1"/>
  <c r="N38" i="941"/>
  <c r="AA38" i="941"/>
  <c r="AB38" i="941"/>
  <c r="AC22" i="941" s="1"/>
  <c r="AE72" i="942"/>
  <c r="N72" i="942"/>
  <c r="D2" i="942" s="1"/>
  <c r="AF72" i="942"/>
  <c r="AG56" i="942" s="1"/>
  <c r="Q25" i="942"/>
  <c r="P25" i="942"/>
  <c r="Q120" i="941"/>
  <c r="P120" i="941"/>
  <c r="D2" i="941"/>
  <c r="Q21" i="941"/>
  <c r="R5" i="941" s="1"/>
  <c r="P21" i="941"/>
  <c r="Q56" i="941"/>
  <c r="P56" i="941"/>
  <c r="Q43" i="942"/>
  <c r="P43" i="942"/>
  <c r="Q116" i="941"/>
  <c r="P116" i="941"/>
  <c r="AA140" i="941"/>
  <c r="N140" i="941"/>
  <c r="AB140" i="941"/>
  <c r="AC124" i="941" s="1"/>
  <c r="Q62" i="941"/>
  <c r="P62" i="941"/>
  <c r="P106" i="963" l="1"/>
  <c r="Q106" i="963"/>
  <c r="R90" i="963" s="1"/>
  <c r="P123" i="954"/>
  <c r="Q123" i="954"/>
  <c r="R107" i="954" s="1"/>
  <c r="P89" i="951"/>
  <c r="Q89" i="951"/>
  <c r="R73" i="951" s="1"/>
  <c r="P21" i="950"/>
  <c r="Q21" i="950"/>
  <c r="R5" i="950" s="1"/>
  <c r="Q140" i="957"/>
  <c r="R124" i="957" s="1"/>
  <c r="P140" i="957"/>
  <c r="Q140" i="956"/>
  <c r="R124" i="956" s="1"/>
  <c r="P140" i="956"/>
  <c r="Q89" i="956"/>
  <c r="R73" i="956" s="1"/>
  <c r="P89" i="956"/>
  <c r="Q38" i="956"/>
  <c r="R22" i="956" s="1"/>
  <c r="P38" i="956"/>
  <c r="Q55" i="954"/>
  <c r="R39" i="954" s="1"/>
  <c r="P55" i="954"/>
  <c r="Q123" i="962"/>
  <c r="R107" i="962" s="1"/>
  <c r="P123" i="962"/>
  <c r="D2" i="962"/>
  <c r="Q21" i="962"/>
  <c r="R5" i="962" s="1"/>
  <c r="P21" i="962"/>
  <c r="Q123" i="963"/>
  <c r="R107" i="963" s="1"/>
  <c r="P123" i="963"/>
  <c r="D2" i="963"/>
  <c r="D2" i="959"/>
  <c r="Q21" i="959"/>
  <c r="R5" i="959" s="1"/>
  <c r="P21" i="959"/>
  <c r="Q123" i="959"/>
  <c r="R107" i="959" s="1"/>
  <c r="P123" i="959"/>
  <c r="Q38" i="960"/>
  <c r="R22" i="960" s="1"/>
  <c r="P38" i="960"/>
  <c r="Q72" i="960"/>
  <c r="R56" i="960" s="1"/>
  <c r="P72" i="960"/>
  <c r="Q123" i="960"/>
  <c r="R107" i="960" s="1"/>
  <c r="P123" i="960"/>
  <c r="P106" i="960"/>
  <c r="Q106" i="960"/>
  <c r="R90" i="960" s="1"/>
  <c r="Q55" i="960"/>
  <c r="R39" i="960" s="1"/>
  <c r="P55" i="960"/>
  <c r="D2" i="957"/>
  <c r="Q21" i="957"/>
  <c r="R5" i="957" s="1"/>
  <c r="P21" i="957"/>
  <c r="Q123" i="956"/>
  <c r="R107" i="956" s="1"/>
  <c r="P123" i="956"/>
  <c r="Q38" i="957"/>
  <c r="R22" i="957" s="1"/>
  <c r="P38" i="957"/>
  <c r="D2" i="956"/>
  <c r="Q72" i="956"/>
  <c r="R56" i="956" s="1"/>
  <c r="P72" i="956"/>
  <c r="Q55" i="956"/>
  <c r="R39" i="956" s="1"/>
  <c r="P55" i="956"/>
  <c r="Q106" i="953"/>
  <c r="R90" i="953" s="1"/>
  <c r="P106" i="953"/>
  <c r="Q72" i="954"/>
  <c r="R56" i="954" s="1"/>
  <c r="P72" i="954"/>
  <c r="Q38" i="953"/>
  <c r="R22" i="953" s="1"/>
  <c r="P38" i="953"/>
  <c r="Q55" i="953"/>
  <c r="R39" i="953" s="1"/>
  <c r="P55" i="953"/>
  <c r="D2" i="954"/>
  <c r="Q89" i="953"/>
  <c r="R73" i="953" s="1"/>
  <c r="P89" i="953"/>
  <c r="P106" i="954"/>
  <c r="Q106" i="954"/>
  <c r="R90" i="954" s="1"/>
  <c r="Q140" i="953"/>
  <c r="R124" i="953" s="1"/>
  <c r="P140" i="953"/>
  <c r="D2" i="953"/>
  <c r="Q89" i="950"/>
  <c r="R73" i="950" s="1"/>
  <c r="P89" i="950"/>
  <c r="Q38" i="950"/>
  <c r="R22" i="950" s="1"/>
  <c r="P38" i="950"/>
  <c r="D2" i="950"/>
  <c r="Q123" i="950"/>
  <c r="R107" i="950" s="1"/>
  <c r="P123" i="950"/>
  <c r="Q140" i="950"/>
  <c r="R124" i="950" s="1"/>
  <c r="P140" i="950"/>
  <c r="Q55" i="951"/>
  <c r="R39" i="951" s="1"/>
  <c r="P55" i="951"/>
  <c r="Q72" i="951"/>
  <c r="R56" i="951" s="1"/>
  <c r="P72" i="951"/>
  <c r="Q123" i="951"/>
  <c r="R107" i="951" s="1"/>
  <c r="P123" i="951"/>
  <c r="Q106" i="951"/>
  <c r="R90" i="951" s="1"/>
  <c r="P106" i="951"/>
  <c r="D2" i="951"/>
  <c r="Q72" i="950"/>
  <c r="R56" i="950" s="1"/>
  <c r="P72" i="950"/>
  <c r="Q106" i="950"/>
  <c r="R90" i="950" s="1"/>
  <c r="P106" i="950"/>
  <c r="P72" i="947"/>
  <c r="Q72" i="947"/>
  <c r="R56" i="947" s="1"/>
  <c r="Q89" i="947"/>
  <c r="R73" i="947" s="1"/>
  <c r="P89" i="947"/>
  <c r="Q106" i="947"/>
  <c r="R90" i="947" s="1"/>
  <c r="P106" i="947"/>
  <c r="Q38" i="947"/>
  <c r="R22" i="947" s="1"/>
  <c r="P38" i="947"/>
  <c r="Q72" i="948"/>
  <c r="R56" i="948" s="1"/>
  <c r="P72" i="948"/>
  <c r="Q123" i="948"/>
  <c r="R107" i="948" s="1"/>
  <c r="P123" i="948"/>
  <c r="Q55" i="947"/>
  <c r="R39" i="947" s="1"/>
  <c r="P55" i="947"/>
  <c r="Q55" i="948"/>
  <c r="R39" i="948" s="1"/>
  <c r="P55" i="948"/>
  <c r="D2" i="948"/>
  <c r="Q55" i="945"/>
  <c r="R39" i="945" s="1"/>
  <c r="P55" i="945"/>
  <c r="Q106" i="945"/>
  <c r="R90" i="945" s="1"/>
  <c r="P106" i="945"/>
  <c r="Q55" i="944"/>
  <c r="R39" i="944" s="1"/>
  <c r="P55" i="944"/>
  <c r="Q140" i="944"/>
  <c r="R124" i="944" s="1"/>
  <c r="P140" i="944"/>
  <c r="Q72" i="945"/>
  <c r="R56" i="945" s="1"/>
  <c r="P72" i="945"/>
  <c r="Q106" i="944"/>
  <c r="R90" i="944" s="1"/>
  <c r="P106" i="944"/>
  <c r="Q38" i="944"/>
  <c r="R22" i="944" s="1"/>
  <c r="P38" i="944"/>
  <c r="Q89" i="944"/>
  <c r="R73" i="944" s="1"/>
  <c r="P89" i="944"/>
  <c r="P72" i="944"/>
  <c r="Q72" i="944"/>
  <c r="R56" i="944" s="1"/>
  <c r="Q123" i="945"/>
  <c r="R107" i="945" s="1"/>
  <c r="P123" i="945"/>
  <c r="Q38" i="941"/>
  <c r="R22" i="941" s="1"/>
  <c r="P38" i="941"/>
  <c r="P72" i="941"/>
  <c r="Q72" i="941"/>
  <c r="R56" i="941" s="1"/>
  <c r="Q140" i="941"/>
  <c r="R124" i="941" s="1"/>
  <c r="P140" i="941"/>
  <c r="P55" i="941"/>
  <c r="Q55" i="941"/>
  <c r="R39" i="941" s="1"/>
  <c r="Q72" i="942"/>
  <c r="R56" i="942" s="1"/>
  <c r="P72" i="942"/>
</calcChain>
</file>

<file path=xl/sharedStrings.xml><?xml version="1.0" encoding="utf-8"?>
<sst xmlns="http://schemas.openxmlformats.org/spreadsheetml/2006/main" count="4458" uniqueCount="236">
  <si>
    <r>
      <t xml:space="preserve">屏榮 </t>
    </r>
    <r>
      <rPr>
        <b/>
        <sz val="26"/>
        <color rgb="FFFF0000"/>
        <rFont val="微軟正黑體"/>
        <family val="2"/>
        <charset val="136"/>
      </rPr>
      <t>大溪廠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6" type="noConversion"/>
  </si>
  <si>
    <t>日期</t>
    <phoneticPr fontId="6" type="noConversion"/>
  </si>
  <si>
    <t>訂單量</t>
    <phoneticPr fontId="6" type="noConversion"/>
  </si>
  <si>
    <t>營業額</t>
    <phoneticPr fontId="6" type="noConversion"/>
  </si>
  <si>
    <t>人時性</t>
    <phoneticPr fontId="6" type="noConversion"/>
  </si>
  <si>
    <t>項目</t>
    <phoneticPr fontId="9" type="noConversion"/>
  </si>
  <si>
    <t>➀</t>
    <phoneticPr fontId="9" type="noConversion"/>
  </si>
  <si>
    <t>➁</t>
    <phoneticPr fontId="9" type="noConversion"/>
  </si>
  <si>
    <t>➂</t>
    <phoneticPr fontId="9" type="noConversion"/>
  </si>
  <si>
    <t>④</t>
    <phoneticPr fontId="5" type="noConversion"/>
  </si>
  <si>
    <t>⑤</t>
    <phoneticPr fontId="5" type="noConversion"/>
  </si>
  <si>
    <t>異常停線</t>
    <phoneticPr fontId="9" type="noConversion"/>
  </si>
  <si>
    <t>短暫停線</t>
    <phoneticPr fontId="9" type="noConversion"/>
  </si>
  <si>
    <t>組合室</t>
    <phoneticPr fontId="6" type="noConversion"/>
  </si>
  <si>
    <t>全溫層</t>
    <phoneticPr fontId="6" type="noConversion"/>
  </si>
  <si>
    <t>4度C-各編組展開(一配)</t>
    <phoneticPr fontId="6" type="noConversion"/>
  </si>
  <si>
    <t>4度C-各編組展開(二配)</t>
    <phoneticPr fontId="5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</si>
  <si>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</t>
    </r>
    <r>
      <rPr>
        <sz val="12"/>
        <color theme="1"/>
        <rFont val="Microsoft JhengHei"/>
        <family val="2"/>
        <charset val="136"/>
      </rPr>
      <t>一配</t>
    </r>
    <r>
      <rPr>
        <sz val="12"/>
        <color theme="1"/>
        <rFont val="Calibri"/>
        <family val="2"/>
      </rPr>
      <t>)</t>
    </r>
    <phoneticPr fontId="6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</si>
  <si>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各編組展開(二配)</t>
    </r>
    <phoneticPr fontId="6" type="noConversion"/>
  </si>
  <si>
    <t>合計次數</t>
    <phoneticPr fontId="9" type="noConversion"/>
  </si>
  <si>
    <t>時間</t>
    <phoneticPr fontId="6" type="noConversion"/>
  </si>
  <si>
    <t>設備次數</t>
    <phoneticPr fontId="6" type="noConversion"/>
  </si>
  <si>
    <t>排關平均</t>
  </si>
  <si>
    <t>實績平均</t>
  </si>
  <si>
    <t>達成率平均</t>
  </si>
  <si>
    <t>※現行日本鮮食廠以達成率80%為基本(即為現行KPI)</t>
    <phoneticPr fontId="9" type="noConversion"/>
  </si>
  <si>
    <t>溫層</t>
    <phoneticPr fontId="6" type="noConversion"/>
  </si>
  <si>
    <t>➁4度C-各編組展開</t>
    <phoneticPr fontId="6" type="noConversion"/>
  </si>
  <si>
    <r>
      <rPr>
        <b/>
        <sz val="16"/>
        <color theme="1"/>
        <rFont val="Segoe UI Symbol"/>
        <family val="2"/>
      </rPr>
      <t>➂</t>
    </r>
    <r>
      <rPr>
        <b/>
        <sz val="16"/>
        <color theme="1"/>
        <rFont val="微軟正黑體"/>
        <family val="2"/>
        <charset val="136"/>
      </rPr>
      <t>4度C-各編組展開</t>
    </r>
    <phoneticPr fontId="5" type="noConversion"/>
  </si>
  <si>
    <t>編組</t>
    <phoneticPr fontId="6" type="noConversion"/>
  </si>
  <si>
    <t>便當一線</t>
  </si>
  <si>
    <t>便當二線</t>
  </si>
  <si>
    <t>涼麵一線</t>
    <phoneticPr fontId="5" type="noConversion"/>
  </si>
  <si>
    <t>涼麵二線</t>
  </si>
  <si>
    <t>涼麵三線</t>
  </si>
  <si>
    <t>自動包裝機</t>
  </si>
  <si>
    <t>自動包裝機2</t>
    <phoneticPr fontId="5" type="noConversion"/>
  </si>
  <si>
    <t>自動包裝機3</t>
  </si>
  <si>
    <t>便當一線</t>
    <phoneticPr fontId="5" type="noConversion"/>
  </si>
  <si>
    <t>涼麵一線</t>
  </si>
  <si>
    <t>人時性</t>
    <phoneticPr fontId="9" type="noConversion"/>
  </si>
  <si>
    <t>排關</t>
    <phoneticPr fontId="6" type="noConversion"/>
  </si>
  <si>
    <t>-</t>
  </si>
  <si>
    <t>實績</t>
    <phoneticPr fontId="6" type="noConversion"/>
  </si>
  <si>
    <t>達成率</t>
    <phoneticPr fontId="6" type="noConversion"/>
  </si>
  <si>
    <t>作業
時間</t>
    <phoneticPr fontId="6" type="noConversion"/>
  </si>
  <si>
    <t>開始</t>
    <phoneticPr fontId="6" type="noConversion"/>
  </si>
  <si>
    <t>結束</t>
    <phoneticPr fontId="6" type="noConversion"/>
  </si>
  <si>
    <t>產線異常
(5分鐘以上)</t>
    <phoneticPr fontId="5" type="noConversion"/>
  </si>
  <si>
    <t>次數</t>
    <phoneticPr fontId="5" type="noConversion"/>
  </si>
  <si>
    <t>時間/分</t>
    <phoneticPr fontId="5" type="noConversion"/>
  </si>
  <si>
    <t>短暫停線
(5分鐘以下)</t>
    <phoneticPr fontId="5" type="noConversion"/>
  </si>
  <si>
    <t>設備次數</t>
    <phoneticPr fontId="5" type="noConversion"/>
  </si>
  <si>
    <t>配置人數</t>
    <phoneticPr fontId="6" type="noConversion"/>
  </si>
  <si>
    <t>主要應用設備</t>
    <phoneticPr fontId="6" type="noConversion"/>
  </si>
  <si>
    <t>L型封口機</t>
  </si>
  <si>
    <t>ET-55</t>
  </si>
  <si>
    <t>ET-600</t>
  </si>
  <si>
    <t>伺服包裝機</t>
  </si>
  <si>
    <t>次要應用設備</t>
    <phoneticPr fontId="6" type="noConversion"/>
  </si>
  <si>
    <t>備註</t>
    <phoneticPr fontId="6" type="noConversion"/>
  </si>
  <si>
    <t>涼麵+烤飯糰</t>
  </si>
  <si>
    <t>大口飯糰線</t>
  </si>
  <si>
    <t>烤飯糰+手卷</t>
  </si>
  <si>
    <r>
      <rPr>
        <b/>
        <sz val="16"/>
        <color theme="1"/>
        <rFont val="Segoe UI Symbol"/>
        <family val="2"/>
      </rPr>
      <t>➃</t>
    </r>
    <r>
      <rPr>
        <b/>
        <sz val="16"/>
        <color theme="1"/>
        <rFont val="微軟正黑體"/>
        <family val="2"/>
        <charset val="136"/>
      </rPr>
      <t>18度C-各編組展開</t>
    </r>
    <r>
      <rPr>
        <b/>
        <sz val="16"/>
        <color theme="1"/>
        <rFont val="Calibri"/>
        <family val="2"/>
      </rPr>
      <t xml:space="preserve"> (</t>
    </r>
    <r>
      <rPr>
        <b/>
        <sz val="16"/>
        <color theme="1"/>
        <rFont val="微軟正黑體"/>
        <family val="2"/>
        <charset val="136"/>
      </rPr>
      <t>一配</t>
    </r>
    <r>
      <rPr>
        <b/>
        <sz val="16"/>
        <color theme="1"/>
        <rFont val="Calibri"/>
        <family val="2"/>
      </rPr>
      <t>)</t>
    </r>
    <phoneticPr fontId="6" type="noConversion"/>
  </si>
  <si>
    <t>⑤18度C-各編組展開 (二配)</t>
    <phoneticPr fontId="5" type="noConversion"/>
  </si>
  <si>
    <t>自動包裝機2</t>
  </si>
  <si>
    <t>味付飯糰線B</t>
  </si>
  <si>
    <t>(舊)
3300型飯糰線</t>
  </si>
  <si>
    <t>3000型飯糰線</t>
    <phoneticPr fontId="5" type="noConversion"/>
  </si>
  <si>
    <t>(新)
3300型飯糰機</t>
  </si>
  <si>
    <t>GKK3600型
飯糰機</t>
    <phoneticPr fontId="9" type="noConversion"/>
  </si>
  <si>
    <t>GKK3600型
飯糰機2</t>
    <phoneticPr fontId="5" type="noConversion"/>
  </si>
  <si>
    <t>自動包裝機</t>
    <phoneticPr fontId="6" type="noConversion"/>
  </si>
  <si>
    <t>自動包裝機3</t>
    <phoneticPr fontId="5" type="noConversion"/>
  </si>
  <si>
    <t>味付飯糰線B</t>
    <phoneticPr fontId="6" type="noConversion"/>
  </si>
  <si>
    <t>(舊)
3300型飯糰線</t>
    <phoneticPr fontId="6" type="noConversion"/>
  </si>
  <si>
    <t>(新)
3300型飯糰機</t>
    <phoneticPr fontId="6" type="noConversion"/>
  </si>
  <si>
    <t>GKK3600型
飯糰機2</t>
    <phoneticPr fontId="9" type="noConversion"/>
  </si>
  <si>
    <t>夾心型</t>
  </si>
  <si>
    <t>3300型</t>
  </si>
  <si>
    <t>GKK</t>
  </si>
  <si>
    <t>大溪廠日報分析</t>
    <phoneticPr fontId="9" type="noConversion"/>
  </si>
  <si>
    <t>總生產量</t>
    <phoneticPr fontId="9" type="noConversion"/>
  </si>
  <si>
    <t>出勤人數</t>
    <phoneticPr fontId="9" type="noConversion"/>
  </si>
  <si>
    <t>產線配置圖</t>
    <phoneticPr fontId="9" type="noConversion"/>
  </si>
  <si>
    <t>生產實績</t>
    <phoneticPr fontId="9" type="noConversion"/>
  </si>
  <si>
    <t>人時性差異分析</t>
    <phoneticPr fontId="9" type="noConversion"/>
  </si>
  <si>
    <t>日報登錄</t>
    <phoneticPr fontId="9" type="noConversion"/>
  </si>
  <si>
    <t>分析說明</t>
    <phoneticPr fontId="9" type="noConversion"/>
  </si>
  <si>
    <t>產能差異分析</t>
    <phoneticPr fontId="9" type="noConversion"/>
  </si>
  <si>
    <t>平均廠價</t>
  </si>
  <si>
    <t>多次生產數</t>
    <phoneticPr fontId="9" type="noConversion"/>
  </si>
  <si>
    <t>線別</t>
    <phoneticPr fontId="6" type="noConversion"/>
  </si>
  <si>
    <t>品類</t>
    <phoneticPr fontId="9" type="noConversion"/>
  </si>
  <si>
    <t>品名</t>
    <phoneticPr fontId="6" type="noConversion"/>
  </si>
  <si>
    <t>廠價</t>
    <phoneticPr fontId="9" type="noConversion"/>
  </si>
  <si>
    <t>生產量</t>
    <phoneticPr fontId="9" type="noConversion"/>
  </si>
  <si>
    <t>營收</t>
    <phoneticPr fontId="9" type="noConversion"/>
  </si>
  <si>
    <t>多次
生產</t>
    <phoneticPr fontId="9" type="noConversion"/>
  </si>
  <si>
    <t>人數</t>
    <phoneticPr fontId="9" type="noConversion"/>
  </si>
  <si>
    <t>產能/時</t>
    <phoneticPr fontId="9" type="noConversion"/>
  </si>
  <si>
    <t>達成率</t>
    <phoneticPr fontId="9" type="noConversion"/>
  </si>
  <si>
    <t>達成率
平均</t>
    <phoneticPr fontId="9" type="noConversion"/>
  </si>
  <si>
    <t>生產時間</t>
    <rPh sb="0" eb="4">
      <t>カイシジカン</t>
    </rPh>
    <phoneticPr fontId="1"/>
  </si>
  <si>
    <t>換線、休息/分</t>
    <rPh sb="0" eb="2">
      <t>キリカエ</t>
    </rPh>
    <phoneticPr fontId="1"/>
  </si>
  <si>
    <t>稼動時間/分</t>
    <phoneticPr fontId="9" type="noConversion"/>
  </si>
  <si>
    <t>休息時間</t>
    <phoneticPr fontId="9" type="noConversion"/>
  </si>
  <si>
    <t>(屏榮回填)</t>
    <phoneticPr fontId="9" type="noConversion"/>
  </si>
  <si>
    <t>達成率平均</t>
    <phoneticPr fontId="9" type="noConversion"/>
  </si>
  <si>
    <t>開始</t>
    <rPh sb="0" eb="2">
      <t>カイシジカン</t>
    </rPh>
    <phoneticPr fontId="1"/>
  </si>
  <si>
    <t>結束</t>
    <rPh sb="0" eb="2">
      <t>シュウリョウジカン</t>
    </rPh>
    <phoneticPr fontId="1"/>
  </si>
  <si>
    <t>開始</t>
    <phoneticPr fontId="9" type="noConversion"/>
  </si>
  <si>
    <t>結束</t>
    <phoneticPr fontId="9" type="noConversion"/>
  </si>
  <si>
    <t>18℃-壽司手卷</t>
  </si>
  <si>
    <t>平均</t>
    <phoneticPr fontId="9" type="noConversion"/>
  </si>
  <si>
    <t>自動包裝機</t>
    <phoneticPr fontId="9" type="noConversion"/>
  </si>
  <si>
    <t>一配長野稻荷壽司</t>
  </si>
  <si>
    <t>18℃-飯糰</t>
  </si>
  <si>
    <t>一配兩粒飯糰(鮪魚.焦糖鮭魚)</t>
  </si>
  <si>
    <t>自動包裝機2</t>
    <phoneticPr fontId="9" type="noConversion"/>
  </si>
  <si>
    <t>(新)
3300型飯糰機</t>
    <phoneticPr fontId="9" type="noConversion"/>
  </si>
  <si>
    <t>一配鹽蔥燒肉飯糰</t>
  </si>
  <si>
    <t>一配雞肉飯飯糰</t>
  </si>
  <si>
    <t>一配蔬食鮪魚飯糰</t>
  </si>
  <si>
    <t>一配經典肉鬆飯糰</t>
  </si>
  <si>
    <t>一配明太子龍蝦風味沙拉飯糰</t>
  </si>
  <si>
    <t>一配鮪魚飯糰</t>
  </si>
  <si>
    <t>一配熟成紅鮭飯糰</t>
  </si>
  <si>
    <t>一配北海道秋鮭親子飯糰</t>
  </si>
  <si>
    <t>一配贅沢鮭魚肚飯糰</t>
  </si>
  <si>
    <t>自動包裝機
(二配)</t>
    <phoneticPr fontId="9" type="noConversion"/>
  </si>
  <si>
    <t>二配兩粒飯糰(鮪魚.焦糖鮭魚)</t>
  </si>
  <si>
    <t>二配三杯醬爆菇菇飯糰</t>
  </si>
  <si>
    <t>二配大飯糰韓式蒜烤豬五花</t>
  </si>
  <si>
    <t>(新)
3300型飯糰機 (二配)</t>
    <phoneticPr fontId="9" type="noConversion"/>
  </si>
  <si>
    <t>二配鹽蔥燒肉飯糰</t>
  </si>
  <si>
    <t>二配雞肉飯飯糰</t>
  </si>
  <si>
    <t>GKK3600型
飯糰機
(二配)</t>
    <phoneticPr fontId="9" type="noConversion"/>
  </si>
  <si>
    <t>二配經典肉鬆飯糰</t>
  </si>
  <si>
    <t>二配芝麻香鬆飯糰</t>
  </si>
  <si>
    <t>二配鮪魚飯糰</t>
  </si>
  <si>
    <t>GKK3600型
飯糰機2
(二配)</t>
    <phoneticPr fontId="9" type="noConversion"/>
  </si>
  <si>
    <t>二配明太子龍蝦風味沙拉飯糰</t>
  </si>
  <si>
    <t>二配蔬食鮪魚飯糰</t>
  </si>
  <si>
    <t>二配北海道秋鮭親子飯糰</t>
  </si>
  <si>
    <t>二配熟成紅鮭飯糰</t>
  </si>
  <si>
    <t>原因回覆</t>
  </si>
  <si>
    <t>1.當日出勤人數較多</t>
  </si>
  <si>
    <t>2.當日出勤人數較少</t>
  </si>
  <si>
    <t>3.當日出勤熟手較多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</si>
  <si>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</si>
  <si>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</si>
  <si>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</si>
  <si>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</si>
  <si>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</si>
  <si>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</si>
  <si>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</si>
  <si>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</si>
  <si>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12.活動期間品項需貼標</t>
    <phoneticPr fontId="5" type="noConversion"/>
  </si>
  <si>
    <t>合計(時間/分)</t>
    <phoneticPr fontId="6" type="noConversion"/>
  </si>
  <si>
    <t>產線異常
分析說明(5分鐘以上)</t>
    <phoneticPr fontId="9" type="noConversion"/>
  </si>
  <si>
    <t>總次數</t>
    <phoneticPr fontId="5" type="noConversion"/>
  </si>
  <si>
    <t>設備因素(次數)</t>
    <phoneticPr fontId="5" type="noConversion"/>
  </si>
  <si>
    <t>微波小吃</t>
  </si>
  <si>
    <t>日式茶碗蒸</t>
  </si>
  <si>
    <t>4℃-飯糰</t>
  </si>
  <si>
    <t>麻油雞飯糰</t>
  </si>
  <si>
    <t>便當二線</t>
    <phoneticPr fontId="9" type="noConversion"/>
  </si>
  <si>
    <t>微波主食</t>
  </si>
  <si>
    <t>糖燻野郎三十天熟成牛飯</t>
  </si>
  <si>
    <t>便當</t>
  </si>
  <si>
    <t>烤蛋白餐盒</t>
  </si>
  <si>
    <t>健身G肉餐盒</t>
  </si>
  <si>
    <t>涼麵一線</t>
    <phoneticPr fontId="9" type="noConversion"/>
  </si>
  <si>
    <t>涼麵二線</t>
    <phoneticPr fontId="9" type="noConversion"/>
  </si>
  <si>
    <t>海陸雙拼肉肉餐盒</t>
  </si>
  <si>
    <t>香腸腿排雙拼便當</t>
  </si>
  <si>
    <t>蔬活腿排補力餐盒</t>
  </si>
  <si>
    <t>涼麵一線
(二配)</t>
    <phoneticPr fontId="9" type="noConversion"/>
  </si>
  <si>
    <t>二配里肌豬排可可咖哩歐姆蛋飯</t>
  </si>
  <si>
    <t>二配黃金雞排蘑菇白醬歐姆蛋飯</t>
  </si>
  <si>
    <t>一配鮭魚奶油醬油飯糰</t>
  </si>
  <si>
    <t>合計次數</t>
  </si>
  <si>
    <t>合計(時間/分)</t>
  </si>
  <si>
    <t>產線異常統計(5分鐘以上)</t>
    <phoneticPr fontId="9" type="noConversion"/>
  </si>
  <si>
    <t>短暫停線統計(5分鐘以下)</t>
    <phoneticPr fontId="9" type="noConversion"/>
  </si>
  <si>
    <t>涼麵三線</t>
    <phoneticPr fontId="9" type="noConversion"/>
  </si>
  <si>
    <t>4℃-壽司手卷</t>
  </si>
  <si>
    <t>便當二線
(二配)</t>
    <phoneticPr fontId="9" type="noConversion"/>
  </si>
  <si>
    <t>二配濃起司燻腸紅醬焗烤飯</t>
  </si>
  <si>
    <t>一配經典人氣雙手卷</t>
  </si>
  <si>
    <t>一配鮭鮪海饌雙手卷</t>
  </si>
  <si>
    <t>二配贅沢鮭魚肚飯糰</t>
  </si>
  <si>
    <t>季節調理麵</t>
  </si>
  <si>
    <t>和風涓絲冷麵</t>
  </si>
  <si>
    <t>大滿足香辣涼麵</t>
  </si>
  <si>
    <t>大滿足麻醬涼麵</t>
  </si>
  <si>
    <t>二配香烤魚排青醬燉飯</t>
  </si>
  <si>
    <t>一配黑胡椒洋蔥豬飯糰</t>
  </si>
  <si>
    <t>懷舊滷雙拼便當</t>
  </si>
  <si>
    <t>鮪魚昆布細卷</t>
  </si>
  <si>
    <t>肉鬆火腿細卷</t>
  </si>
  <si>
    <t>一配椒鹽檸檬鯖魚飯糰</t>
  </si>
  <si>
    <t>海陸雙拼壽司</t>
  </si>
  <si>
    <t>二配西班牙風味海鮮燉飯</t>
  </si>
  <si>
    <t>地中海布格麥烤魚餐盒</t>
  </si>
  <si>
    <t>一配筋子銀鮭飯糰</t>
  </si>
  <si>
    <t>一配青木瓜雞絲泰泰雙手卷</t>
  </si>
  <si>
    <t>一配鹽蔥生鮭飯糰</t>
  </si>
  <si>
    <t>韓式泡菜冷麵</t>
  </si>
  <si>
    <t>香烤鱈魚輕蔬餐盒</t>
  </si>
  <si>
    <t>二配醬燒炙烤牛飯糰</t>
  </si>
  <si>
    <t>一配醬燒炙烤牛飯糰</t>
  </si>
  <si>
    <t>蔥花生鮪魚脆卷</t>
  </si>
  <si>
    <t>香濃明太子嫩雞飯卷</t>
  </si>
  <si>
    <t>二配卵黃牛挽肉飯糰</t>
  </si>
  <si>
    <t>二配生鱈魚子鮭魚飯糰</t>
  </si>
  <si>
    <t>一配卵黃牛挽肉飯糰</t>
  </si>
  <si>
    <t>一配生鱈魚子鮭魚飯糰</t>
  </si>
  <si>
    <t>二配起司棉被海陸白醬焗烤飯</t>
  </si>
  <si>
    <t>經典傳統飯糰</t>
  </si>
  <si>
    <t>生菜鮮蝦脆卷</t>
  </si>
  <si>
    <t>里肌肉蛋紫米飯糰</t>
  </si>
  <si>
    <t>一配陽光蔬彩雙手卷</t>
  </si>
  <si>
    <t>一配熊本麥味噌雞肉飯糰</t>
  </si>
  <si>
    <r>
      <t>115.10.01星期</t>
    </r>
    <r>
      <rPr>
        <b/>
        <sz val="14"/>
        <color theme="0"/>
        <rFont val="Microsoft JhengHei UI"/>
        <family val="2"/>
        <charset val="136"/>
      </rPr>
      <t>四</t>
    </r>
    <phoneticPr fontId="9" type="noConversion"/>
  </si>
  <si>
    <r>
      <t>115.10.02星期</t>
    </r>
    <r>
      <rPr>
        <b/>
        <sz val="14"/>
        <color theme="0"/>
        <rFont val="Microsoft JhengHei UI"/>
        <family val="2"/>
        <charset val="136"/>
      </rPr>
      <t>五</t>
    </r>
    <phoneticPr fontId="9" type="noConversion"/>
  </si>
  <si>
    <r>
      <t>115.10.03星期</t>
    </r>
    <r>
      <rPr>
        <b/>
        <sz val="14"/>
        <color theme="0"/>
        <rFont val="Microsoft JhengHei UI"/>
        <family val="2"/>
        <charset val="136"/>
      </rPr>
      <t>六</t>
    </r>
    <phoneticPr fontId="9" type="noConversion"/>
  </si>
  <si>
    <r>
      <t>115.10.04星期</t>
    </r>
    <r>
      <rPr>
        <b/>
        <sz val="14"/>
        <color theme="0"/>
        <rFont val="Microsoft JhengHei UI"/>
        <family val="2"/>
        <charset val="136"/>
      </rPr>
      <t>日</t>
    </r>
    <phoneticPr fontId="9" type="noConversion"/>
  </si>
  <si>
    <r>
      <t>115.10.05星期</t>
    </r>
    <r>
      <rPr>
        <b/>
        <sz val="14"/>
        <color theme="0"/>
        <rFont val="Microsoft JhengHei UI"/>
        <family val="2"/>
        <charset val="136"/>
      </rPr>
      <t>一</t>
    </r>
    <phoneticPr fontId="9" type="noConversion"/>
  </si>
  <si>
    <t>一配陽光蔬彩雙手卷</t>
    <phoneticPr fontId="5" type="noConversion"/>
  </si>
  <si>
    <r>
      <t>115.10.06星期</t>
    </r>
    <r>
      <rPr>
        <b/>
        <sz val="14"/>
        <color theme="0"/>
        <rFont val="Microsoft JhengHei UI"/>
        <family val="2"/>
        <charset val="136"/>
      </rPr>
      <t>二</t>
    </r>
    <phoneticPr fontId="9" type="noConversion"/>
  </si>
  <si>
    <t>小黃瓜壽司卷</t>
  </si>
  <si>
    <r>
      <t>115.10.07星期</t>
    </r>
    <r>
      <rPr>
        <b/>
        <sz val="14"/>
        <color theme="0"/>
        <rFont val="Microsoft JhengHei UI"/>
        <family val="2"/>
        <charset val="136"/>
      </rPr>
      <t>三</t>
    </r>
    <phoneticPr fontId="9" type="noConversion"/>
  </si>
  <si>
    <r>
      <t>115.10.08星期</t>
    </r>
    <r>
      <rPr>
        <b/>
        <sz val="14"/>
        <color theme="0"/>
        <rFont val="Microsoft JhengHei UI"/>
        <family val="2"/>
        <charset val="136"/>
      </rPr>
      <t>四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</si>
</sst>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0.0%"/>
    <numFmt numFmtId="180" formatCode="h:mm;@"/>
    <numFmt numFmtId="181" formatCode="[$-F800]dddd\,\ mmmm\ dd\,\ yyyy"/>
    <numFmt numFmtId="182" formatCode="0_ "/>
    <numFmt numFmtId="183" formatCode="0.0_ "/>
    <numFmt numFmtId="184" formatCode="0_);[Red]\(0\)"/>
  </numFmts>
  <fonts count="31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9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8"/>
      <color theme="1"/>
      <name val="Meiryo UI"/>
      <family val="2"/>
      <charset val="128"/>
    </font>
    <font>
      <sz val="18"/>
      <color theme="1"/>
      <name val="微軟正黑體"/>
      <family val="2"/>
      <charset val="136"/>
    </font>
    <font>
      <sz val="15"/>
      <name val="微軟正黑體"/>
      <family val="2"/>
      <charset val="136"/>
    </font>
    <font>
      <sz val="12"/>
      <color theme="1"/>
      <name val="Calibri"/>
      <family val="2"/>
    </font>
    <font>
      <sz val="12"/>
      <color theme="1"/>
      <name val="Microsoft JhengHei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theme="1"/>
      <name val="Segoe UI Symbol"/>
      <family val="2"/>
    </font>
    <font>
      <sz val="11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1"/>
      <name val="微軟正黑體"/>
      <family val="2"/>
      <charset val="136"/>
    </font>
    <font>
      <b/>
      <sz val="16"/>
      <color theme="1"/>
      <name val="Calibri"/>
      <family val="2"/>
    </font>
    <font>
      <sz val="12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b/>
      <sz val="12"/>
      <name val="微軟正黑體"/>
      <family val="2"/>
      <charset val="136"/>
    </font>
    <font>
      <sz val="16"/>
      <name val="微軟正黑體"/>
      <family val="2"/>
      <charset val="136"/>
    </font>
    <font>
      <b/>
      <sz val="14"/>
      <color theme="0"/>
      <name val="Microsoft JhengHei UI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BF1DE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7" fillId="0" borderId="0">
      <alignment vertical="center"/>
    </xf>
  </cellStyleXfs>
  <cellXfs count="395">
    <xf numFmtId="0" fontId="0" fillId="0" borderId="0" xfId="0">
      <alignment vertical="center"/>
    </xf>
    <xf numFmtId="0" fontId="3" fillId="0" borderId="0" xfId="1" applyFont="1">
      <alignment vertical="center"/>
    </xf>
    <xf numFmtId="0" fontId="1" fillId="0" borderId="0" xfId="1" applyFont="1">
      <alignment vertical="center"/>
    </xf>
    <xf numFmtId="0" fontId="7" fillId="0" borderId="2" xfId="2" applyFont="1" applyBorder="1" applyAlignment="1">
      <alignment horizontal="center" vertical="center"/>
    </xf>
    <xf numFmtId="0" fontId="1" fillId="0" borderId="5" xfId="2" applyFont="1" applyBorder="1">
      <alignment vertical="center"/>
    </xf>
    <xf numFmtId="0" fontId="1" fillId="0" borderId="0" xfId="2" applyFont="1">
      <alignment vertical="center"/>
    </xf>
    <xf numFmtId="0" fontId="1" fillId="0" borderId="4" xfId="2" applyFont="1" applyBorder="1" applyAlignment="1">
      <alignment horizontal="center" vertical="center"/>
    </xf>
    <xf numFmtId="0" fontId="13" fillId="0" borderId="8" xfId="4" applyFont="1" applyBorder="1" applyAlignment="1">
      <alignment horizontal="center" vertical="center" wrapText="1"/>
    </xf>
    <xf numFmtId="0" fontId="13" fillId="0" borderId="9" xfId="4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7" fillId="0" borderId="0" xfId="2" applyFont="1">
      <alignment vertical="center"/>
    </xf>
    <xf numFmtId="0" fontId="18" fillId="0" borderId="0" xfId="2" applyFont="1">
      <alignment vertical="center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21" fillId="0" borderId="14" xfId="1" applyFont="1" applyBorder="1" applyAlignment="1">
      <alignment horizontal="center" vertical="center" wrapText="1"/>
    </xf>
    <xf numFmtId="0" fontId="21" fillId="0" borderId="2" xfId="1" applyFont="1" applyBorder="1" applyAlignment="1">
      <alignment horizontal="center" vertical="center" wrapText="1"/>
    </xf>
    <xf numFmtId="0" fontId="21" fillId="0" borderId="3" xfId="1" applyFont="1" applyBorder="1" applyAlignment="1">
      <alignment horizontal="center" vertical="center" wrapText="1"/>
    </xf>
    <xf numFmtId="0" fontId="21" fillId="0" borderId="14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/>
    </xf>
    <xf numFmtId="0" fontId="21" fillId="0" borderId="15" xfId="1" applyFont="1" applyBorder="1" applyAlignment="1">
      <alignment horizontal="center" vertical="center" wrapText="1"/>
    </xf>
    <xf numFmtId="180" fontId="1" fillId="0" borderId="0" xfId="2" applyNumberFormat="1" applyFont="1" applyAlignment="1">
      <alignment horizontal="center" vertical="center"/>
    </xf>
    <xf numFmtId="0" fontId="1" fillId="0" borderId="15" xfId="2" applyFont="1" applyBorder="1" applyAlignment="1">
      <alignment horizontal="center" vertical="center" wrapText="1"/>
    </xf>
    <xf numFmtId="178" fontId="1" fillId="0" borderId="14" xfId="1" applyNumberFormat="1" applyFont="1" applyBorder="1" applyAlignment="1">
      <alignment horizontal="center" vertical="center" wrapText="1"/>
    </xf>
    <xf numFmtId="178" fontId="1" fillId="0" borderId="2" xfId="1" applyNumberFormat="1" applyFont="1" applyBorder="1" applyAlignment="1">
      <alignment horizontal="center" vertical="center" wrapText="1"/>
    </xf>
    <xf numFmtId="178" fontId="1" fillId="0" borderId="3" xfId="1" applyNumberFormat="1" applyFont="1" applyBorder="1" applyAlignment="1">
      <alignment horizontal="center" vertical="center" wrapText="1"/>
    </xf>
    <xf numFmtId="178" fontId="1" fillId="0" borderId="4" xfId="1" applyNumberFormat="1" applyFont="1" applyBorder="1" applyAlignment="1">
      <alignment horizontal="center" vertical="center" wrapText="1"/>
    </xf>
    <xf numFmtId="178" fontId="1" fillId="0" borderId="15" xfId="1" applyNumberFormat="1" applyFont="1" applyBorder="1" applyAlignment="1">
      <alignment horizontal="center" vertical="center" wrapText="1"/>
    </xf>
    <xf numFmtId="2" fontId="1" fillId="0" borderId="0" xfId="1" applyNumberFormat="1" applyFont="1">
      <alignment vertical="center"/>
    </xf>
    <xf numFmtId="0" fontId="23" fillId="0" borderId="15" xfId="2" applyFont="1" applyBorder="1" applyAlignment="1">
      <alignment horizontal="center" vertical="center" wrapText="1"/>
    </xf>
    <xf numFmtId="178" fontId="23" fillId="9" borderId="14" xfId="1" applyNumberFormat="1" applyFont="1" applyFill="1" applyBorder="1" applyAlignment="1">
      <alignment horizontal="center" vertical="center"/>
    </xf>
    <xf numFmtId="178" fontId="23" fillId="9" borderId="2" xfId="1" applyNumberFormat="1" applyFont="1" applyFill="1" applyBorder="1" applyAlignment="1">
      <alignment horizontal="center" vertical="center"/>
    </xf>
    <xf numFmtId="178" fontId="23" fillId="9" borderId="3" xfId="1" applyNumberFormat="1" applyFont="1" applyFill="1" applyBorder="1" applyAlignment="1">
      <alignment horizontal="center" vertical="center"/>
    </xf>
    <xf numFmtId="178" fontId="23" fillId="9" borderId="15" xfId="1" applyNumberFormat="1" applyFont="1" applyFill="1" applyBorder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1" fontId="1" fillId="0" borderId="0" xfId="1" applyNumberFormat="1" applyFont="1">
      <alignment vertical="center"/>
    </xf>
    <xf numFmtId="0" fontId="23" fillId="0" borderId="15" xfId="2" applyFont="1" applyBorder="1" applyAlignment="1">
      <alignment horizontal="center" vertical="center"/>
    </xf>
    <xf numFmtId="179" fontId="23" fillId="0" borderId="14" xfId="6" applyNumberFormat="1" applyFont="1" applyBorder="1" applyAlignment="1">
      <alignment horizontal="center" vertical="center"/>
    </xf>
    <xf numFmtId="179" fontId="23" fillId="0" borderId="2" xfId="6" applyNumberFormat="1" applyFont="1" applyBorder="1" applyAlignment="1">
      <alignment horizontal="center" vertical="center"/>
    </xf>
    <xf numFmtId="179" fontId="23" fillId="0" borderId="3" xfId="6" applyNumberFormat="1" applyFont="1" applyBorder="1" applyAlignment="1">
      <alignment horizontal="center" vertical="center"/>
    </xf>
    <xf numFmtId="179" fontId="23" fillId="0" borderId="4" xfId="6" applyNumberFormat="1" applyFont="1" applyBorder="1" applyAlignment="1">
      <alignment horizontal="center" vertical="center"/>
    </xf>
    <xf numFmtId="179" fontId="23" fillId="0" borderId="15" xfId="6" applyNumberFormat="1" applyFont="1" applyBorder="1" applyAlignment="1">
      <alignment horizontal="center" vertical="center"/>
    </xf>
    <xf numFmtId="180" fontId="1" fillId="0" borderId="14" xfId="2" applyNumberFormat="1" applyFont="1" applyBorder="1" applyAlignment="1">
      <alignment horizontal="center" vertical="center"/>
    </xf>
    <xf numFmtId="180" fontId="1" fillId="0" borderId="2" xfId="2" applyNumberFormat="1" applyFont="1" applyBorder="1" applyAlignment="1">
      <alignment horizontal="center" vertical="center"/>
    </xf>
    <xf numFmtId="180" fontId="1" fillId="0" borderId="4" xfId="2" applyNumberFormat="1" applyFont="1" applyBorder="1" applyAlignment="1">
      <alignment horizontal="center" vertical="center"/>
    </xf>
    <xf numFmtId="180" fontId="1" fillId="0" borderId="15" xfId="2" applyNumberFormat="1" applyFont="1" applyBorder="1" applyAlignment="1">
      <alignment horizontal="center" vertical="center"/>
    </xf>
    <xf numFmtId="0" fontId="0" fillId="3" borderId="15" xfId="2" applyFont="1" applyFill="1" applyBorder="1" applyAlignment="1">
      <alignment horizontal="center" vertical="center"/>
    </xf>
    <xf numFmtId="0" fontId="1" fillId="3" borderId="2" xfId="2" applyFont="1" applyFill="1" applyBorder="1" applyAlignment="1">
      <alignment horizontal="center" vertical="center"/>
    </xf>
    <xf numFmtId="0" fontId="1" fillId="3" borderId="3" xfId="2" applyFont="1" applyFill="1" applyBorder="1" applyAlignment="1">
      <alignment horizontal="center" vertical="center"/>
    </xf>
    <xf numFmtId="0" fontId="1" fillId="3" borderId="14" xfId="2" applyFont="1" applyFill="1" applyBorder="1" applyAlignment="1">
      <alignment horizontal="center" vertical="center"/>
    </xf>
    <xf numFmtId="0" fontId="1" fillId="3" borderId="4" xfId="2" applyFont="1" applyFill="1" applyBorder="1" applyAlignment="1">
      <alignment horizontal="center" vertical="center"/>
    </xf>
    <xf numFmtId="0" fontId="1" fillId="3" borderId="15" xfId="2" applyFont="1" applyFill="1" applyBorder="1" applyAlignment="1">
      <alignment horizontal="center" vertical="center"/>
    </xf>
    <xf numFmtId="1" fontId="1" fillId="0" borderId="14" xfId="1" applyNumberFormat="1" applyFont="1" applyBorder="1" applyAlignment="1">
      <alignment horizontal="center" vertical="center"/>
    </xf>
    <xf numFmtId="1" fontId="1" fillId="0" borderId="2" xfId="1" applyNumberFormat="1" applyFont="1" applyBorder="1" applyAlignment="1">
      <alignment horizontal="center" vertical="center"/>
    </xf>
    <xf numFmtId="1" fontId="1" fillId="0" borderId="3" xfId="1" applyNumberFormat="1" applyFont="1" applyBorder="1" applyAlignment="1">
      <alignment horizontal="center" vertical="center"/>
    </xf>
    <xf numFmtId="1" fontId="1" fillId="0" borderId="15" xfId="1" applyNumberFormat="1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0" fontId="24" fillId="0" borderId="14" xfId="1" applyFont="1" applyBorder="1" applyAlignment="1">
      <alignment horizontal="center" vertical="center"/>
    </xf>
    <xf numFmtId="0" fontId="24" fillId="0" borderId="2" xfId="1" applyFont="1" applyBorder="1" applyAlignment="1">
      <alignment horizontal="center" vertical="center"/>
    </xf>
    <xf numFmtId="0" fontId="24" fillId="0" borderId="3" xfId="1" applyFont="1" applyBorder="1" applyAlignment="1">
      <alignment horizontal="center" vertical="center"/>
    </xf>
    <xf numFmtId="0" fontId="24" fillId="0" borderId="4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24" fillId="0" borderId="19" xfId="1" applyFont="1" applyBorder="1">
      <alignment vertical="center"/>
    </xf>
    <xf numFmtId="0" fontId="24" fillId="0" borderId="21" xfId="1" applyFont="1" applyBorder="1" applyAlignment="1">
      <alignment horizontal="center" vertical="center"/>
    </xf>
    <xf numFmtId="0" fontId="24" fillId="0" borderId="21" xfId="1" applyFont="1" applyBorder="1">
      <alignment vertical="center"/>
    </xf>
    <xf numFmtId="0" fontId="24" fillId="0" borderId="22" xfId="1" applyFont="1" applyBorder="1" applyAlignment="1">
      <alignment horizontal="center" vertical="center"/>
    </xf>
    <xf numFmtId="0" fontId="1" fillId="0" borderId="19" xfId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/>
    </xf>
    <xf numFmtId="0" fontId="24" fillId="0" borderId="20" xfId="1" applyFont="1" applyBorder="1" applyAlignment="1">
      <alignment horizontal="center" vertical="center"/>
    </xf>
    <xf numFmtId="0" fontId="21" fillId="0" borderId="14" xfId="2" applyFont="1" applyBorder="1" applyAlignment="1">
      <alignment horizontal="center" vertical="center"/>
    </xf>
    <xf numFmtId="0" fontId="21" fillId="0" borderId="4" xfId="2" applyFont="1" applyBorder="1" applyAlignment="1">
      <alignment horizontal="center" vertical="center"/>
    </xf>
    <xf numFmtId="0" fontId="21" fillId="0" borderId="2" xfId="7" applyFont="1" applyBorder="1" applyAlignment="1">
      <alignment horizontal="center" vertical="center" wrapText="1"/>
    </xf>
    <xf numFmtId="0" fontId="21" fillId="0" borderId="15" xfId="7" applyFont="1" applyBorder="1" applyAlignment="1">
      <alignment horizontal="center" vertical="center" wrapText="1"/>
    </xf>
    <xf numFmtId="0" fontId="1" fillId="0" borderId="23" xfId="2" applyFont="1" applyBorder="1" applyAlignment="1">
      <alignment horizontal="center" vertical="center"/>
    </xf>
    <xf numFmtId="0" fontId="24" fillId="0" borderId="19" xfId="1" applyFont="1" applyBorder="1" applyAlignment="1">
      <alignment horizontal="center" vertical="center"/>
    </xf>
    <xf numFmtId="178" fontId="1" fillId="0" borderId="0" xfId="1" applyNumberFormat="1" applyFont="1">
      <alignment vertical="center"/>
    </xf>
    <xf numFmtId="0" fontId="22" fillId="0" borderId="11" xfId="2" applyFont="1" applyBorder="1">
      <alignment vertical="center"/>
    </xf>
    <xf numFmtId="0" fontId="22" fillId="0" borderId="24" xfId="2" applyFont="1" applyBorder="1" applyAlignment="1">
      <alignment vertical="center" shrinkToFit="1"/>
    </xf>
    <xf numFmtId="0" fontId="22" fillId="0" borderId="25" xfId="2" applyFont="1" applyBorder="1" applyAlignment="1">
      <alignment horizontal="left" vertical="center" shrinkToFit="1"/>
    </xf>
    <xf numFmtId="0" fontId="7" fillId="10" borderId="26" xfId="2" applyFont="1" applyFill="1" applyBorder="1" applyAlignment="1">
      <alignment horizontal="center" vertical="center" shrinkToFit="1"/>
    </xf>
    <xf numFmtId="0" fontId="22" fillId="0" borderId="26" xfId="2" applyFont="1" applyBorder="1" applyAlignment="1">
      <alignment horizontal="center" vertical="center" shrinkToFit="1"/>
    </xf>
    <xf numFmtId="43" fontId="7" fillId="0" borderId="25" xfId="2" applyNumberFormat="1" applyFont="1" applyBorder="1" applyAlignment="1">
      <alignment vertical="center" shrinkToFit="1"/>
    </xf>
    <xf numFmtId="0" fontId="22" fillId="0" borderId="25" xfId="2" applyFont="1" applyBorder="1" applyAlignment="1">
      <alignment vertical="center" shrinkToFit="1"/>
    </xf>
    <xf numFmtId="1" fontId="22" fillId="0" borderId="26" xfId="2" applyNumberFormat="1" applyFont="1" applyBorder="1" applyAlignment="1">
      <alignment horizontal="center" vertical="center" shrinkToFit="1"/>
    </xf>
    <xf numFmtId="0" fontId="22" fillId="0" borderId="6" xfId="2" applyFont="1" applyBorder="1" applyAlignment="1">
      <alignment horizontal="left" vertical="center" shrinkToFit="1"/>
    </xf>
    <xf numFmtId="178" fontId="22" fillId="0" borderId="34" xfId="2" applyNumberFormat="1" applyFont="1" applyBorder="1" applyAlignment="1">
      <alignment horizontal="center" vertical="center" shrinkToFit="1"/>
    </xf>
    <xf numFmtId="43" fontId="22" fillId="0" borderId="6" xfId="2" applyNumberFormat="1" applyFont="1" applyBorder="1" applyAlignment="1">
      <alignment vertical="center" shrinkToFit="1"/>
    </xf>
    <xf numFmtId="0" fontId="22" fillId="0" borderId="6" xfId="2" applyFont="1" applyBorder="1" applyAlignment="1">
      <alignment vertical="center" shrinkToFit="1"/>
    </xf>
    <xf numFmtId="0" fontId="22" fillId="0" borderId="34" xfId="2" applyFont="1" applyBorder="1" applyAlignment="1">
      <alignment horizontal="center" vertical="center" shrinkToFit="1"/>
    </xf>
    <xf numFmtId="0" fontId="1" fillId="0" borderId="25" xfId="2" applyFont="1" applyBorder="1" applyAlignment="1">
      <alignment horizontal="center" vertical="center"/>
    </xf>
    <xf numFmtId="0" fontId="1" fillId="0" borderId="46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 shrinkToFit="1"/>
    </xf>
    <xf numFmtId="2" fontId="1" fillId="0" borderId="4" xfId="8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2" fontId="1" fillId="0" borderId="3" xfId="2" applyNumberFormat="1" applyFont="1" applyBorder="1" applyAlignment="1">
      <alignment horizontal="right" vertical="center"/>
    </xf>
    <xf numFmtId="1" fontId="1" fillId="4" borderId="14" xfId="2" applyNumberFormat="1" applyFont="1" applyFill="1" applyBorder="1" applyAlignment="1">
      <alignment horizontal="center" vertical="center"/>
    </xf>
    <xf numFmtId="1" fontId="1" fillId="0" borderId="2" xfId="2" applyNumberFormat="1" applyFont="1" applyBorder="1" applyAlignment="1">
      <alignment horizontal="center" vertical="center"/>
    </xf>
    <xf numFmtId="178" fontId="1" fillId="0" borderId="15" xfId="2" applyNumberFormat="1" applyFont="1" applyBorder="1" applyAlignment="1">
      <alignment horizontal="center" vertical="center"/>
    </xf>
    <xf numFmtId="0" fontId="1" fillId="4" borderId="4" xfId="2" applyFont="1" applyFill="1" applyBorder="1" applyAlignment="1">
      <alignment horizontal="center" vertical="center"/>
    </xf>
    <xf numFmtId="182" fontId="1" fillId="4" borderId="14" xfId="2" applyNumberFormat="1" applyFont="1" applyFill="1" applyBorder="1" applyAlignment="1">
      <alignment horizontal="center" vertical="center"/>
    </xf>
    <xf numFmtId="183" fontId="1" fillId="0" borderId="2" xfId="2" applyNumberFormat="1" applyFont="1" applyBorder="1" applyAlignment="1">
      <alignment horizontal="center" vertical="center"/>
    </xf>
    <xf numFmtId="179" fontId="1" fillId="0" borderId="2" xfId="6" applyNumberFormat="1" applyFont="1" applyBorder="1" applyAlignment="1">
      <alignment horizontal="center" vertical="center"/>
    </xf>
    <xf numFmtId="184" fontId="1" fillId="0" borderId="2" xfId="2" applyNumberFormat="1" applyFont="1" applyBorder="1" applyAlignment="1">
      <alignment horizontal="center" vertical="center"/>
    </xf>
    <xf numFmtId="184" fontId="1" fillId="0" borderId="2" xfId="2" applyNumberFormat="1" applyFont="1" applyBorder="1" applyAlignment="1">
      <alignment horizontal="center" vertical="center" wrapText="1"/>
    </xf>
    <xf numFmtId="20" fontId="1" fillId="0" borderId="2" xfId="2" applyNumberFormat="1" applyFont="1" applyBorder="1" applyAlignment="1">
      <alignment horizontal="center" vertical="center"/>
    </xf>
    <xf numFmtId="0" fontId="1" fillId="0" borderId="45" xfId="2" applyFont="1" applyBorder="1" applyAlignment="1">
      <alignment horizontal="center" vertical="center" shrinkToFit="1"/>
    </xf>
    <xf numFmtId="182" fontId="1" fillId="0" borderId="45" xfId="2" applyNumberFormat="1" applyFont="1" applyBorder="1" applyAlignment="1">
      <alignment horizontal="center" vertical="center"/>
    </xf>
    <xf numFmtId="20" fontId="1" fillId="0" borderId="15" xfId="2" applyNumberFormat="1" applyFont="1" applyBorder="1" applyAlignment="1">
      <alignment horizontal="center" vertical="center"/>
    </xf>
    <xf numFmtId="182" fontId="1" fillId="0" borderId="14" xfId="2" applyNumberFormat="1" applyFont="1" applyBorder="1" applyAlignment="1">
      <alignment horizontal="center" vertical="center"/>
    </xf>
    <xf numFmtId="1" fontId="1" fillId="4" borderId="4" xfId="2" applyNumberFormat="1" applyFont="1" applyFill="1" applyBorder="1" applyAlignment="1">
      <alignment horizontal="center" vertical="center"/>
    </xf>
    <xf numFmtId="180" fontId="1" fillId="0" borderId="16" xfId="2" applyNumberFormat="1" applyFont="1" applyBorder="1" applyAlignment="1">
      <alignment horizontal="center" vertical="center"/>
    </xf>
    <xf numFmtId="180" fontId="1" fillId="0" borderId="6" xfId="2" applyNumberFormat="1" applyFont="1" applyBorder="1" applyAlignment="1">
      <alignment horizontal="center" vertical="center"/>
    </xf>
    <xf numFmtId="2" fontId="1" fillId="0" borderId="34" xfId="2" applyNumberFormat="1" applyFont="1" applyBorder="1" applyAlignment="1">
      <alignment horizontal="right" vertical="center"/>
    </xf>
    <xf numFmtId="0" fontId="1" fillId="0" borderId="18" xfId="2" applyFont="1" applyBorder="1" applyAlignment="1">
      <alignment horizontal="center" vertical="center" wrapText="1"/>
    </xf>
    <xf numFmtId="182" fontId="1" fillId="4" borderId="16" xfId="2" applyNumberFormat="1" applyFont="1" applyFill="1" applyBorder="1" applyAlignment="1">
      <alignment horizontal="center" vertical="center"/>
    </xf>
    <xf numFmtId="183" fontId="1" fillId="0" borderId="6" xfId="2" applyNumberFormat="1" applyFont="1" applyBorder="1" applyAlignment="1">
      <alignment horizontal="center" vertical="center"/>
    </xf>
    <xf numFmtId="179" fontId="1" fillId="0" borderId="6" xfId="6" applyNumberFormat="1" applyFont="1" applyBorder="1" applyAlignment="1">
      <alignment horizontal="center" vertical="center"/>
    </xf>
    <xf numFmtId="20" fontId="1" fillId="0" borderId="6" xfId="2" applyNumberFormat="1" applyFont="1" applyBorder="1" applyAlignment="1">
      <alignment horizontal="center" vertical="center"/>
    </xf>
    <xf numFmtId="20" fontId="1" fillId="0" borderId="18" xfId="2" applyNumberFormat="1" applyFont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2" fontId="1" fillId="0" borderId="34" xfId="2" applyNumberFormat="1" applyFont="1" applyBorder="1" applyAlignment="1">
      <alignment horizontal="center" vertical="center"/>
    </xf>
    <xf numFmtId="184" fontId="1" fillId="0" borderId="6" xfId="2" applyNumberFormat="1" applyFont="1" applyBorder="1" applyAlignment="1">
      <alignment horizontal="center" vertical="center"/>
    </xf>
    <xf numFmtId="184" fontId="1" fillId="0" borderId="6" xfId="2" applyNumberFormat="1" applyFont="1" applyBorder="1" applyAlignment="1">
      <alignment horizontal="center" vertical="center" wrapText="1"/>
    </xf>
    <xf numFmtId="179" fontId="1" fillId="0" borderId="10" xfId="6" applyNumberFormat="1" applyFont="1" applyBorder="1" applyAlignment="1">
      <alignment horizontal="center" vertical="center"/>
    </xf>
    <xf numFmtId="0" fontId="1" fillId="0" borderId="58" xfId="2" applyFont="1" applyBorder="1" applyAlignment="1">
      <alignment horizontal="center" vertical="center" shrinkToFit="1"/>
    </xf>
    <xf numFmtId="0" fontId="1" fillId="0" borderId="59" xfId="2" applyFont="1" applyBorder="1">
      <alignment vertical="center"/>
    </xf>
    <xf numFmtId="2" fontId="1" fillId="0" borderId="22" xfId="2" applyNumberFormat="1" applyFont="1" applyBorder="1" applyAlignment="1">
      <alignment horizontal="center" vertical="center"/>
    </xf>
    <xf numFmtId="1" fontId="1" fillId="4" borderId="19" xfId="2" applyNumberFormat="1" applyFont="1" applyFill="1" applyBorder="1" applyAlignment="1">
      <alignment horizontal="center" vertical="center"/>
    </xf>
    <xf numFmtId="1" fontId="1" fillId="0" borderId="21" xfId="2" applyNumberFormat="1" applyFont="1" applyBorder="1" applyAlignment="1">
      <alignment horizontal="center" vertical="center"/>
    </xf>
    <xf numFmtId="178" fontId="1" fillId="0" borderId="20" xfId="2" applyNumberFormat="1" applyFont="1" applyBorder="1" applyAlignment="1">
      <alignment horizontal="center" vertical="center"/>
    </xf>
    <xf numFmtId="182" fontId="1" fillId="4" borderId="19" xfId="2" applyNumberFormat="1" applyFont="1" applyFill="1" applyBorder="1" applyAlignment="1">
      <alignment horizontal="center" vertical="center"/>
    </xf>
    <xf numFmtId="183" fontId="1" fillId="0" borderId="21" xfId="2" applyNumberFormat="1" applyFont="1" applyBorder="1" applyAlignment="1">
      <alignment horizontal="center" vertical="center"/>
    </xf>
    <xf numFmtId="179" fontId="1" fillId="0" borderId="21" xfId="6" applyNumberFormat="1" applyFont="1" applyBorder="1" applyAlignment="1">
      <alignment horizontal="center" vertical="center"/>
    </xf>
    <xf numFmtId="180" fontId="1" fillId="0" borderId="19" xfId="2" applyNumberFormat="1" applyFont="1" applyBorder="1" applyAlignment="1">
      <alignment horizontal="center" vertical="center" shrinkToFit="1"/>
    </xf>
    <xf numFmtId="180" fontId="1" fillId="0" borderId="21" xfId="2" applyNumberFormat="1" applyFont="1" applyBorder="1" applyAlignment="1">
      <alignment horizontal="center" vertical="center" shrinkToFit="1"/>
    </xf>
    <xf numFmtId="184" fontId="1" fillId="0" borderId="21" xfId="2" applyNumberFormat="1" applyFont="1" applyBorder="1" applyAlignment="1">
      <alignment horizontal="center" vertical="center" shrinkToFit="1"/>
    </xf>
    <xf numFmtId="0" fontId="1" fillId="0" borderId="0" xfId="2" applyFont="1" applyAlignment="1">
      <alignment vertical="center" shrinkToFit="1"/>
    </xf>
    <xf numFmtId="0" fontId="1" fillId="0" borderId="60" xfId="2" applyFont="1" applyBorder="1" applyAlignment="1">
      <alignment horizontal="center" vertical="center" shrinkToFit="1"/>
    </xf>
    <xf numFmtId="2" fontId="1" fillId="0" borderId="24" xfId="8" applyNumberFormat="1" applyFont="1" applyBorder="1" applyAlignment="1">
      <alignment horizontal="center" vertical="center"/>
    </xf>
    <xf numFmtId="2" fontId="1" fillId="0" borderId="26" xfId="2" applyNumberFormat="1" applyFont="1" applyBorder="1" applyAlignment="1">
      <alignment horizontal="right" vertical="center"/>
    </xf>
    <xf numFmtId="0" fontId="1" fillId="0" borderId="46" xfId="2" applyFont="1" applyBorder="1" applyAlignment="1">
      <alignment horizontal="center" vertical="center" wrapText="1"/>
    </xf>
    <xf numFmtId="1" fontId="1" fillId="4" borderId="45" xfId="2" applyNumberFormat="1" applyFont="1" applyFill="1" applyBorder="1" applyAlignment="1">
      <alignment horizontal="center" vertical="center"/>
    </xf>
    <xf numFmtId="1" fontId="1" fillId="0" borderId="25" xfId="2" applyNumberFormat="1" applyFont="1" applyBorder="1" applyAlignment="1">
      <alignment horizontal="center" vertical="center"/>
    </xf>
    <xf numFmtId="178" fontId="1" fillId="0" borderId="46" xfId="2" applyNumberFormat="1" applyFont="1" applyBorder="1" applyAlignment="1">
      <alignment horizontal="center" vertical="center"/>
    </xf>
    <xf numFmtId="1" fontId="1" fillId="4" borderId="24" xfId="2" applyNumberFormat="1" applyFont="1" applyFill="1" applyBorder="1" applyAlignment="1">
      <alignment horizontal="center" vertical="center"/>
    </xf>
    <xf numFmtId="182" fontId="1" fillId="4" borderId="45" xfId="2" applyNumberFormat="1" applyFont="1" applyFill="1" applyBorder="1" applyAlignment="1">
      <alignment horizontal="center" vertical="center"/>
    </xf>
    <xf numFmtId="183" fontId="1" fillId="0" borderId="25" xfId="2" applyNumberFormat="1" applyFont="1" applyBorder="1" applyAlignment="1">
      <alignment horizontal="center" vertical="center"/>
    </xf>
    <xf numFmtId="179" fontId="1" fillId="0" borderId="25" xfId="6" applyNumberFormat="1" applyFont="1" applyBorder="1" applyAlignment="1">
      <alignment horizontal="center" vertical="center"/>
    </xf>
    <xf numFmtId="180" fontId="1" fillId="0" borderId="45" xfId="2" applyNumberFormat="1" applyFont="1" applyBorder="1" applyAlignment="1">
      <alignment horizontal="center" vertical="center"/>
    </xf>
    <xf numFmtId="180" fontId="1" fillId="0" borderId="25" xfId="2" applyNumberFormat="1" applyFont="1" applyBorder="1" applyAlignment="1">
      <alignment horizontal="center" vertical="center"/>
    </xf>
    <xf numFmtId="184" fontId="1" fillId="0" borderId="25" xfId="2" applyNumberFormat="1" applyFont="1" applyBorder="1" applyAlignment="1">
      <alignment horizontal="center" vertical="center"/>
    </xf>
    <xf numFmtId="184" fontId="1" fillId="0" borderId="25" xfId="2" applyNumberFormat="1" applyFont="1" applyBorder="1" applyAlignment="1">
      <alignment horizontal="center" vertical="center" wrapText="1"/>
    </xf>
    <xf numFmtId="20" fontId="1" fillId="0" borderId="25" xfId="2" applyNumberFormat="1" applyFont="1" applyBorder="1" applyAlignment="1">
      <alignment horizontal="center" vertical="center"/>
    </xf>
    <xf numFmtId="20" fontId="1" fillId="0" borderId="46" xfId="2" applyNumberFormat="1" applyFont="1" applyBorder="1" applyAlignment="1">
      <alignment horizontal="center" vertical="center"/>
    </xf>
    <xf numFmtId="0" fontId="1" fillId="0" borderId="16" xfId="2" applyFont="1" applyBorder="1" applyAlignment="1">
      <alignment horizontal="center" vertical="center" shrinkToFit="1"/>
    </xf>
    <xf numFmtId="0" fontId="1" fillId="0" borderId="56" xfId="2" applyFont="1" applyBorder="1" applyAlignment="1">
      <alignment horizontal="left" vertical="center"/>
    </xf>
    <xf numFmtId="182" fontId="1" fillId="0" borderId="16" xfId="2" applyNumberFormat="1" applyFont="1" applyBorder="1" applyAlignment="1">
      <alignment horizontal="center" vertical="center"/>
    </xf>
    <xf numFmtId="184" fontId="1" fillId="0" borderId="21" xfId="2" applyNumberFormat="1" applyFont="1" applyBorder="1" applyAlignment="1">
      <alignment horizontal="center" vertical="center" wrapText="1"/>
    </xf>
    <xf numFmtId="178" fontId="1" fillId="0" borderId="21" xfId="2" applyNumberFormat="1" applyFont="1" applyBorder="1" applyAlignment="1">
      <alignment horizontal="center" vertical="center"/>
    </xf>
    <xf numFmtId="182" fontId="1" fillId="0" borderId="19" xfId="2" applyNumberFormat="1" applyFont="1" applyBorder="1" applyAlignment="1">
      <alignment horizontal="center" vertical="center"/>
    </xf>
    <xf numFmtId="180" fontId="1" fillId="0" borderId="46" xfId="2" applyNumberFormat="1" applyFont="1" applyBorder="1" applyAlignment="1">
      <alignment horizontal="center" vertical="center"/>
    </xf>
    <xf numFmtId="0" fontId="1" fillId="0" borderId="4" xfId="2" applyFont="1" applyBorder="1" applyAlignment="1">
      <alignment horizontal="left" vertical="center"/>
    </xf>
    <xf numFmtId="182" fontId="1" fillId="0" borderId="24" xfId="2" applyNumberFormat="1" applyFont="1" applyBorder="1" applyAlignment="1">
      <alignment horizontal="center" vertical="center"/>
    </xf>
    <xf numFmtId="182" fontId="1" fillId="0" borderId="4" xfId="2" applyNumberFormat="1" applyFont="1" applyBorder="1" applyAlignment="1">
      <alignment horizontal="center" vertical="center"/>
    </xf>
    <xf numFmtId="182" fontId="1" fillId="0" borderId="56" xfId="2" applyNumberFormat="1" applyFont="1" applyBorder="1" applyAlignment="1">
      <alignment horizontal="center" vertical="center"/>
    </xf>
    <xf numFmtId="182" fontId="1" fillId="0" borderId="23" xfId="2" applyNumberFormat="1" applyFont="1" applyBorder="1" applyAlignment="1">
      <alignment horizontal="center" vertical="center"/>
    </xf>
    <xf numFmtId="0" fontId="1" fillId="0" borderId="0" xfId="2" applyFont="1" applyAlignment="1">
      <alignment vertical="center" wrapText="1"/>
    </xf>
    <xf numFmtId="0" fontId="26" fillId="0" borderId="62" xfId="4" applyFont="1" applyBorder="1" applyAlignment="1">
      <alignment horizontal="center" vertical="center" shrinkToFit="1"/>
    </xf>
    <xf numFmtId="0" fontId="26" fillId="0" borderId="63" xfId="4" applyFont="1" applyBorder="1" applyAlignment="1">
      <alignment horizontal="center" vertical="center" shrinkToFit="1"/>
    </xf>
    <xf numFmtId="182" fontId="1" fillId="0" borderId="17" xfId="2" applyNumberFormat="1" applyFont="1" applyBorder="1" applyAlignment="1">
      <alignment horizontal="center" vertical="center"/>
    </xf>
    <xf numFmtId="1" fontId="1" fillId="0" borderId="19" xfId="2" applyNumberFormat="1" applyFont="1" applyBorder="1" applyAlignment="1">
      <alignment horizontal="center" vertical="center" shrinkToFit="1"/>
    </xf>
    <xf numFmtId="1" fontId="1" fillId="0" borderId="20" xfId="2" applyNumberFormat="1" applyFont="1" applyBorder="1" applyAlignment="1">
      <alignment horizontal="center" vertical="center" shrinkToFit="1"/>
    </xf>
    <xf numFmtId="178" fontId="1" fillId="0" borderId="25" xfId="2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left" vertical="center"/>
    </xf>
    <xf numFmtId="0" fontId="1" fillId="0" borderId="2" xfId="8" applyFont="1" applyBorder="1" applyAlignment="1">
      <alignment horizontal="center" vertical="center"/>
    </xf>
    <xf numFmtId="0" fontId="1" fillId="0" borderId="15" xfId="8" applyFont="1" applyBorder="1">
      <alignment vertical="center"/>
    </xf>
    <xf numFmtId="20" fontId="1" fillId="0" borderId="2" xfId="8" applyNumberFormat="1" applyFont="1" applyBorder="1" applyAlignment="1">
      <alignment horizontal="center" vertical="center"/>
    </xf>
    <xf numFmtId="20" fontId="1" fillId="0" borderId="15" xfId="8" applyNumberFormat="1" applyFont="1" applyBorder="1" applyAlignment="1">
      <alignment horizontal="center" vertical="center"/>
    </xf>
    <xf numFmtId="20" fontId="1" fillId="0" borderId="21" xfId="2" applyNumberFormat="1" applyFont="1" applyBorder="1" applyAlignment="1">
      <alignment horizontal="center" vertical="center"/>
    </xf>
    <xf numFmtId="20" fontId="1" fillId="0" borderId="20" xfId="2" applyNumberFormat="1" applyFont="1" applyBorder="1" applyAlignment="1">
      <alignment horizontal="center" vertical="center"/>
    </xf>
    <xf numFmtId="180" fontId="1" fillId="0" borderId="18" xfId="2" applyNumberFormat="1" applyFont="1" applyBorder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1" fillId="0" borderId="20" xfId="2" applyFont="1" applyBorder="1" applyAlignment="1">
      <alignment horizontal="center" vertical="center" shrinkToFit="1"/>
    </xf>
    <xf numFmtId="0" fontId="26" fillId="0" borderId="61" xfId="4" applyFont="1" applyBorder="1" applyAlignment="1">
      <alignment horizontal="center" vertical="center" wrapText="1"/>
    </xf>
    <xf numFmtId="182" fontId="29" fillId="0" borderId="2" xfId="4" applyNumberFormat="1" applyFont="1" applyBorder="1" applyAlignment="1">
      <alignment horizontal="center" vertical="center"/>
    </xf>
    <xf numFmtId="0" fontId="26" fillId="12" borderId="19" xfId="2" applyFont="1" applyFill="1" applyBorder="1" applyAlignment="1">
      <alignment horizontal="center" vertical="center"/>
    </xf>
    <xf numFmtId="0" fontId="26" fillId="12" borderId="20" xfId="2" applyFont="1" applyFill="1" applyBorder="1" applyAlignment="1">
      <alignment horizontal="center" vertical="center"/>
    </xf>
    <xf numFmtId="0" fontId="1" fillId="0" borderId="17" xfId="2" applyFont="1" applyBorder="1" applyAlignment="1">
      <alignment horizontal="center" vertical="center"/>
    </xf>
    <xf numFmtId="1" fontId="1" fillId="0" borderId="64" xfId="2" applyNumberFormat="1" applyFont="1" applyBorder="1" applyAlignment="1">
      <alignment horizontal="center" vertical="center"/>
    </xf>
    <xf numFmtId="1" fontId="1" fillId="0" borderId="15" xfId="2" applyNumberFormat="1" applyFont="1" applyBorder="1" applyAlignment="1">
      <alignment horizontal="center" vertical="center"/>
    </xf>
    <xf numFmtId="182" fontId="1" fillId="0" borderId="65" xfId="2" applyNumberFormat="1" applyFont="1" applyBorder="1" applyAlignment="1">
      <alignment horizontal="center" vertical="center"/>
    </xf>
    <xf numFmtId="179" fontId="1" fillId="0" borderId="66" xfId="6" applyNumberFormat="1" applyFont="1" applyBorder="1" applyAlignment="1">
      <alignment horizontal="center" vertical="center"/>
    </xf>
    <xf numFmtId="182" fontId="29" fillId="0" borderId="19" xfId="4" applyNumberFormat="1" applyFont="1" applyBorder="1" applyAlignment="1">
      <alignment horizontal="center" vertical="center" shrinkToFit="1"/>
    </xf>
    <xf numFmtId="182" fontId="29" fillId="0" borderId="20" xfId="4" applyNumberFormat="1" applyFont="1" applyBorder="1" applyAlignment="1">
      <alignment horizontal="center" vertical="center" shrinkToFit="1"/>
    </xf>
    <xf numFmtId="180" fontId="1" fillId="0" borderId="19" xfId="2" applyNumberFormat="1" applyFont="1" applyBorder="1" applyAlignment="1">
      <alignment horizontal="center" vertical="center"/>
    </xf>
    <xf numFmtId="180" fontId="1" fillId="0" borderId="21" xfId="2" applyNumberFormat="1" applyFont="1" applyBorder="1" applyAlignment="1">
      <alignment horizontal="center" vertical="center"/>
    </xf>
    <xf numFmtId="180" fontId="1" fillId="0" borderId="0" xfId="2" applyNumberFormat="1" applyFont="1">
      <alignment vertical="center"/>
    </xf>
    <xf numFmtId="178" fontId="23" fillId="9" borderId="4" xfId="1" applyNumberFormat="1" applyFont="1" applyFill="1" applyBorder="1" applyAlignment="1">
      <alignment horizontal="center" vertical="center"/>
    </xf>
    <xf numFmtId="0" fontId="1" fillId="0" borderId="0" xfId="1" applyFont="1" applyAlignment="1">
      <alignment vertical="center" wrapText="1"/>
    </xf>
    <xf numFmtId="1" fontId="1" fillId="0" borderId="75" xfId="2" applyNumberFormat="1" applyFont="1" applyBorder="1" applyAlignment="1">
      <alignment horizontal="center" vertical="center"/>
    </xf>
    <xf numFmtId="0" fontId="1" fillId="0" borderId="76" xfId="2" applyFont="1" applyBorder="1" applyAlignment="1">
      <alignment horizontal="center" vertical="center"/>
    </xf>
    <xf numFmtId="1" fontId="1" fillId="0" borderId="3" xfId="2" applyNumberFormat="1" applyFont="1" applyBorder="1" applyAlignment="1">
      <alignment horizontal="center" vertical="center"/>
    </xf>
    <xf numFmtId="1" fontId="1" fillId="0" borderId="22" xfId="2" applyNumberFormat="1" applyFont="1" applyBorder="1" applyAlignment="1">
      <alignment horizontal="center" vertical="center" shrinkToFit="1"/>
    </xf>
    <xf numFmtId="1" fontId="1" fillId="0" borderId="23" xfId="2" applyNumberFormat="1" applyFont="1" applyBorder="1" applyAlignment="1">
      <alignment horizontal="center" vertical="center" shrinkToFit="1"/>
    </xf>
    <xf numFmtId="0" fontId="1" fillId="0" borderId="16" xfId="2" applyFont="1" applyBorder="1" applyAlignment="1">
      <alignment horizontal="center" vertical="center" wrapText="1"/>
    </xf>
    <xf numFmtId="0" fontId="1" fillId="0" borderId="17" xfId="2" applyFont="1" applyBorder="1" applyAlignment="1">
      <alignment horizontal="center" vertical="center" wrapText="1"/>
    </xf>
    <xf numFmtId="0" fontId="1" fillId="0" borderId="72" xfId="2" applyFont="1" applyBorder="1" applyAlignment="1">
      <alignment horizontal="center" vertical="center"/>
    </xf>
    <xf numFmtId="0" fontId="1" fillId="0" borderId="73" xfId="2" applyFont="1" applyBorder="1" applyAlignment="1">
      <alignment horizontal="center" vertical="center"/>
    </xf>
    <xf numFmtId="0" fontId="1" fillId="0" borderId="58" xfId="2" applyFont="1" applyBorder="1" applyAlignment="1">
      <alignment horizontal="center" vertical="center"/>
    </xf>
    <xf numFmtId="0" fontId="1" fillId="0" borderId="74" xfId="2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" fillId="0" borderId="11" xfId="2" applyFont="1" applyBorder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9" fillId="6" borderId="11" xfId="1" applyFont="1" applyFill="1" applyBorder="1" applyAlignment="1">
      <alignment horizontal="center" vertical="center"/>
    </xf>
    <xf numFmtId="0" fontId="19" fillId="6" borderId="13" xfId="1" applyFont="1" applyFill="1" applyBorder="1" applyAlignment="1">
      <alignment horizontal="center" vertical="center"/>
    </xf>
    <xf numFmtId="0" fontId="19" fillId="6" borderId="12" xfId="1" applyFont="1" applyFill="1" applyBorder="1" applyAlignment="1">
      <alignment horizontal="center" vertical="center"/>
    </xf>
    <xf numFmtId="0" fontId="19" fillId="7" borderId="11" xfId="1" applyFont="1" applyFill="1" applyBorder="1" applyAlignment="1">
      <alignment horizontal="center" vertical="center"/>
    </xf>
    <xf numFmtId="0" fontId="19" fillId="7" borderId="13" xfId="1" applyFont="1" applyFill="1" applyBorder="1" applyAlignment="1">
      <alignment horizontal="center" vertical="center"/>
    </xf>
    <xf numFmtId="0" fontId="19" fillId="7" borderId="12" xfId="1" applyFont="1" applyFill="1" applyBorder="1" applyAlignment="1">
      <alignment horizontal="center" vertical="center"/>
    </xf>
    <xf numFmtId="0" fontId="1" fillId="0" borderId="67" xfId="2" applyFont="1" applyBorder="1" applyAlignment="1">
      <alignment horizontal="center" vertical="center"/>
    </xf>
    <xf numFmtId="0" fontId="1" fillId="0" borderId="68" xfId="2" applyFont="1" applyBorder="1" applyAlignment="1">
      <alignment horizontal="center" vertical="center"/>
    </xf>
    <xf numFmtId="0" fontId="1" fillId="0" borderId="69" xfId="2" applyFont="1" applyBorder="1" applyAlignment="1">
      <alignment horizontal="center" vertical="center"/>
    </xf>
    <xf numFmtId="0" fontId="1" fillId="0" borderId="70" xfId="2" applyFont="1" applyBorder="1" applyAlignment="1">
      <alignment horizontal="center" vertical="center"/>
    </xf>
    <xf numFmtId="0" fontId="22" fillId="0" borderId="16" xfId="2" applyFont="1" applyBorder="1" applyAlignment="1">
      <alignment horizontal="center" vertical="center" textRotation="255"/>
    </xf>
    <xf numFmtId="0" fontId="22" fillId="0" borderId="71" xfId="2" applyFont="1" applyBorder="1" applyAlignment="1">
      <alignment horizontal="center" vertical="center" textRotation="255"/>
    </xf>
    <xf numFmtId="0" fontId="22" fillId="0" borderId="17" xfId="2" applyFont="1" applyBorder="1" applyAlignment="1">
      <alignment horizontal="center" vertical="center" textRotation="255"/>
    </xf>
    <xf numFmtId="0" fontId="1" fillId="0" borderId="14" xfId="2" applyFont="1" applyBorder="1" applyAlignment="1">
      <alignment horizontal="center" vertical="center" wrapText="1"/>
    </xf>
    <xf numFmtId="0" fontId="1" fillId="0" borderId="14" xfId="2" applyFont="1" applyBorder="1" applyAlignment="1">
      <alignment horizontal="center" vertical="center"/>
    </xf>
    <xf numFmtId="0" fontId="0" fillId="3" borderId="16" xfId="2" applyFont="1" applyFill="1" applyBorder="1" applyAlignment="1">
      <alignment horizontal="center" vertical="center" wrapText="1"/>
    </xf>
    <xf numFmtId="0" fontId="1" fillId="3" borderId="17" xfId="2" applyFont="1" applyFill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0" fontId="1" fillId="0" borderId="16" xfId="2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179" fontId="16" fillId="0" borderId="3" xfId="6" applyNumberFormat="1" applyFont="1" applyFill="1" applyBorder="1" applyAlignment="1">
      <alignment horizontal="center" vertical="center"/>
    </xf>
    <xf numFmtId="179" fontId="16" fillId="0" borderId="4" xfId="6" applyNumberFormat="1" applyFont="1" applyFill="1" applyBorder="1" applyAlignment="1">
      <alignment horizontal="center" vertical="center"/>
    </xf>
    <xf numFmtId="0" fontId="19" fillId="4" borderId="11" xfId="1" applyFont="1" applyFill="1" applyBorder="1" applyAlignment="1">
      <alignment horizontal="center" vertical="center"/>
    </xf>
    <xf numFmtId="0" fontId="19" fillId="4" borderId="13" xfId="1" applyFont="1" applyFill="1" applyBorder="1" applyAlignment="1">
      <alignment horizontal="center" vertical="center"/>
    </xf>
    <xf numFmtId="0" fontId="19" fillId="5" borderId="11" xfId="1" applyFont="1" applyFill="1" applyBorder="1" applyAlignment="1">
      <alignment horizontal="center" vertical="center" shrinkToFit="1"/>
    </xf>
    <xf numFmtId="0" fontId="19" fillId="5" borderId="13" xfId="1" applyFont="1" applyFill="1" applyBorder="1" applyAlignment="1">
      <alignment horizontal="center" vertical="center" shrinkToFit="1"/>
    </xf>
    <xf numFmtId="0" fontId="19" fillId="5" borderId="12" xfId="1" applyFont="1" applyFill="1" applyBorder="1" applyAlignment="1">
      <alignment horizontal="center" vertical="center" shrinkToFit="1"/>
    </xf>
    <xf numFmtId="0" fontId="22" fillId="0" borderId="14" xfId="2" applyFont="1" applyBorder="1" applyAlignment="1">
      <alignment horizontal="center" vertical="center" textRotation="255"/>
    </xf>
    <xf numFmtId="0" fontId="12" fillId="0" borderId="6" xfId="5" applyFont="1" applyBorder="1" applyAlignment="1">
      <alignment horizontal="center" vertical="center"/>
    </xf>
    <xf numFmtId="0" fontId="12" fillId="0" borderId="7" xfId="5" applyFont="1" applyBorder="1" applyAlignment="1">
      <alignment horizontal="center" vertical="center"/>
    </xf>
    <xf numFmtId="0" fontId="12" fillId="0" borderId="10" xfId="5" applyFont="1" applyBorder="1" applyAlignment="1">
      <alignment horizontal="center" vertical="center"/>
    </xf>
    <xf numFmtId="0" fontId="16" fillId="0" borderId="3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78" fontId="16" fillId="8" borderId="3" xfId="2" applyNumberFormat="1" applyFont="1" applyFill="1" applyBorder="1" applyAlignment="1">
      <alignment horizontal="center" vertical="center"/>
    </xf>
    <xf numFmtId="178" fontId="16" fillId="8" borderId="4" xfId="2" applyNumberFormat="1" applyFont="1" applyFill="1" applyBorder="1" applyAlignment="1">
      <alignment horizontal="center" vertical="center"/>
    </xf>
    <xf numFmtId="178" fontId="16" fillId="8" borderId="3" xfId="3" applyNumberFormat="1" applyFont="1" applyFill="1" applyBorder="1" applyAlignment="1">
      <alignment horizontal="center" vertical="center"/>
    </xf>
    <xf numFmtId="178" fontId="16" fillId="8" borderId="4" xfId="3" applyNumberFormat="1" applyFont="1" applyFill="1" applyBorder="1" applyAlignment="1">
      <alignment horizontal="center" vertical="center"/>
    </xf>
    <xf numFmtId="178" fontId="7" fillId="0" borderId="3" xfId="2" applyNumberFormat="1" applyFont="1" applyBorder="1" applyAlignment="1">
      <alignment horizontal="center" vertical="center"/>
    </xf>
    <xf numFmtId="178" fontId="7" fillId="0" borderId="4" xfId="2" applyNumberFormat="1" applyFont="1" applyBorder="1" applyAlignment="1">
      <alignment horizontal="center" vertical="center"/>
    </xf>
    <xf numFmtId="178" fontId="7" fillId="0" borderId="3" xfId="3" applyNumberFormat="1" applyFont="1" applyBorder="1" applyAlignment="1">
      <alignment horizontal="center" vertical="center"/>
    </xf>
    <xf numFmtId="178" fontId="7" fillId="0" borderId="4" xfId="3" applyNumberFormat="1" applyFont="1" applyBorder="1" applyAlignment="1">
      <alignment horizontal="center" vertical="center"/>
    </xf>
    <xf numFmtId="179" fontId="16" fillId="0" borderId="3" xfId="2" applyNumberFormat="1" applyFont="1" applyBorder="1" applyAlignment="1">
      <alignment horizontal="center" vertical="center"/>
    </xf>
    <xf numFmtId="179" fontId="16" fillId="0" borderId="4" xfId="2" applyNumberFormat="1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3" fillId="3" borderId="4" xfId="4" applyFont="1" applyFill="1" applyBorder="1" applyAlignment="1">
      <alignment horizontal="center" vertical="center"/>
    </xf>
    <xf numFmtId="0" fontId="13" fillId="3" borderId="2" xfId="4" applyFont="1" applyFill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1" fillId="0" borderId="4" xfId="2" applyFont="1" applyBorder="1" applyAlignment="1">
      <alignment horizontal="center" vertical="center"/>
    </xf>
    <xf numFmtId="176" fontId="1" fillId="4" borderId="3" xfId="3" applyNumberFormat="1" applyFont="1" applyFill="1" applyBorder="1" applyAlignment="1">
      <alignment horizontal="center" vertical="center"/>
    </xf>
    <xf numFmtId="176" fontId="1" fillId="4" borderId="4" xfId="3" applyNumberFormat="1" applyFont="1" applyFill="1" applyBorder="1" applyAlignment="1">
      <alignment horizontal="center" vertical="center"/>
    </xf>
    <xf numFmtId="176" fontId="0" fillId="5" borderId="3" xfId="3" applyNumberFormat="1" applyFont="1" applyFill="1" applyBorder="1" applyAlignment="1">
      <alignment horizontal="center" vertical="center"/>
    </xf>
    <xf numFmtId="176" fontId="1" fillId="5" borderId="4" xfId="3" applyNumberFormat="1" applyFont="1" applyFill="1" applyBorder="1" applyAlignment="1">
      <alignment horizontal="center" vertical="center"/>
    </xf>
    <xf numFmtId="176" fontId="0" fillId="6" borderId="3" xfId="3" applyNumberFormat="1" applyFont="1" applyFill="1" applyBorder="1" applyAlignment="1">
      <alignment horizontal="center" vertical="center"/>
    </xf>
    <xf numFmtId="176" fontId="1" fillId="6" borderId="4" xfId="3" applyNumberFormat="1" applyFont="1" applyFill="1" applyBorder="1" applyAlignment="1">
      <alignment horizontal="center" vertical="center"/>
    </xf>
    <xf numFmtId="176" fontId="0" fillId="7" borderId="3" xfId="3" applyNumberFormat="1" applyFont="1" applyFill="1" applyBorder="1" applyAlignment="1">
      <alignment horizontal="center" vertical="center"/>
    </xf>
    <xf numFmtId="176" fontId="1" fillId="7" borderId="4" xfId="3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176" fontId="7" fillId="0" borderId="3" xfId="3" applyNumberFormat="1" applyFont="1" applyBorder="1" applyAlignment="1">
      <alignment horizontal="center" vertical="center"/>
    </xf>
    <xf numFmtId="176" fontId="7" fillId="0" borderId="4" xfId="3" applyNumberFormat="1" applyFont="1" applyBorder="1" applyAlignment="1">
      <alignment horizontal="center" vertical="center"/>
    </xf>
    <xf numFmtId="177" fontId="7" fillId="0" borderId="3" xfId="3" applyNumberFormat="1" applyFont="1" applyBorder="1" applyAlignment="1">
      <alignment horizontal="center" vertical="center"/>
    </xf>
    <xf numFmtId="177" fontId="7" fillId="0" borderId="4" xfId="3" applyNumberFormat="1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" fillId="0" borderId="0" xfId="2" applyFont="1" applyAlignment="1">
      <alignment horizontal="left" vertical="center"/>
    </xf>
    <xf numFmtId="0" fontId="1" fillId="0" borderId="59" xfId="2" applyFont="1" applyBorder="1" applyAlignment="1">
      <alignment vertical="center" shrinkToFit="1"/>
    </xf>
    <xf numFmtId="0" fontId="1" fillId="0" borderId="19" xfId="2" applyFont="1" applyBorder="1" applyAlignment="1">
      <alignment horizontal="center" vertical="center" shrinkToFit="1"/>
    </xf>
    <xf numFmtId="0" fontId="1" fillId="0" borderId="20" xfId="2" applyFont="1" applyBorder="1" applyAlignment="1">
      <alignment horizontal="center" vertical="center" shrinkToFit="1"/>
    </xf>
    <xf numFmtId="0" fontId="1" fillId="0" borderId="3" xfId="2" applyFont="1" applyBorder="1" applyAlignment="1">
      <alignment horizontal="left" vertical="center" shrinkToFit="1"/>
    </xf>
    <xf numFmtId="0" fontId="1" fillId="0" borderId="4" xfId="2" applyFont="1" applyBorder="1" applyAlignment="1">
      <alignment horizontal="left" vertical="center" shrinkToFit="1"/>
    </xf>
    <xf numFmtId="0" fontId="1" fillId="0" borderId="14" xfId="2" applyFont="1" applyBorder="1" applyAlignment="1">
      <alignment horizontal="center" vertical="center" shrinkToFit="1"/>
    </xf>
    <xf numFmtId="0" fontId="1" fillId="0" borderId="15" xfId="2" applyFont="1" applyBorder="1" applyAlignment="1">
      <alignment horizontal="center" vertical="center" shrinkToFit="1"/>
    </xf>
    <xf numFmtId="0" fontId="26" fillId="4" borderId="52" xfId="2" applyFont="1" applyFill="1" applyBorder="1" applyAlignment="1">
      <alignment horizontal="center" vertical="center" wrapText="1"/>
    </xf>
    <xf numFmtId="0" fontId="26" fillId="4" borderId="54" xfId="2" applyFont="1" applyFill="1" applyBorder="1" applyAlignment="1">
      <alignment horizontal="center" vertical="center"/>
    </xf>
    <xf numFmtId="0" fontId="26" fillId="4" borderId="55" xfId="2" applyFont="1" applyFill="1" applyBorder="1" applyAlignment="1">
      <alignment horizontal="center" vertical="center"/>
    </xf>
    <xf numFmtId="0" fontId="26" fillId="4" borderId="57" xfId="2" applyFont="1" applyFill="1" applyBorder="1" applyAlignment="1">
      <alignment horizontal="center" vertical="center"/>
    </xf>
    <xf numFmtId="0" fontId="1" fillId="0" borderId="26" xfId="2" applyFont="1" applyBorder="1" applyAlignment="1">
      <alignment horizontal="left" vertical="center" shrinkToFit="1"/>
    </xf>
    <xf numFmtId="0" fontId="1" fillId="0" borderId="24" xfId="2" applyFont="1" applyBorder="1" applyAlignment="1">
      <alignment horizontal="left" vertical="center" shrinkToFit="1"/>
    </xf>
    <xf numFmtId="179" fontId="1" fillId="0" borderId="47" xfId="6" applyNumberFormat="1" applyFont="1" applyBorder="1" applyAlignment="1">
      <alignment horizontal="center" vertical="center" shrinkToFit="1"/>
    </xf>
    <xf numFmtId="179" fontId="1" fillId="0" borderId="53" xfId="6" applyNumberFormat="1" applyFont="1" applyBorder="1" applyAlignment="1">
      <alignment horizontal="center" vertical="center" shrinkToFit="1"/>
    </xf>
    <xf numFmtId="179" fontId="1" fillId="0" borderId="51" xfId="6" applyNumberFormat="1" applyFont="1" applyBorder="1" applyAlignment="1">
      <alignment horizontal="center" vertical="center" shrinkToFit="1"/>
    </xf>
    <xf numFmtId="0" fontId="1" fillId="0" borderId="45" xfId="2" applyFont="1" applyBorder="1" applyAlignment="1">
      <alignment horizontal="center" vertical="center" shrinkToFit="1"/>
    </xf>
    <xf numFmtId="0" fontId="1" fillId="0" borderId="46" xfId="2" applyFont="1" applyBorder="1" applyAlignment="1">
      <alignment horizontal="center" vertical="center" shrinkToFit="1"/>
    </xf>
    <xf numFmtId="179" fontId="1" fillId="0" borderId="47" xfId="6" applyNumberFormat="1" applyFont="1" applyBorder="1" applyAlignment="1">
      <alignment horizontal="center" vertical="center"/>
    </xf>
    <xf numFmtId="179" fontId="1" fillId="0" borderId="53" xfId="6" applyNumberFormat="1" applyFont="1" applyBorder="1" applyAlignment="1">
      <alignment horizontal="center" vertical="center"/>
    </xf>
    <xf numFmtId="179" fontId="1" fillId="0" borderId="51" xfId="6" applyNumberFormat="1" applyFont="1" applyBorder="1" applyAlignment="1">
      <alignment horizontal="center" vertical="center"/>
    </xf>
    <xf numFmtId="0" fontId="28" fillId="11" borderId="52" xfId="2" applyFont="1" applyFill="1" applyBorder="1" applyAlignment="1">
      <alignment horizontal="center" vertical="center" wrapText="1"/>
    </xf>
    <xf numFmtId="0" fontId="28" fillId="11" borderId="54" xfId="2" applyFont="1" applyFill="1" applyBorder="1" applyAlignment="1">
      <alignment horizontal="center" vertical="center" wrapText="1"/>
    </xf>
    <xf numFmtId="0" fontId="28" fillId="11" borderId="57" xfId="2" applyFont="1" applyFill="1" applyBorder="1" applyAlignment="1">
      <alignment horizontal="center" vertical="center" wrapText="1"/>
    </xf>
    <xf numFmtId="0" fontId="1" fillId="8" borderId="25" xfId="2" applyFont="1" applyFill="1" applyBorder="1" applyAlignment="1">
      <alignment horizontal="center" vertical="center"/>
    </xf>
    <xf numFmtId="0" fontId="1" fillId="8" borderId="21" xfId="2" applyFont="1" applyFill="1" applyBorder="1" applyAlignment="1">
      <alignment horizontal="center" vertical="center"/>
    </xf>
    <xf numFmtId="0" fontId="1" fillId="5" borderId="46" xfId="2" applyFont="1" applyFill="1" applyBorder="1" applyAlignment="1">
      <alignment horizontal="center" vertical="center" wrapText="1"/>
    </xf>
    <xf numFmtId="0" fontId="1" fillId="5" borderId="20" xfId="2" applyFont="1" applyFill="1" applyBorder="1" applyAlignment="1">
      <alignment horizontal="center" vertical="center" wrapText="1"/>
    </xf>
    <xf numFmtId="180" fontId="1" fillId="0" borderId="45" xfId="2" applyNumberFormat="1" applyFont="1" applyBorder="1" applyAlignment="1">
      <alignment horizontal="center" vertical="center"/>
    </xf>
    <xf numFmtId="180" fontId="1" fillId="0" borderId="25" xfId="2" applyNumberFormat="1" applyFont="1" applyBorder="1" applyAlignment="1">
      <alignment horizontal="center" vertical="center"/>
    </xf>
    <xf numFmtId="0" fontId="1" fillId="0" borderId="25" xfId="2" applyFont="1" applyBorder="1" applyAlignment="1">
      <alignment horizontal="center" vertical="center" wrapText="1"/>
    </xf>
    <xf numFmtId="0" fontId="1" fillId="0" borderId="21" xfId="2" applyFont="1" applyBorder="1" applyAlignment="1">
      <alignment horizontal="center" vertical="center" wrapText="1"/>
    </xf>
    <xf numFmtId="0" fontId="1" fillId="0" borderId="25" xfId="2" applyFont="1" applyBorder="1" applyAlignment="1">
      <alignment horizontal="center" vertical="center"/>
    </xf>
    <xf numFmtId="0" fontId="1" fillId="0" borderId="46" xfId="2" applyFont="1" applyBorder="1" applyAlignment="1">
      <alignment horizontal="center" vertical="center"/>
    </xf>
    <xf numFmtId="0" fontId="7" fillId="3" borderId="45" xfId="2" applyFont="1" applyFill="1" applyBorder="1" applyAlignment="1">
      <alignment horizontal="center" vertical="center" wrapText="1"/>
    </xf>
    <xf numFmtId="0" fontId="7" fillId="3" borderId="26" xfId="2" applyFont="1" applyFill="1" applyBorder="1" applyAlignment="1">
      <alignment horizontal="center" vertical="center"/>
    </xf>
    <xf numFmtId="0" fontId="7" fillId="3" borderId="19" xfId="2" applyFont="1" applyFill="1" applyBorder="1" applyAlignment="1">
      <alignment horizontal="center" vertical="center"/>
    </xf>
    <xf numFmtId="0" fontId="7" fillId="3" borderId="22" xfId="2" applyFont="1" applyFill="1" applyBorder="1" applyAlignment="1">
      <alignment horizontal="center" vertical="center"/>
    </xf>
    <xf numFmtId="0" fontId="1" fillId="7" borderId="45" xfId="2" applyFont="1" applyFill="1" applyBorder="1" applyAlignment="1">
      <alignment horizontal="center" vertical="center"/>
    </xf>
    <xf numFmtId="0" fontId="1" fillId="7" borderId="19" xfId="2" applyFont="1" applyFill="1" applyBorder="1" applyAlignment="1">
      <alignment horizontal="center" vertical="center"/>
    </xf>
    <xf numFmtId="0" fontId="1" fillId="7" borderId="25" xfId="2" applyFont="1" applyFill="1" applyBorder="1" applyAlignment="1">
      <alignment horizontal="center" vertical="center"/>
    </xf>
    <xf numFmtId="0" fontId="1" fillId="7" borderId="21" xfId="2" applyFont="1" applyFill="1" applyBorder="1" applyAlignment="1">
      <alignment horizontal="center" vertical="center"/>
    </xf>
    <xf numFmtId="0" fontId="1" fillId="6" borderId="46" xfId="2" applyFont="1" applyFill="1" applyBorder="1" applyAlignment="1">
      <alignment horizontal="center" vertical="center"/>
    </xf>
    <xf numFmtId="0" fontId="1" fillId="6" borderId="20" xfId="2" applyFont="1" applyFill="1" applyBorder="1" applyAlignment="1">
      <alignment horizontal="center" vertical="center"/>
    </xf>
    <xf numFmtId="0" fontId="1" fillId="4" borderId="45" xfId="2" applyFont="1" applyFill="1" applyBorder="1" applyAlignment="1">
      <alignment horizontal="center" vertical="center"/>
    </xf>
    <xf numFmtId="0" fontId="1" fillId="4" borderId="19" xfId="2" applyFont="1" applyFill="1" applyBorder="1" applyAlignment="1">
      <alignment horizontal="center" vertical="center"/>
    </xf>
    <xf numFmtId="0" fontId="1" fillId="6" borderId="44" xfId="2" applyFont="1" applyFill="1" applyBorder="1" applyAlignment="1">
      <alignment horizontal="center" vertical="center"/>
    </xf>
    <xf numFmtId="0" fontId="1" fillId="6" borderId="50" xfId="2" applyFont="1" applyFill="1" applyBorder="1" applyAlignment="1">
      <alignment horizontal="center" vertical="center"/>
    </xf>
    <xf numFmtId="0" fontId="1" fillId="8" borderId="44" xfId="2" applyFont="1" applyFill="1" applyBorder="1" applyAlignment="1">
      <alignment horizontal="center" vertical="center"/>
    </xf>
    <xf numFmtId="0" fontId="1" fillId="8" borderId="50" xfId="2" applyFont="1" applyFill="1" applyBorder="1" applyAlignment="1">
      <alignment horizontal="center" vertical="center"/>
    </xf>
    <xf numFmtId="0" fontId="1" fillId="5" borderId="47" xfId="2" applyFont="1" applyFill="1" applyBorder="1" applyAlignment="1">
      <alignment horizontal="center" vertical="center" wrapText="1" shrinkToFit="1"/>
    </xf>
    <xf numFmtId="0" fontId="1" fillId="5" borderId="51" xfId="2" applyFont="1" applyFill="1" applyBorder="1" applyAlignment="1">
      <alignment horizontal="center" vertical="center" shrinkToFit="1"/>
    </xf>
    <xf numFmtId="0" fontId="1" fillId="0" borderId="44" xfId="2" applyFont="1" applyBorder="1" applyAlignment="1">
      <alignment horizontal="center" vertical="center"/>
    </xf>
    <xf numFmtId="0" fontId="1" fillId="0" borderId="50" xfId="2" applyFont="1" applyBorder="1" applyAlignment="1">
      <alignment horizontal="center" vertical="center"/>
    </xf>
    <xf numFmtId="0" fontId="1" fillId="0" borderId="26" xfId="2" applyFont="1" applyBorder="1" applyAlignment="1">
      <alignment horizontal="center" vertical="center" wrapText="1"/>
    </xf>
    <xf numFmtId="0" fontId="1" fillId="0" borderId="22" xfId="2" applyFont="1" applyBorder="1" applyAlignment="1">
      <alignment horizontal="center" vertical="center" wrapText="1"/>
    </xf>
    <xf numFmtId="0" fontId="1" fillId="4" borderId="24" xfId="2" applyFont="1" applyFill="1" applyBorder="1" applyAlignment="1">
      <alignment horizontal="center" vertical="center"/>
    </xf>
    <xf numFmtId="0" fontId="1" fillId="4" borderId="23" xfId="2" applyFont="1" applyFill="1" applyBorder="1" applyAlignment="1">
      <alignment horizontal="center" vertical="center"/>
    </xf>
    <xf numFmtId="181" fontId="22" fillId="0" borderId="16" xfId="2" applyNumberFormat="1" applyFont="1" applyBorder="1" applyAlignment="1">
      <alignment horizontal="left" vertical="center"/>
    </xf>
    <xf numFmtId="181" fontId="22" fillId="0" borderId="6" xfId="2" applyNumberFormat="1" applyFont="1" applyBorder="1" applyAlignment="1">
      <alignment horizontal="left" vertical="center"/>
    </xf>
    <xf numFmtId="0" fontId="1" fillId="0" borderId="42" xfId="2" applyFont="1" applyBorder="1" applyAlignment="1">
      <alignment horizontal="center" vertical="center"/>
    </xf>
    <xf numFmtId="0" fontId="1" fillId="0" borderId="48" xfId="2" applyFont="1" applyBorder="1" applyAlignment="1">
      <alignment horizontal="center" vertical="center"/>
    </xf>
    <xf numFmtId="0" fontId="1" fillId="0" borderId="43" xfId="2" applyFont="1" applyBorder="1" applyAlignment="1">
      <alignment horizontal="center" vertical="center" shrinkToFit="1"/>
    </xf>
    <xf numFmtId="0" fontId="1" fillId="0" borderId="49" xfId="2" applyFont="1" applyBorder="1" applyAlignment="1">
      <alignment horizontal="center" vertical="center" shrinkToFit="1"/>
    </xf>
    <xf numFmtId="0" fontId="1" fillId="0" borderId="21" xfId="2" applyFont="1" applyBorder="1" applyAlignment="1">
      <alignment horizontal="center" vertical="center"/>
    </xf>
    <xf numFmtId="0" fontId="12" fillId="0" borderId="27" xfId="2" applyFont="1" applyBorder="1" applyAlignment="1">
      <alignment horizontal="center" vertical="center"/>
    </xf>
    <xf numFmtId="0" fontId="12" fillId="0" borderId="28" xfId="2" applyFont="1" applyBorder="1" applyAlignment="1">
      <alignment horizontal="center" vertical="center"/>
    </xf>
    <xf numFmtId="0" fontId="12" fillId="0" borderId="29" xfId="2" applyFont="1" applyBorder="1" applyAlignment="1">
      <alignment horizontal="center" vertical="center"/>
    </xf>
    <xf numFmtId="0" fontId="12" fillId="0" borderId="35" xfId="2" applyFont="1" applyBorder="1" applyAlignment="1">
      <alignment horizontal="center" vertical="center"/>
    </xf>
    <xf numFmtId="0" fontId="12" fillId="0" borderId="36" xfId="2" applyFont="1" applyBorder="1" applyAlignment="1">
      <alignment horizontal="center" vertical="center"/>
    </xf>
    <xf numFmtId="0" fontId="12" fillId="0" borderId="37" xfId="2" applyFont="1" applyBorder="1" applyAlignment="1">
      <alignment horizontal="center" vertical="center"/>
    </xf>
    <xf numFmtId="0" fontId="12" fillId="0" borderId="30" xfId="2" applyFont="1" applyBorder="1" applyAlignment="1">
      <alignment horizontal="center" vertical="center"/>
    </xf>
    <xf numFmtId="0" fontId="12" fillId="0" borderId="31" xfId="2" applyFont="1" applyBorder="1" applyAlignment="1">
      <alignment horizontal="center" vertical="center"/>
    </xf>
    <xf numFmtId="0" fontId="12" fillId="0" borderId="32" xfId="2" applyFont="1" applyBorder="1" applyAlignment="1">
      <alignment horizontal="center" vertical="center"/>
    </xf>
    <xf numFmtId="0" fontId="12" fillId="0" borderId="38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39" xfId="2" applyFont="1" applyBorder="1" applyAlignment="1">
      <alignment horizontal="center" vertical="center"/>
    </xf>
    <xf numFmtId="0" fontId="12" fillId="0" borderId="33" xfId="2" applyFont="1" applyBorder="1" applyAlignment="1">
      <alignment horizontal="center" vertical="center"/>
    </xf>
    <xf numFmtId="0" fontId="12" fillId="0" borderId="40" xfId="2" applyFont="1" applyBorder="1" applyAlignment="1">
      <alignment horizontal="center" vertical="center"/>
    </xf>
    <xf numFmtId="0" fontId="12" fillId="0" borderId="41" xfId="2" applyFont="1" applyBorder="1" applyAlignment="1">
      <alignment horizontal="center" vertical="center"/>
    </xf>
    <xf numFmtId="0" fontId="22" fillId="0" borderId="28" xfId="2" applyFont="1" applyBorder="1" applyAlignment="1">
      <alignment horizontal="center" vertical="center"/>
    </xf>
    <xf numFmtId="0" fontId="22" fillId="0" borderId="33" xfId="2" applyFont="1" applyBorder="1" applyAlignment="1">
      <alignment horizontal="center" vertical="center"/>
    </xf>
    <xf numFmtId="0" fontId="22" fillId="0" borderId="41" xfId="2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2" fillId="0" borderId="40" xfId="2" applyFont="1" applyBorder="1" applyAlignment="1">
      <alignment horizontal="center" vertical="center"/>
    </xf>
    <xf numFmtId="179" fontId="1" fillId="0" borderId="46" xfId="6" applyNumberFormat="1" applyFont="1" applyBorder="1" applyAlignment="1">
      <alignment horizontal="center" vertical="center"/>
    </xf>
    <xf numFmtId="179" fontId="1" fillId="0" borderId="15" xfId="6" applyNumberFormat="1" applyFont="1" applyBorder="1" applyAlignment="1">
      <alignment horizontal="center" vertical="center"/>
    </xf>
    <xf numFmtId="179" fontId="1" fillId="0" borderId="20" xfId="6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left" vertical="center" shrinkToFit="1"/>
    </xf>
    <xf numFmtId="0" fontId="26" fillId="12" borderId="45" xfId="2" applyFont="1" applyFill="1" applyBorder="1" applyAlignment="1">
      <alignment horizontal="center" vertical="center" wrapText="1"/>
    </xf>
    <xf numFmtId="0" fontId="1" fillId="12" borderId="46" xfId="2" applyFont="1" applyFill="1" applyBorder="1" applyAlignment="1">
      <alignment horizontal="center" vertical="center"/>
    </xf>
    <xf numFmtId="0" fontId="1" fillId="0" borderId="25" xfId="2" applyFont="1" applyBorder="1" applyAlignment="1">
      <alignment horizontal="left" vertical="center" shrinkToFit="1"/>
    </xf>
    <xf numFmtId="179" fontId="1" fillId="0" borderId="64" xfId="6" applyNumberFormat="1" applyFont="1" applyBorder="1" applyAlignment="1">
      <alignment horizontal="center" vertical="center"/>
    </xf>
    <xf numFmtId="0" fontId="7" fillId="0" borderId="24" xfId="2" applyFont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/>
    </xf>
    <xf numFmtId="0" fontId="7" fillId="0" borderId="23" xfId="2" applyFont="1" applyBorder="1" applyAlignment="1">
      <alignment horizontal="center" vertical="center"/>
    </xf>
    <xf numFmtId="0" fontId="7" fillId="0" borderId="22" xfId="2" applyFont="1" applyBorder="1" applyAlignment="1">
      <alignment horizontal="center" vertical="center"/>
    </xf>
    <xf numFmtId="0" fontId="12" fillId="0" borderId="27" xfId="2" applyFont="1" applyBorder="1" applyAlignment="1">
      <alignment horizontal="center" vertical="center" wrapText="1"/>
    </xf>
    <xf numFmtId="0" fontId="12" fillId="0" borderId="28" xfId="2" applyFont="1" applyBorder="1" applyAlignment="1">
      <alignment horizontal="center" vertical="center" wrapText="1"/>
    </xf>
    <xf numFmtId="0" fontId="12" fillId="0" borderId="35" xfId="2" applyFont="1" applyBorder="1" applyAlignment="1">
      <alignment horizontal="center" vertical="center" wrapText="1"/>
    </xf>
    <xf numFmtId="0" fontId="12" fillId="0" borderId="36" xfId="2" applyFont="1" applyBorder="1" applyAlignment="1">
      <alignment horizontal="center" vertical="center" wrapText="1"/>
    </xf>
  </cellXfs>
  <cellStyles count="9">
    <cellStyle name="一般" xfId="0" builtinId="0"/>
    <cellStyle name="一般 2 17 2" xfId="5" xr:uid="{662F48AC-A1A5-4AA1-A92D-CE02F4C700C3}"/>
    <cellStyle name="一般 2 2 2" xfId="2" xr:uid="{43F96FCB-3879-4139-ADF4-FBC14938AA7B}"/>
    <cellStyle name="一般 2 4" xfId="8" xr:uid="{3760B261-7D7A-4A7A-9784-B0C4CC6D89B8}"/>
    <cellStyle name="一般 2 8" xfId="4" xr:uid="{52DE925B-3A59-4B1A-99E8-045A621A94BC}"/>
    <cellStyle name="一般 3" xfId="1" xr:uid="{30F16012-5E69-4490-A013-7AC762A0FE22}"/>
    <cellStyle name="一般 3 3" xfId="7" xr:uid="{DF43D444-DA1D-4CC4-8DEF-2CEB79A652CF}"/>
    <cellStyle name="千分位 2" xfId="3" xr:uid="{2952FEE4-85F8-4E8B-8553-B022C616DCE3}"/>
    <cellStyle name="百分比 2" xfId="6" xr:uid="{F407925A-4ED3-49F2-AE5D-7E454CB25D4B}"/>
  </cellStyles>
  <dxfs count="183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EE949-8D62-4F57-BBC8-4F44155B2DE3}">
  <sheetPr>
    <tabColor theme="8" tint="0.59999389629810485"/>
  </sheetPr>
  <dimension ref="B1:AR42"/>
  <sheetViews>
    <sheetView tabSelected="1" zoomScale="70" zoomScaleNormal="70" workbookViewId="0">
      <selection activeCell="R14" sqref="R1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0" t="s">
        <v>0</v>
      </c>
      <c r="C1" s="280"/>
      <c r="D1" s="280"/>
      <c r="E1" s="280"/>
      <c r="F1" s="280"/>
      <c r="G1" s="280"/>
      <c r="H1" s="280"/>
      <c r="I1" s="280"/>
      <c r="J1" s="280"/>
      <c r="K1" s="1"/>
      <c r="L1" s="1"/>
      <c r="M1" s="1"/>
      <c r="N1" s="1"/>
      <c r="O1" s="1"/>
      <c r="P1" s="1"/>
    </row>
    <row r="2" spans="2:34" ht="27.75" customHeight="1">
      <c r="B2" s="281"/>
      <c r="C2" s="281"/>
      <c r="D2" s="281"/>
      <c r="E2" s="281"/>
      <c r="F2" s="281"/>
      <c r="G2" s="281"/>
      <c r="H2" s="281"/>
      <c r="I2" s="281"/>
      <c r="J2" s="28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2" t="s">
        <v>235</v>
      </c>
      <c r="D3" s="283"/>
      <c r="E3" s="3" t="s">
        <v>2</v>
      </c>
      <c r="F3" s="284">
        <f>'1008(18度C)'!D1+'1008(4度C)'!D1</f>
        <v>111063</v>
      </c>
      <c r="G3" s="285"/>
      <c r="H3" s="3" t="s">
        <v>3</v>
      </c>
      <c r="I3" s="286">
        <f>'1008(18度C)'!F1+'1008(4度C)'!F1</f>
        <v>3399634.87</v>
      </c>
      <c r="J3" s="287"/>
      <c r="K3" s="4"/>
      <c r="L3" s="5"/>
      <c r="M3" s="1"/>
      <c r="N3" s="1"/>
      <c r="O3" s="1"/>
      <c r="P3" s="1"/>
    </row>
    <row r="4" spans="2:34" ht="28.5" customHeight="1">
      <c r="B4" s="288" t="s">
        <v>4</v>
      </c>
      <c r="C4" s="268" t="s">
        <v>5</v>
      </c>
      <c r="D4" s="269"/>
      <c r="E4" s="291" t="s">
        <v>6</v>
      </c>
      <c r="F4" s="292"/>
      <c r="G4" s="291" t="s">
        <v>7</v>
      </c>
      <c r="H4" s="292"/>
      <c r="I4" s="291" t="s">
        <v>8</v>
      </c>
      <c r="J4" s="292"/>
      <c r="K4" s="264" t="s">
        <v>9</v>
      </c>
      <c r="L4" s="265"/>
      <c r="M4" s="264" t="s">
        <v>10</v>
      </c>
      <c r="N4" s="265"/>
      <c r="O4" s="266" t="s">
        <v>11</v>
      </c>
      <c r="P4" s="267"/>
      <c r="Q4" s="267" t="s">
        <v>12</v>
      </c>
      <c r="R4" s="267"/>
    </row>
    <row r="5" spans="2:34" ht="28.5" customHeight="1">
      <c r="B5" s="289"/>
      <c r="C5" s="268" t="s">
        <v>13</v>
      </c>
      <c r="D5" s="269"/>
      <c r="E5" s="270" t="s">
        <v>14</v>
      </c>
      <c r="F5" s="271"/>
      <c r="G5" s="272" t="s">
        <v>15</v>
      </c>
      <c r="H5" s="273"/>
      <c r="I5" s="274" t="s">
        <v>16</v>
      </c>
      <c r="J5" s="275"/>
      <c r="K5" s="276" t="s">
        <v>17</v>
      </c>
      <c r="L5" s="277"/>
      <c r="M5" s="278" t="s">
        <v>18</v>
      </c>
      <c r="N5" s="27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9"/>
      <c r="C6" s="268" t="s">
        <v>22</v>
      </c>
      <c r="D6" s="269"/>
      <c r="E6" s="258">
        <f>AVERAGE(D14:O14,D32:X32)</f>
        <v>496.38204550585635</v>
      </c>
      <c r="F6" s="259" t="e">
        <f>AVERAGE(#REF!,D14:K14)</f>
        <v>#REF!</v>
      </c>
      <c r="G6" s="260">
        <f>AVERAGE(D14:K14)</f>
        <v>302.80046450351091</v>
      </c>
      <c r="H6" s="261"/>
      <c r="I6" s="260">
        <f>AVERAGE(L14:O14)</f>
        <v>94.325718496683862</v>
      </c>
      <c r="J6" s="261"/>
      <c r="K6" s="260">
        <f>AVERAGE(D32:O32)</f>
        <v>717.5</v>
      </c>
      <c r="L6" s="261"/>
      <c r="M6" s="260">
        <f>AVERAGE(P32:X32)</f>
        <v>718.26923076923072</v>
      </c>
      <c r="N6" s="261"/>
      <c r="O6" s="249">
        <f>'1008(4度C)'!Y2</f>
        <v>0</v>
      </c>
      <c r="P6" s="249">
        <f>'1008(4度C)'!Z2</f>
        <v>0</v>
      </c>
      <c r="Q6" s="249">
        <f>'1008(4度C)'!AC2</f>
        <v>0</v>
      </c>
      <c r="R6" s="249">
        <f>'1008(4度C)'!AD2</f>
        <v>0</v>
      </c>
    </row>
    <row r="7" spans="2:34" ht="28.5" customHeight="1">
      <c r="B7" s="289"/>
      <c r="C7" s="252" t="s">
        <v>23</v>
      </c>
      <c r="D7" s="253"/>
      <c r="E7" s="254">
        <f>AVERAGE(D15:O15,D33:X33)</f>
        <v>453.17194929439643</v>
      </c>
      <c r="F7" s="255" t="e">
        <f>AVERAGE(#REF!,D15:K15)</f>
        <v>#REF!</v>
      </c>
      <c r="G7" s="256">
        <f>AVERAGE(D15:K15)</f>
        <v>272.47760608524595</v>
      </c>
      <c r="H7" s="257"/>
      <c r="I7" s="256">
        <f>AVERAGE(L15:O15)</f>
        <v>87.622615459871582</v>
      </c>
      <c r="J7" s="257"/>
      <c r="K7" s="256">
        <f>AVERAGE(D33:O33)</f>
        <v>657.60961740323307</v>
      </c>
      <c r="L7" s="257"/>
      <c r="M7" s="256">
        <f>AVERAGE(P33:X33)</f>
        <v>657.37687711426031</v>
      </c>
      <c r="N7" s="257"/>
      <c r="O7" s="250"/>
      <c r="P7" s="250"/>
      <c r="Q7" s="250"/>
      <c r="R7" s="250"/>
    </row>
    <row r="8" spans="2:34" ht="28.5" customHeight="1">
      <c r="B8" s="290"/>
      <c r="C8" s="252" t="s">
        <v>24</v>
      </c>
      <c r="D8" s="253"/>
      <c r="E8" s="262">
        <f>AVERAGE(D16:O16,D34:X34)</f>
        <v>0.90849086270880586</v>
      </c>
      <c r="F8" s="263" t="e">
        <f>AVERAGE(D16:K16,#REF!)</f>
        <v>#REF!</v>
      </c>
      <c r="G8" s="241">
        <f>AVERAGE(D16:K16)</f>
        <v>0.89954123238756711</v>
      </c>
      <c r="H8" s="242"/>
      <c r="I8" s="241">
        <f>AVERAGE(L16:O16)</f>
        <v>0.92704103016947548</v>
      </c>
      <c r="J8" s="242"/>
      <c r="K8" s="241">
        <f>AVERAGE(D34:O34)</f>
        <v>0.91103198881482128</v>
      </c>
      <c r="L8" s="242"/>
      <c r="M8" s="241">
        <f>AVERAGE(P34:X34)</f>
        <v>0.90786169077400369</v>
      </c>
      <c r="N8" s="242"/>
      <c r="O8" s="251"/>
      <c r="P8" s="251"/>
      <c r="Q8" s="251"/>
      <c r="R8" s="25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9" t="s">
        <v>26</v>
      </c>
      <c r="C11" s="220"/>
      <c r="D11" s="243" t="s">
        <v>27</v>
      </c>
      <c r="E11" s="244"/>
      <c r="F11" s="244"/>
      <c r="G11" s="244"/>
      <c r="H11" s="244"/>
      <c r="I11" s="244"/>
      <c r="J11" s="244"/>
      <c r="K11" s="244"/>
      <c r="L11" s="245" t="s">
        <v>28</v>
      </c>
      <c r="M11" s="246"/>
      <c r="N11" s="246"/>
      <c r="O11" s="247"/>
    </row>
    <row r="12" spans="2:34" ht="17.25" customHeight="1">
      <c r="B12" s="235" t="s">
        <v>29</v>
      </c>
      <c r="C12" s="23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5"/>
      <c r="C13" s="23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U13" s="205"/>
      <c r="AB13" s="25"/>
      <c r="AC13" s="25"/>
      <c r="AD13" s="25"/>
      <c r="AE13" s="25"/>
    </row>
    <row r="14" spans="2:34" ht="40.15" customHeight="1">
      <c r="B14" s="248" t="s">
        <v>40</v>
      </c>
      <c r="C14" s="26" t="s">
        <v>41</v>
      </c>
      <c r="D14" s="27" t="s">
        <v>42</v>
      </c>
      <c r="E14" s="28">
        <v>85.245901639344268</v>
      </c>
      <c r="F14" s="28">
        <v>138.52112676056339</v>
      </c>
      <c r="G14" s="28">
        <v>88.235294117647058</v>
      </c>
      <c r="H14" s="28" t="s">
        <v>42</v>
      </c>
      <c r="I14" s="28">
        <v>502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8"/>
      <c r="C15" s="33" t="s">
        <v>43</v>
      </c>
      <c r="D15" s="34" t="s">
        <v>42</v>
      </c>
      <c r="E15" s="35">
        <v>76.95593932361075</v>
      </c>
      <c r="F15" s="35">
        <v>123.8434651785947</v>
      </c>
      <c r="G15" s="35">
        <v>79.672195860733495</v>
      </c>
      <c r="H15" s="35" t="s">
        <v>42</v>
      </c>
      <c r="I15" s="35">
        <v>447.88783162185632</v>
      </c>
      <c r="J15" s="35">
        <v>634.02859844143461</v>
      </c>
      <c r="K15" s="36" t="s">
        <v>42</v>
      </c>
      <c r="L15" s="34" t="s">
        <v>42</v>
      </c>
      <c r="M15" s="204">
        <v>96.742857142857147</v>
      </c>
      <c r="N15" s="35">
        <v>78.502373776886003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8"/>
      <c r="C16" s="40" t="s">
        <v>44</v>
      </c>
      <c r="D16" s="41" t="s">
        <v>42</v>
      </c>
      <c r="E16" s="42">
        <f t="shared" ref="E16:J16" si="0">E15/E14</f>
        <v>0.90275236514235679</v>
      </c>
      <c r="F16" s="42">
        <f t="shared" si="0"/>
        <v>0.89404026717643348</v>
      </c>
      <c r="G16" s="42">
        <f t="shared" si="0"/>
        <v>0.90295155308831299</v>
      </c>
      <c r="H16" s="42" t="s">
        <v>42</v>
      </c>
      <c r="I16" s="42">
        <f t="shared" si="0"/>
        <v>0.89220683590011218</v>
      </c>
      <c r="J16" s="42">
        <f t="shared" si="0"/>
        <v>0.9057551406306209</v>
      </c>
      <c r="K16" s="43" t="s">
        <v>42</v>
      </c>
      <c r="L16" s="41" t="s">
        <v>42</v>
      </c>
      <c r="M16" s="44">
        <f>M15/M14</f>
        <v>0.95130476190476199</v>
      </c>
      <c r="N16" s="42">
        <f>N15/N14</f>
        <v>0.90277729843418897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34" t="s">
        <v>45</v>
      </c>
      <c r="C17" s="13" t="s">
        <v>46</v>
      </c>
      <c r="D17" s="46" t="s">
        <v>42</v>
      </c>
      <c r="E17" s="47">
        <v>0.25</v>
      </c>
      <c r="F17" s="47">
        <v>0.25</v>
      </c>
      <c r="G17" s="47">
        <v>0.25</v>
      </c>
      <c r="H17" s="47" t="s">
        <v>42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5"/>
      <c r="C18" s="13" t="s">
        <v>47</v>
      </c>
      <c r="D18" s="46" t="s">
        <v>42</v>
      </c>
      <c r="E18" s="47">
        <v>0.59618055555555549</v>
      </c>
      <c r="F18" s="47">
        <v>0.53636574074074062</v>
      </c>
      <c r="G18" s="47">
        <v>0.55162037037037037</v>
      </c>
      <c r="H18" s="47" t="s">
        <v>42</v>
      </c>
      <c r="I18" s="47">
        <v>0.47592592592592575</v>
      </c>
      <c r="J18" s="47">
        <v>0.29010416666666666</v>
      </c>
      <c r="K18" s="47" t="s">
        <v>42</v>
      </c>
      <c r="L18" s="46" t="s">
        <v>42</v>
      </c>
      <c r="M18" s="48">
        <v>0.77712962962962961</v>
      </c>
      <c r="N18" s="47">
        <v>0.82528935185185182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6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7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6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7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5" t="s">
        <v>53</v>
      </c>
      <c r="C23" s="238"/>
      <c r="D23" s="56" t="s">
        <v>42</v>
      </c>
      <c r="E23" s="57">
        <v>20.333333333333332</v>
      </c>
      <c r="F23" s="57">
        <v>20.714285714285715</v>
      </c>
      <c r="G23" s="57">
        <v>22.666666666666668</v>
      </c>
      <c r="H23" s="57" t="s">
        <v>42</v>
      </c>
      <c r="I23" s="57">
        <v>5.75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9" t="s">
        <v>54</v>
      </c>
      <c r="C24" s="240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9" t="s">
        <v>59</v>
      </c>
      <c r="C25" s="240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7" t="s">
        <v>60</v>
      </c>
      <c r="C26" s="218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9" t="s">
        <v>26</v>
      </c>
      <c r="C29" s="220"/>
      <c r="D29" s="221" t="s">
        <v>64</v>
      </c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3"/>
      <c r="P29" s="224" t="s">
        <v>65</v>
      </c>
      <c r="Q29" s="225"/>
      <c r="R29" s="225"/>
      <c r="S29" s="225"/>
      <c r="T29" s="225"/>
      <c r="U29" s="225"/>
      <c r="V29" s="225"/>
      <c r="W29" s="225"/>
      <c r="X29" s="226"/>
    </row>
    <row r="30" spans="2:44" ht="17.25" customHeight="1">
      <c r="B30" s="227" t="s">
        <v>29</v>
      </c>
      <c r="C30" s="22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9"/>
      <c r="C31" s="230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3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750</v>
      </c>
      <c r="N32" s="28">
        <v>920</v>
      </c>
      <c r="O32" s="28">
        <v>872.72727272727275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750</v>
      </c>
      <c r="W32" s="28">
        <v>923.07692307692298</v>
      </c>
      <c r="X32" s="31">
        <v>900</v>
      </c>
    </row>
    <row r="33" spans="2:24" ht="39.6" customHeight="1">
      <c r="B33" s="232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287.3769805365381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699.37201612392869</v>
      </c>
      <c r="N33" s="35">
        <v>846.82886291737191</v>
      </c>
      <c r="O33" s="35">
        <v>796.86061003509337</v>
      </c>
      <c r="P33" s="34">
        <v>260.01177158529629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699.84376465004993</v>
      </c>
      <c r="W33" s="35">
        <v>847.90871084922151</v>
      </c>
      <c r="X33" s="37">
        <v>821.74326137247351</v>
      </c>
    </row>
    <row r="34" spans="2:24" ht="40.15" customHeight="1">
      <c r="B34" s="233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0.87809632941719984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0.93249602149857158</v>
      </c>
      <c r="N34" s="42">
        <f>N33/N32</f>
        <v>0.92046615534496945</v>
      </c>
      <c r="O34" s="42">
        <f>O33/O32</f>
        <v>0.91306944899854448</v>
      </c>
      <c r="P34" s="41">
        <f>P33/P32</f>
        <v>0.86670590528432101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0.93312501953339988</v>
      </c>
      <c r="W34" s="42">
        <f>W33/W32</f>
        <v>0.91856777008665669</v>
      </c>
      <c r="X34" s="45">
        <f>X33/X32</f>
        <v>0.9130480681916372</v>
      </c>
    </row>
    <row r="35" spans="2:24" ht="17.25" customHeight="1">
      <c r="B35" s="211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0.30833333333333329</v>
      </c>
      <c r="N35" s="47">
        <v>0.25</v>
      </c>
      <c r="O35" s="47">
        <v>0.25</v>
      </c>
      <c r="P35" s="46">
        <v>0.73541666666666661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0.73055555555555551</v>
      </c>
      <c r="X35" s="49">
        <v>0.72986111111111107</v>
      </c>
    </row>
    <row r="36" spans="2:24" ht="17.25" customHeight="1">
      <c r="B36" s="212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0.47592592592592575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0.3662731481481481</v>
      </c>
      <c r="N36" s="47">
        <v>0.42565972222222231</v>
      </c>
      <c r="O36" s="47">
        <v>0.41710648148148161</v>
      </c>
      <c r="P36" s="46">
        <v>0.74684027777777773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0.71839120370370368</v>
      </c>
      <c r="W36" s="47">
        <v>1.0542013888888884</v>
      </c>
      <c r="X36" s="49">
        <v>1.0447685185185178</v>
      </c>
    </row>
    <row r="37" spans="2:24" ht="17.25" customHeight="1">
      <c r="B37" s="213" t="s">
        <v>53</v>
      </c>
      <c r="C37" s="214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3.75</v>
      </c>
      <c r="O37" s="57">
        <v>4.125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</v>
      </c>
      <c r="W37" s="57">
        <v>3.7142857142857144</v>
      </c>
      <c r="X37" s="59">
        <v>4</v>
      </c>
    </row>
    <row r="38" spans="2:24" ht="17.25" customHeight="1">
      <c r="B38" s="213" t="s">
        <v>54</v>
      </c>
      <c r="C38" s="214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13" t="s">
        <v>59</v>
      </c>
      <c r="C39" s="21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5" t="s">
        <v>60</v>
      </c>
      <c r="C40" s="21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4:B16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32:B34"/>
    <mergeCell ref="B17:B18"/>
    <mergeCell ref="B19:B20"/>
    <mergeCell ref="B21:B22"/>
    <mergeCell ref="B23:C23"/>
    <mergeCell ref="B24:C24"/>
    <mergeCell ref="B25:C25"/>
    <mergeCell ref="B26:C26"/>
    <mergeCell ref="B29:C29"/>
    <mergeCell ref="D29:O29"/>
    <mergeCell ref="P29:X29"/>
    <mergeCell ref="B30:C31"/>
    <mergeCell ref="B35:B36"/>
    <mergeCell ref="B37:C37"/>
    <mergeCell ref="B38:C38"/>
    <mergeCell ref="B39:C39"/>
    <mergeCell ref="B40:C40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76D23-7584-4F08-A1D0-E1BFCF0B102C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R5" sqref="R5:R21"/>
      <selection pane="bottomLeft" activeCell="R5" sqref="R5:R21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58711</v>
      </c>
      <c r="E1" s="86" t="s">
        <v>3</v>
      </c>
      <c r="F1" s="87">
        <f>SUM(G5:G140)</f>
        <v>1160231.6499999999</v>
      </c>
      <c r="G1" s="88" t="s">
        <v>84</v>
      </c>
      <c r="H1" s="89">
        <f>L21+L38+L55+L72+L89+L106+L123+L140</f>
        <v>46.589285714285715</v>
      </c>
      <c r="I1" s="359" t="s">
        <v>85</v>
      </c>
      <c r="J1" s="360"/>
      <c r="K1" s="361"/>
      <c r="L1" s="365" t="s">
        <v>86</v>
      </c>
      <c r="M1" s="366"/>
      <c r="N1" s="367"/>
      <c r="O1" s="360" t="s">
        <v>87</v>
      </c>
      <c r="P1" s="360"/>
      <c r="Q1" s="360"/>
      <c r="R1" s="371"/>
      <c r="S1" s="359" t="s">
        <v>88</v>
      </c>
      <c r="T1" s="360"/>
      <c r="U1" s="360"/>
      <c r="V1" s="360"/>
      <c r="W1" s="360"/>
      <c r="X1" s="371"/>
      <c r="Y1" s="360" t="s">
        <v>89</v>
      </c>
      <c r="Z1" s="360"/>
      <c r="AA1" s="359" t="s">
        <v>90</v>
      </c>
      <c r="AB1" s="374"/>
      <c r="AC1" s="375"/>
    </row>
    <row r="2" spans="1:29" ht="26.25" customHeight="1" thickBot="1">
      <c r="A2" s="352">
        <v>46303</v>
      </c>
      <c r="B2" s="353"/>
      <c r="C2" s="90" t="s">
        <v>40</v>
      </c>
      <c r="D2" s="91">
        <f>AVERAGE(N21,N38,N55,N72,N89,N106,N123,N140)</f>
        <v>657.49324725874658</v>
      </c>
      <c r="E2" s="91" t="s">
        <v>91</v>
      </c>
      <c r="F2" s="92">
        <f>F1/D1</f>
        <v>19.761742262949021</v>
      </c>
      <c r="G2" s="93" t="s">
        <v>92</v>
      </c>
      <c r="H2" s="94">
        <f>COUNT(H5:H140)</f>
        <v>14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93</v>
      </c>
      <c r="B3" s="356" t="s">
        <v>94</v>
      </c>
      <c r="C3" s="326" t="s">
        <v>95</v>
      </c>
      <c r="D3" s="326"/>
      <c r="E3" s="346" t="s">
        <v>96</v>
      </c>
      <c r="F3" s="326" t="s">
        <v>97</v>
      </c>
      <c r="G3" s="346" t="s">
        <v>98</v>
      </c>
      <c r="H3" s="348" t="s">
        <v>99</v>
      </c>
      <c r="I3" s="338" t="s">
        <v>100</v>
      </c>
      <c r="J3" s="334" t="s">
        <v>101</v>
      </c>
      <c r="K3" s="336" t="s">
        <v>40</v>
      </c>
      <c r="L3" s="350" t="s">
        <v>100</v>
      </c>
      <c r="M3" s="334" t="s">
        <v>101</v>
      </c>
      <c r="N3" s="336" t="s">
        <v>40</v>
      </c>
      <c r="O3" s="338" t="s">
        <v>100</v>
      </c>
      <c r="P3" s="340" t="s">
        <v>40</v>
      </c>
      <c r="Q3" s="342" t="s">
        <v>102</v>
      </c>
      <c r="R3" s="344" t="s">
        <v>103</v>
      </c>
      <c r="S3" s="322" t="s">
        <v>104</v>
      </c>
      <c r="T3" s="323"/>
      <c r="U3" s="324" t="s">
        <v>105</v>
      </c>
      <c r="V3" s="324" t="s">
        <v>106</v>
      </c>
      <c r="W3" s="326" t="s">
        <v>107</v>
      </c>
      <c r="X3" s="327"/>
      <c r="Y3" s="328" t="s">
        <v>108</v>
      </c>
      <c r="Z3" s="329"/>
      <c r="AA3" s="332" t="s">
        <v>101</v>
      </c>
      <c r="AB3" s="318" t="s">
        <v>102</v>
      </c>
      <c r="AC3" s="320" t="s">
        <v>109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201" t="s">
        <v>110</v>
      </c>
      <c r="T4" s="202" t="s">
        <v>111</v>
      </c>
      <c r="U4" s="325"/>
      <c r="V4" s="325"/>
      <c r="W4" s="97" t="s">
        <v>112</v>
      </c>
      <c r="X4" s="67" t="s">
        <v>113</v>
      </c>
      <c r="Y4" s="330"/>
      <c r="Z4" s="331"/>
      <c r="AA4" s="333"/>
      <c r="AB4" s="319"/>
      <c r="AC4" s="321"/>
    </row>
    <row r="5" spans="1:29" ht="15.75" customHeight="1">
      <c r="A5" s="315" t="s">
        <v>116</v>
      </c>
      <c r="B5" s="144" t="s">
        <v>114</v>
      </c>
      <c r="C5" s="305" t="s">
        <v>117</v>
      </c>
      <c r="D5" s="306"/>
      <c r="E5" s="145">
        <v>25.64</v>
      </c>
      <c r="F5" s="95">
        <v>808</v>
      </c>
      <c r="G5" s="146">
        <f t="shared" ref="G5:G10" si="0">E5*F5</f>
        <v>20717.12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 t="shared" ref="M5:M10" si="1">F5/V5*60</f>
        <v>3216.5295511531831</v>
      </c>
      <c r="N5" s="150">
        <f t="shared" ref="N5:N10" si="2">M5/L5</f>
        <v>321.65295511531832</v>
      </c>
      <c r="O5" s="152">
        <f t="shared" ref="O5:O10" si="3">L5-I5</f>
        <v>0</v>
      </c>
      <c r="P5" s="153">
        <f t="shared" ref="P5:P10" si="4">N5-K5</f>
        <v>-38.347044884681679</v>
      </c>
      <c r="Q5" s="154">
        <f t="shared" ref="Q5:Q10" si="5">N5/K5</f>
        <v>0.89348043087588425</v>
      </c>
      <c r="R5" s="307">
        <f>Q21</f>
        <v>0.87809632941719984</v>
      </c>
      <c r="S5" s="155">
        <v>0.25</v>
      </c>
      <c r="T5" s="156">
        <v>0.26046296296296295</v>
      </c>
      <c r="U5" s="157"/>
      <c r="V5" s="158">
        <v>15.072145064738812</v>
      </c>
      <c r="W5" s="159"/>
      <c r="X5" s="160"/>
      <c r="Y5" s="310"/>
      <c r="Z5" s="311"/>
      <c r="AA5" s="113">
        <f t="shared" ref="AA5:AA10" si="6">M5-J5</f>
        <v>-383.47044884681691</v>
      </c>
      <c r="AB5" s="154">
        <f t="shared" ref="AB5:AB10" si="7">M5/J5</f>
        <v>0.89348043087588425</v>
      </c>
      <c r="AC5" s="312">
        <f>AB21</f>
        <v>0.87809632941719973</v>
      </c>
    </row>
    <row r="6" spans="1:29" ht="15.75" customHeight="1">
      <c r="A6" s="316"/>
      <c r="B6" s="98" t="s">
        <v>114</v>
      </c>
      <c r="C6" s="297" t="s">
        <v>191</v>
      </c>
      <c r="D6" s="298"/>
      <c r="E6" s="99">
        <v>29.52</v>
      </c>
      <c r="F6" s="100">
        <v>1455</v>
      </c>
      <c r="G6" s="101">
        <f t="shared" si="0"/>
        <v>42951.6</v>
      </c>
      <c r="H6" s="26"/>
      <c r="I6" s="102">
        <v>11</v>
      </c>
      <c r="J6" s="103">
        <v>3600</v>
      </c>
      <c r="K6" s="104">
        <f t="shared" ref="K6:K10" si="8">J6/I6</f>
        <v>327.27272727272725</v>
      </c>
      <c r="L6" s="105">
        <v>11</v>
      </c>
      <c r="M6" s="103">
        <f t="shared" si="1"/>
        <v>3158.0118454523626</v>
      </c>
      <c r="N6" s="104">
        <f t="shared" si="2"/>
        <v>287.09198595021479</v>
      </c>
      <c r="O6" s="106">
        <f t="shared" si="3"/>
        <v>0</v>
      </c>
      <c r="P6" s="107">
        <f t="shared" si="4"/>
        <v>-40.180741322512461</v>
      </c>
      <c r="Q6" s="108">
        <f t="shared" si="5"/>
        <v>0.8772255126256564</v>
      </c>
      <c r="R6" s="308"/>
      <c r="S6" s="46">
        <v>0.26458333333333334</v>
      </c>
      <c r="T6" s="47">
        <v>0.28377314814814814</v>
      </c>
      <c r="U6" s="109">
        <v>5.9333333333333549</v>
      </c>
      <c r="V6" s="110">
        <v>27.643974839966095</v>
      </c>
      <c r="W6" s="111"/>
      <c r="X6" s="114"/>
      <c r="Y6" s="299"/>
      <c r="Z6" s="300"/>
      <c r="AA6" s="115">
        <f t="shared" si="6"/>
        <v>-441.98815454763735</v>
      </c>
      <c r="AB6" s="108">
        <f t="shared" si="7"/>
        <v>0.87722551262565629</v>
      </c>
      <c r="AC6" s="313"/>
    </row>
    <row r="7" spans="1:29" ht="15.75" customHeight="1">
      <c r="A7" s="316"/>
      <c r="B7" s="98" t="s">
        <v>114</v>
      </c>
      <c r="C7" s="297" t="s">
        <v>192</v>
      </c>
      <c r="D7" s="298"/>
      <c r="E7" s="99">
        <v>29.85</v>
      </c>
      <c r="F7" s="100">
        <v>1735</v>
      </c>
      <c r="G7" s="101">
        <f t="shared" si="0"/>
        <v>51789.75</v>
      </c>
      <c r="H7" s="26"/>
      <c r="I7" s="102">
        <v>11</v>
      </c>
      <c r="J7" s="103">
        <v>3600</v>
      </c>
      <c r="K7" s="104">
        <f t="shared" si="8"/>
        <v>327.27272727272725</v>
      </c>
      <c r="L7" s="105">
        <v>11</v>
      </c>
      <c r="M7" s="103">
        <f t="shared" si="1"/>
        <v>3155.4476486307058</v>
      </c>
      <c r="N7" s="104">
        <f t="shared" si="2"/>
        <v>286.85887714824599</v>
      </c>
      <c r="O7" s="106">
        <f t="shared" si="3"/>
        <v>0</v>
      </c>
      <c r="P7" s="107">
        <f t="shared" si="4"/>
        <v>-40.413850124481257</v>
      </c>
      <c r="Q7" s="108">
        <f t="shared" si="5"/>
        <v>0.87651323573075168</v>
      </c>
      <c r="R7" s="308"/>
      <c r="S7" s="46">
        <v>0.28680555555555554</v>
      </c>
      <c r="T7" s="47">
        <v>0.30971064814814814</v>
      </c>
      <c r="U7" s="109">
        <v>5</v>
      </c>
      <c r="V7" s="110">
        <v>32.990564760335602</v>
      </c>
      <c r="W7" s="111"/>
      <c r="X7" s="114"/>
      <c r="Y7" s="299"/>
      <c r="Z7" s="300"/>
      <c r="AA7" s="115">
        <f t="shared" si="6"/>
        <v>-444.55235136929423</v>
      </c>
      <c r="AB7" s="108">
        <f t="shared" si="7"/>
        <v>0.87651323573075157</v>
      </c>
      <c r="AC7" s="313"/>
    </row>
    <row r="8" spans="1:29" ht="15.75" customHeight="1">
      <c r="A8" s="316"/>
      <c r="B8" s="98" t="s">
        <v>114</v>
      </c>
      <c r="C8" s="297" t="s">
        <v>208</v>
      </c>
      <c r="D8" s="298"/>
      <c r="E8" s="99">
        <v>30</v>
      </c>
      <c r="F8" s="100">
        <v>110</v>
      </c>
      <c r="G8" s="101">
        <f t="shared" si="0"/>
        <v>3300</v>
      </c>
      <c r="H8" s="26"/>
      <c r="I8" s="102">
        <v>11</v>
      </c>
      <c r="J8" s="103">
        <v>3600</v>
      </c>
      <c r="K8" s="104">
        <f t="shared" si="8"/>
        <v>327.27272727272725</v>
      </c>
      <c r="L8" s="105">
        <v>11</v>
      </c>
      <c r="M8" s="103">
        <f t="shared" si="1"/>
        <v>3157.7072902507616</v>
      </c>
      <c r="N8" s="104">
        <f t="shared" si="2"/>
        <v>287.0642991137056</v>
      </c>
      <c r="O8" s="106">
        <f t="shared" si="3"/>
        <v>0</v>
      </c>
      <c r="P8" s="107">
        <f t="shared" si="4"/>
        <v>-40.208428159021651</v>
      </c>
      <c r="Q8" s="108">
        <f t="shared" si="5"/>
        <v>0.87714091395854499</v>
      </c>
      <c r="R8" s="308"/>
      <c r="S8" s="46">
        <v>0.31319444444444439</v>
      </c>
      <c r="T8" s="47">
        <v>0.31464120370370363</v>
      </c>
      <c r="U8" s="109">
        <v>5.0166666666665982</v>
      </c>
      <c r="V8" s="110">
        <v>2.0901240657666778</v>
      </c>
      <c r="W8" s="111"/>
      <c r="X8" s="114"/>
      <c r="Y8" s="299"/>
      <c r="Z8" s="300"/>
      <c r="AA8" s="115">
        <f t="shared" si="6"/>
        <v>-442.29270974923838</v>
      </c>
      <c r="AB8" s="108">
        <f t="shared" si="7"/>
        <v>0.87714091395854488</v>
      </c>
      <c r="AC8" s="313"/>
    </row>
    <row r="9" spans="1:29" ht="15.75" customHeight="1">
      <c r="A9" s="316"/>
      <c r="B9" s="98" t="s">
        <v>114</v>
      </c>
      <c r="C9" s="297" t="s">
        <v>224</v>
      </c>
      <c r="D9" s="298"/>
      <c r="E9" s="99">
        <v>30.95</v>
      </c>
      <c r="F9" s="100">
        <v>1764</v>
      </c>
      <c r="G9" s="101">
        <f t="shared" si="0"/>
        <v>54595.799999999996</v>
      </c>
      <c r="H9" s="13"/>
      <c r="I9" s="102">
        <v>11</v>
      </c>
      <c r="J9" s="103">
        <v>3600</v>
      </c>
      <c r="K9" s="104">
        <f t="shared" si="8"/>
        <v>327.27272727272725</v>
      </c>
      <c r="L9" s="105">
        <v>11</v>
      </c>
      <c r="M9" s="103">
        <f t="shared" si="1"/>
        <v>3156.7290080644771</v>
      </c>
      <c r="N9" s="104">
        <f t="shared" si="2"/>
        <v>286.97536436949792</v>
      </c>
      <c r="O9" s="106">
        <f t="shared" si="3"/>
        <v>0</v>
      </c>
      <c r="P9" s="107">
        <f t="shared" si="4"/>
        <v>-40.297362903229327</v>
      </c>
      <c r="Q9" s="108">
        <f t="shared" si="5"/>
        <v>0.87686916890679922</v>
      </c>
      <c r="R9" s="308"/>
      <c r="S9" s="46">
        <v>0.31874999999999992</v>
      </c>
      <c r="T9" s="47">
        <v>0.34202546296296288</v>
      </c>
      <c r="U9" s="109">
        <v>5.916666666666659</v>
      </c>
      <c r="V9" s="110">
        <v>33.52837691471494</v>
      </c>
      <c r="W9" s="111"/>
      <c r="X9" s="114"/>
      <c r="Y9" s="299"/>
      <c r="Z9" s="300"/>
      <c r="AA9" s="115">
        <f t="shared" si="6"/>
        <v>-443.27099193552294</v>
      </c>
      <c r="AB9" s="108">
        <f t="shared" si="7"/>
        <v>0.87686916890679922</v>
      </c>
      <c r="AC9" s="313"/>
    </row>
    <row r="10" spans="1:29" ht="15.75" customHeight="1">
      <c r="A10" s="316"/>
      <c r="B10" s="98" t="s">
        <v>118</v>
      </c>
      <c r="C10" s="297" t="s">
        <v>119</v>
      </c>
      <c r="D10" s="298"/>
      <c r="E10" s="99">
        <v>28.57</v>
      </c>
      <c r="F10" s="100">
        <v>523</v>
      </c>
      <c r="G10" s="119">
        <f t="shared" si="0"/>
        <v>14942.11</v>
      </c>
      <c r="H10" s="120"/>
      <c r="I10" s="102">
        <v>12</v>
      </c>
      <c r="J10" s="103">
        <v>3600</v>
      </c>
      <c r="K10" s="104">
        <f t="shared" si="8"/>
        <v>300</v>
      </c>
      <c r="L10" s="105">
        <v>12</v>
      </c>
      <c r="M10" s="103">
        <f t="shared" si="1"/>
        <v>3122.4553718600228</v>
      </c>
      <c r="N10" s="104">
        <f t="shared" si="2"/>
        <v>260.20461432166854</v>
      </c>
      <c r="O10" s="106">
        <f t="shared" si="3"/>
        <v>0</v>
      </c>
      <c r="P10" s="107">
        <f t="shared" si="4"/>
        <v>-39.795385678331456</v>
      </c>
      <c r="Q10" s="108">
        <f t="shared" si="5"/>
        <v>0.86734871440556183</v>
      </c>
      <c r="R10" s="308"/>
      <c r="S10" s="46">
        <v>0.34583333333333321</v>
      </c>
      <c r="T10" s="118">
        <v>0.35280092592592582</v>
      </c>
      <c r="U10" s="109">
        <v>5.4833333333332845</v>
      </c>
      <c r="V10" s="110">
        <v>10.0497833476823</v>
      </c>
      <c r="W10" s="111"/>
      <c r="X10" s="114"/>
      <c r="Y10" s="299"/>
      <c r="Z10" s="300"/>
      <c r="AA10" s="115">
        <f t="shared" si="6"/>
        <v>-477.54462813997725</v>
      </c>
      <c r="AB10" s="108">
        <f t="shared" si="7"/>
        <v>0.86734871440556183</v>
      </c>
      <c r="AC10" s="313"/>
    </row>
    <row r="11" spans="1:29" ht="15.75" customHeight="1">
      <c r="A11" s="316"/>
      <c r="B11" s="98"/>
      <c r="C11" s="297"/>
      <c r="D11" s="298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8"/>
      <c r="S11" s="46"/>
      <c r="T11" s="118"/>
      <c r="U11" s="109"/>
      <c r="V11" s="110"/>
      <c r="W11" s="111"/>
      <c r="X11" s="114"/>
      <c r="Y11" s="299"/>
      <c r="Z11" s="300"/>
      <c r="AA11" s="115"/>
      <c r="AB11" s="108"/>
      <c r="AC11" s="313"/>
    </row>
    <row r="12" spans="1:29" ht="15.75" customHeight="1">
      <c r="A12" s="316"/>
      <c r="B12" s="98"/>
      <c r="C12" s="297"/>
      <c r="D12" s="298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8"/>
      <c r="S12" s="46"/>
      <c r="T12" s="118"/>
      <c r="U12" s="109"/>
      <c r="V12" s="110"/>
      <c r="W12" s="111"/>
      <c r="X12" s="114"/>
      <c r="Y12" s="299"/>
      <c r="Z12" s="300"/>
      <c r="AA12" s="115"/>
      <c r="AB12" s="108"/>
      <c r="AC12" s="313"/>
    </row>
    <row r="13" spans="1:29" ht="15.75" customHeight="1">
      <c r="A13" s="316"/>
      <c r="B13" s="98"/>
      <c r="C13" s="297"/>
      <c r="D13" s="298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8"/>
      <c r="S13" s="46"/>
      <c r="T13" s="118"/>
      <c r="U13" s="109"/>
      <c r="V13" s="110"/>
      <c r="W13" s="111"/>
      <c r="X13" s="125"/>
      <c r="Y13" s="299"/>
      <c r="Z13" s="300"/>
      <c r="AA13" s="115"/>
      <c r="AB13" s="108"/>
      <c r="AC13" s="313"/>
    </row>
    <row r="14" spans="1:29" ht="15.75" customHeight="1">
      <c r="A14" s="316"/>
      <c r="B14" s="98"/>
      <c r="C14" s="297"/>
      <c r="D14" s="298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8"/>
      <c r="S14" s="46"/>
      <c r="T14" s="118"/>
      <c r="U14" s="109"/>
      <c r="V14" s="110"/>
      <c r="W14" s="111"/>
      <c r="X14" s="125"/>
      <c r="Y14" s="299"/>
      <c r="Z14" s="300"/>
      <c r="AA14" s="115"/>
      <c r="AB14" s="108"/>
      <c r="AC14" s="313"/>
    </row>
    <row r="15" spans="1:29" ht="15.75" customHeight="1">
      <c r="A15" s="316"/>
      <c r="B15" s="98"/>
      <c r="C15" s="297"/>
      <c r="D15" s="298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8"/>
      <c r="S15" s="46"/>
      <c r="T15" s="118"/>
      <c r="U15" s="109"/>
      <c r="V15" s="110"/>
      <c r="W15" s="111"/>
      <c r="X15" s="125"/>
      <c r="Y15" s="299"/>
      <c r="Z15" s="300"/>
      <c r="AA15" s="115"/>
      <c r="AB15" s="108"/>
      <c r="AC15" s="313"/>
    </row>
    <row r="16" spans="1:29" ht="15.75" customHeight="1">
      <c r="A16" s="316"/>
      <c r="B16" s="98"/>
      <c r="C16" s="297"/>
      <c r="D16" s="298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8"/>
      <c r="S16" s="46"/>
      <c r="T16" s="118"/>
      <c r="U16" s="109"/>
      <c r="V16" s="110"/>
      <c r="W16" s="111"/>
      <c r="X16" s="125"/>
      <c r="Y16" s="299"/>
      <c r="Z16" s="300"/>
      <c r="AA16" s="115"/>
      <c r="AB16" s="108"/>
      <c r="AC16" s="313"/>
    </row>
    <row r="17" spans="1:29" ht="15.75" customHeight="1">
      <c r="A17" s="316"/>
      <c r="B17" s="98"/>
      <c r="C17" s="297"/>
      <c r="D17" s="298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8"/>
      <c r="S17" s="46"/>
      <c r="T17" s="118"/>
      <c r="U17" s="109"/>
      <c r="V17" s="110"/>
      <c r="W17" s="111"/>
      <c r="X17" s="125"/>
      <c r="Y17" s="299"/>
      <c r="Z17" s="300"/>
      <c r="AA17" s="115"/>
      <c r="AB17" s="108"/>
      <c r="AC17" s="313"/>
    </row>
    <row r="18" spans="1:29" ht="15.75" customHeight="1">
      <c r="A18" s="316"/>
      <c r="B18" s="98"/>
      <c r="C18" s="297"/>
      <c r="D18" s="298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8"/>
      <c r="S18" s="46"/>
      <c r="T18" s="118"/>
      <c r="U18" s="109"/>
      <c r="V18" s="110"/>
      <c r="W18" s="111"/>
      <c r="X18" s="125"/>
      <c r="Y18" s="299"/>
      <c r="Z18" s="300"/>
      <c r="AA18" s="115"/>
      <c r="AB18" s="108"/>
      <c r="AC18" s="313"/>
    </row>
    <row r="19" spans="1:29" ht="15.75" customHeight="1">
      <c r="A19" s="316"/>
      <c r="B19" s="98"/>
      <c r="C19" s="297"/>
      <c r="D19" s="298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8"/>
      <c r="S19" s="46"/>
      <c r="T19" s="118"/>
      <c r="U19" s="109"/>
      <c r="V19" s="110"/>
      <c r="W19" s="111"/>
      <c r="X19" s="125"/>
      <c r="Y19" s="299"/>
      <c r="Z19" s="300"/>
      <c r="AA19" s="115"/>
      <c r="AB19" s="108"/>
      <c r="AC19" s="313"/>
    </row>
    <row r="20" spans="1:29" ht="15.75" customHeight="1">
      <c r="A20" s="316"/>
      <c r="B20" s="161"/>
      <c r="C20" s="297"/>
      <c r="D20" s="298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8"/>
      <c r="S20" s="117"/>
      <c r="T20" s="118"/>
      <c r="U20" s="128"/>
      <c r="V20" s="129"/>
      <c r="W20" s="124"/>
      <c r="X20" s="125"/>
      <c r="Y20" s="299"/>
      <c r="Z20" s="300"/>
      <c r="AA20" s="163"/>
      <c r="AB20" s="123"/>
      <c r="AC20" s="313"/>
    </row>
    <row r="21" spans="1:29" ht="15.75" customHeight="1" thickBot="1">
      <c r="A21" s="317"/>
      <c r="B21" s="131" t="s">
        <v>115</v>
      </c>
      <c r="C21" s="294"/>
      <c r="D21" s="294"/>
      <c r="E21" s="132"/>
      <c r="F21" s="165"/>
      <c r="G21" s="133"/>
      <c r="H21" s="67"/>
      <c r="I21" s="134">
        <f t="shared" ref="I21:J21" si="9">AVERAGE(I5:I20)</f>
        <v>11</v>
      </c>
      <c r="J21" s="135">
        <f t="shared" si="9"/>
        <v>3600</v>
      </c>
      <c r="K21" s="136">
        <f t="shared" ref="K21" si="10">J21/I21</f>
        <v>327.27272727272725</v>
      </c>
      <c r="L21" s="134">
        <f t="shared" ref="L21:M21" si="11">AVERAGE(L5:L20)</f>
        <v>11</v>
      </c>
      <c r="M21" s="135">
        <f t="shared" si="11"/>
        <v>3161.146785901919</v>
      </c>
      <c r="N21" s="136">
        <f>M21/L21</f>
        <v>287.3769805365381</v>
      </c>
      <c r="O21" s="137">
        <f>L21-I21</f>
        <v>0</v>
      </c>
      <c r="P21" s="138">
        <f>N21-K21</f>
        <v>-39.895746736189153</v>
      </c>
      <c r="Q21" s="139">
        <f>N21/K21</f>
        <v>0.87809632941719984</v>
      </c>
      <c r="R21" s="309"/>
      <c r="S21" s="140">
        <v>0.25</v>
      </c>
      <c r="T21" s="141">
        <v>0.47592592592592575</v>
      </c>
      <c r="U21" s="142"/>
      <c r="V21" s="164"/>
      <c r="W21" s="165"/>
      <c r="X21" s="136"/>
      <c r="Y21" s="295"/>
      <c r="Z21" s="296"/>
      <c r="AA21" s="166">
        <f>M21-J21</f>
        <v>-438.85321409808103</v>
      </c>
      <c r="AB21" s="139">
        <f>M21/J21</f>
        <v>0.87809632941719973</v>
      </c>
      <c r="AC21" s="314"/>
    </row>
    <row r="22" spans="1:29" ht="15.75" customHeight="1">
      <c r="A22" s="301" t="s">
        <v>121</v>
      </c>
      <c r="B22" s="112" t="s">
        <v>118</v>
      </c>
      <c r="C22" s="305" t="s">
        <v>182</v>
      </c>
      <c r="D22" s="306"/>
      <c r="E22" s="145">
        <v>18.53</v>
      </c>
      <c r="F22" s="95">
        <v>1043</v>
      </c>
      <c r="G22" s="146">
        <f t="shared" ref="G22:G23" si="12">E22*F22</f>
        <v>19326.79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3078.9014026404625</v>
      </c>
      <c r="N22" s="150">
        <f>M22/L22</f>
        <v>1026.3004675468208</v>
      </c>
      <c r="O22" s="152">
        <f>L22-I22</f>
        <v>0</v>
      </c>
      <c r="P22" s="153">
        <f>N22-K22</f>
        <v>-73.699532453179245</v>
      </c>
      <c r="Q22" s="154">
        <f>N22/K22</f>
        <v>0.93300042504256431</v>
      </c>
      <c r="R22" s="307">
        <f>Q38</f>
        <v>0.93249602149857158</v>
      </c>
      <c r="S22" s="155">
        <v>0.30833333333333329</v>
      </c>
      <c r="T22" s="156">
        <v>0.32244212962962959</v>
      </c>
      <c r="U22" s="157"/>
      <c r="V22" s="110">
        <v>20.325431644654635</v>
      </c>
      <c r="W22" s="159"/>
      <c r="X22" s="160"/>
      <c r="Y22" s="310"/>
      <c r="Z22" s="311"/>
      <c r="AA22" s="113">
        <f>M22-J22</f>
        <v>-221.09859735953751</v>
      </c>
      <c r="AB22" s="154">
        <f>M22/J22</f>
        <v>0.93300042504256442</v>
      </c>
      <c r="AC22" s="312">
        <f>AB38</f>
        <v>0.93249602149857158</v>
      </c>
    </row>
    <row r="23" spans="1:29" ht="15.75" customHeight="1">
      <c r="A23" s="302"/>
      <c r="B23" s="98" t="s">
        <v>118</v>
      </c>
      <c r="C23" s="297" t="s">
        <v>225</v>
      </c>
      <c r="D23" s="298"/>
      <c r="E23" s="99">
        <v>22.95</v>
      </c>
      <c r="F23" s="100">
        <v>2409</v>
      </c>
      <c r="G23" s="101">
        <f t="shared" si="12"/>
        <v>55286.549999999996</v>
      </c>
      <c r="H23" s="26"/>
      <c r="I23" s="102">
        <v>5</v>
      </c>
      <c r="J23" s="103">
        <v>2700</v>
      </c>
      <c r="K23" s="104">
        <f t="shared" ref="K23" si="13">J23/I23</f>
        <v>540</v>
      </c>
      <c r="L23" s="105">
        <v>5</v>
      </c>
      <c r="M23" s="103">
        <f>F23/V23*60</f>
        <v>2516.074726350967</v>
      </c>
      <c r="N23" s="104">
        <f>M23/L23</f>
        <v>503.21494527019343</v>
      </c>
      <c r="O23" s="106">
        <f>L23-I23</f>
        <v>0</v>
      </c>
      <c r="P23" s="107">
        <f>N23-K23</f>
        <v>-36.785054729806575</v>
      </c>
      <c r="Q23" s="108">
        <f>N23/K23</f>
        <v>0.93187952827813603</v>
      </c>
      <c r="R23" s="308"/>
      <c r="S23" s="46">
        <v>0.32638888888888884</v>
      </c>
      <c r="T23" s="47">
        <v>0.3662731481481481</v>
      </c>
      <c r="U23" s="109">
        <v>5.6833333333333158</v>
      </c>
      <c r="V23" s="110">
        <v>57.446624492597891</v>
      </c>
      <c r="W23" s="111"/>
      <c r="X23" s="114"/>
      <c r="Y23" s="299"/>
      <c r="Z23" s="300"/>
      <c r="AA23" s="115">
        <f>M23-J23</f>
        <v>-183.92527364903299</v>
      </c>
      <c r="AB23" s="108">
        <f>M23/J23</f>
        <v>0.93187952827813592</v>
      </c>
      <c r="AC23" s="313"/>
    </row>
    <row r="24" spans="1:29" ht="15.75" customHeight="1">
      <c r="A24" s="302"/>
      <c r="B24" s="98"/>
      <c r="C24" s="297"/>
      <c r="D24" s="298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08"/>
      <c r="S24" s="46"/>
      <c r="T24" s="47"/>
      <c r="U24" s="109"/>
      <c r="V24" s="110"/>
      <c r="W24" s="111"/>
      <c r="X24" s="114"/>
      <c r="Y24" s="299"/>
      <c r="Z24" s="300"/>
      <c r="AA24" s="115"/>
      <c r="AB24" s="108"/>
      <c r="AC24" s="313"/>
    </row>
    <row r="25" spans="1:29" ht="15.75" customHeight="1">
      <c r="A25" s="302"/>
      <c r="B25" s="98"/>
      <c r="C25" s="297"/>
      <c r="D25" s="298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8"/>
      <c r="S25" s="46"/>
      <c r="T25" s="47"/>
      <c r="U25" s="109"/>
      <c r="V25" s="110"/>
      <c r="W25" s="111"/>
      <c r="X25" s="114"/>
      <c r="Y25" s="299"/>
      <c r="Z25" s="300"/>
      <c r="AA25" s="115"/>
      <c r="AB25" s="108"/>
      <c r="AC25" s="313"/>
    </row>
    <row r="26" spans="1:29" ht="15.75" customHeight="1">
      <c r="A26" s="303"/>
      <c r="B26" s="98"/>
      <c r="C26" s="297"/>
      <c r="D26" s="298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8"/>
      <c r="S26" s="46"/>
      <c r="T26" s="47"/>
      <c r="U26" s="109"/>
      <c r="V26" s="110"/>
      <c r="W26" s="111"/>
      <c r="X26" s="114"/>
      <c r="Y26" s="299"/>
      <c r="Z26" s="300"/>
      <c r="AA26" s="115"/>
      <c r="AB26" s="108"/>
      <c r="AC26" s="313"/>
    </row>
    <row r="27" spans="1:29" ht="15.75" customHeight="1">
      <c r="A27" s="303"/>
      <c r="B27" s="98"/>
      <c r="C27" s="297"/>
      <c r="D27" s="298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8"/>
      <c r="S27" s="46"/>
      <c r="T27" s="118"/>
      <c r="U27" s="109"/>
      <c r="V27" s="110"/>
      <c r="W27" s="111"/>
      <c r="X27" s="114"/>
      <c r="Y27" s="299"/>
      <c r="Z27" s="300"/>
      <c r="AA27" s="115"/>
      <c r="AB27" s="108"/>
      <c r="AC27" s="313"/>
    </row>
    <row r="28" spans="1:29" ht="15.75" customHeight="1">
      <c r="A28" s="303"/>
      <c r="B28" s="98"/>
      <c r="C28" s="297"/>
      <c r="D28" s="298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8"/>
      <c r="S28" s="46"/>
      <c r="T28" s="118"/>
      <c r="U28" s="109"/>
      <c r="V28" s="110"/>
      <c r="W28" s="111"/>
      <c r="X28" s="114"/>
      <c r="Y28" s="299"/>
      <c r="Z28" s="300"/>
      <c r="AA28" s="115"/>
      <c r="AB28" s="108"/>
      <c r="AC28" s="313"/>
    </row>
    <row r="29" spans="1:29" ht="15.75" customHeight="1">
      <c r="A29" s="303"/>
      <c r="B29" s="98"/>
      <c r="C29" s="297"/>
      <c r="D29" s="298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8"/>
      <c r="S29" s="46"/>
      <c r="T29" s="118"/>
      <c r="U29" s="109"/>
      <c r="V29" s="110"/>
      <c r="W29" s="111"/>
      <c r="X29" s="114"/>
      <c r="Y29" s="299"/>
      <c r="Z29" s="300"/>
      <c r="AA29" s="115"/>
      <c r="AB29" s="108"/>
      <c r="AC29" s="313"/>
    </row>
    <row r="30" spans="1:29" ht="15.75" customHeight="1">
      <c r="A30" s="303"/>
      <c r="B30" s="98"/>
      <c r="C30" s="297"/>
      <c r="D30" s="298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8"/>
      <c r="S30" s="46"/>
      <c r="T30" s="118"/>
      <c r="U30" s="109"/>
      <c r="V30" s="110"/>
      <c r="W30" s="111"/>
      <c r="X30" s="114"/>
      <c r="Y30" s="299"/>
      <c r="Z30" s="300"/>
      <c r="AA30" s="115"/>
      <c r="AB30" s="108"/>
      <c r="AC30" s="313"/>
    </row>
    <row r="31" spans="1:29" ht="15.75" customHeight="1">
      <c r="A31" s="303"/>
      <c r="B31" s="98"/>
      <c r="C31" s="297"/>
      <c r="D31" s="298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8"/>
      <c r="S31" s="46"/>
      <c r="T31" s="118"/>
      <c r="U31" s="109"/>
      <c r="V31" s="110"/>
      <c r="W31" s="111"/>
      <c r="X31" s="114"/>
      <c r="Y31" s="299"/>
      <c r="Z31" s="300"/>
      <c r="AA31" s="115"/>
      <c r="AB31" s="108"/>
      <c r="AC31" s="313"/>
    </row>
    <row r="32" spans="1:29" ht="15.75" customHeight="1">
      <c r="A32" s="303"/>
      <c r="B32" s="98"/>
      <c r="C32" s="297"/>
      <c r="D32" s="298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8"/>
      <c r="S32" s="46"/>
      <c r="T32" s="118"/>
      <c r="U32" s="109"/>
      <c r="V32" s="110"/>
      <c r="W32" s="111"/>
      <c r="X32" s="114"/>
      <c r="Y32" s="299"/>
      <c r="Z32" s="300"/>
      <c r="AA32" s="115"/>
      <c r="AB32" s="108"/>
      <c r="AC32" s="313"/>
    </row>
    <row r="33" spans="1:29" ht="15.75" customHeight="1">
      <c r="A33" s="303"/>
      <c r="B33" s="98"/>
      <c r="C33" s="297"/>
      <c r="D33" s="298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8"/>
      <c r="S33" s="46"/>
      <c r="T33" s="118"/>
      <c r="U33" s="109"/>
      <c r="V33" s="110"/>
      <c r="W33" s="111"/>
      <c r="X33" s="114"/>
      <c r="Y33" s="299"/>
      <c r="Z33" s="300"/>
      <c r="AA33" s="115"/>
      <c r="AB33" s="108"/>
      <c r="AC33" s="313"/>
    </row>
    <row r="34" spans="1:29" ht="15.75" customHeight="1">
      <c r="A34" s="303"/>
      <c r="B34" s="98"/>
      <c r="C34" s="297"/>
      <c r="D34" s="298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8"/>
      <c r="S34" s="46"/>
      <c r="T34" s="118"/>
      <c r="U34" s="109"/>
      <c r="V34" s="110"/>
      <c r="W34" s="111"/>
      <c r="X34" s="114"/>
      <c r="Y34" s="299"/>
      <c r="Z34" s="300"/>
      <c r="AA34" s="115"/>
      <c r="AB34" s="108"/>
      <c r="AC34" s="313"/>
    </row>
    <row r="35" spans="1:29" ht="15.75" customHeight="1">
      <c r="A35" s="303"/>
      <c r="B35" s="98"/>
      <c r="C35" s="297"/>
      <c r="D35" s="298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8"/>
      <c r="S35" s="46"/>
      <c r="T35" s="118"/>
      <c r="U35" s="109"/>
      <c r="V35" s="110"/>
      <c r="W35" s="111"/>
      <c r="X35" s="114"/>
      <c r="Y35" s="299"/>
      <c r="Z35" s="300"/>
      <c r="AA35" s="115"/>
      <c r="AB35" s="108"/>
      <c r="AC35" s="313"/>
    </row>
    <row r="36" spans="1:29" ht="15.75" customHeight="1">
      <c r="A36" s="303"/>
      <c r="B36" s="98"/>
      <c r="C36" s="297"/>
      <c r="D36" s="298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8"/>
      <c r="S36" s="46"/>
      <c r="T36" s="118"/>
      <c r="U36" s="109"/>
      <c r="V36" s="110"/>
      <c r="W36" s="111"/>
      <c r="X36" s="114"/>
      <c r="Y36" s="299"/>
      <c r="Z36" s="300"/>
      <c r="AA36" s="115"/>
      <c r="AB36" s="108"/>
      <c r="AC36" s="313"/>
    </row>
    <row r="37" spans="1:29" ht="15.75" customHeight="1">
      <c r="A37" s="303"/>
      <c r="B37" s="98"/>
      <c r="C37" s="297"/>
      <c r="D37" s="298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8"/>
      <c r="S37" s="117"/>
      <c r="T37" s="118"/>
      <c r="U37" s="128"/>
      <c r="V37" s="129"/>
      <c r="W37" s="124"/>
      <c r="X37" s="125"/>
      <c r="Y37" s="299"/>
      <c r="Z37" s="300"/>
      <c r="AA37" s="163"/>
      <c r="AB37" s="123"/>
      <c r="AC37" s="313"/>
    </row>
    <row r="38" spans="1:29" ht="15.75" customHeight="1" thickBot="1">
      <c r="A38" s="304"/>
      <c r="B38" s="131" t="s">
        <v>115</v>
      </c>
      <c r="C38" s="294"/>
      <c r="D38" s="294"/>
      <c r="E38" s="132"/>
      <c r="F38" s="97"/>
      <c r="G38" s="133"/>
      <c r="H38" s="67"/>
      <c r="I38" s="134">
        <f t="shared" ref="I38:J38" si="14">AVERAGE(I22:I37)</f>
        <v>4</v>
      </c>
      <c r="J38" s="135">
        <f t="shared" si="14"/>
        <v>3000</v>
      </c>
      <c r="K38" s="136">
        <f t="shared" ref="K38" si="15">J38/I38</f>
        <v>750</v>
      </c>
      <c r="L38" s="134">
        <f t="shared" ref="L38:M38" si="16">AVERAGE(L22:L37)</f>
        <v>4</v>
      </c>
      <c r="M38" s="135">
        <f t="shared" si="16"/>
        <v>2797.4880644957148</v>
      </c>
      <c r="N38" s="136">
        <f t="shared" ref="N38:N46" si="17">M38/L38</f>
        <v>699.37201612392869</v>
      </c>
      <c r="O38" s="137">
        <f t="shared" ref="O38:O46" si="18">L38-I38</f>
        <v>0</v>
      </c>
      <c r="P38" s="138">
        <f t="shared" ref="P38:P46" si="19">N38-K38</f>
        <v>-50.627983876071312</v>
      </c>
      <c r="Q38" s="139">
        <f t="shared" ref="Q38:Q46" si="20">N38/K38</f>
        <v>0.93249602149857158</v>
      </c>
      <c r="R38" s="309"/>
      <c r="S38" s="140">
        <v>0.30833333333333329</v>
      </c>
      <c r="T38" s="141">
        <v>0.3662731481481481</v>
      </c>
      <c r="U38" s="142"/>
      <c r="V38" s="164"/>
      <c r="W38" s="97"/>
      <c r="X38" s="67"/>
      <c r="Y38" s="295"/>
      <c r="Z38" s="296"/>
      <c r="AA38" s="166">
        <f t="shared" ref="AA38:AA46" si="21">M38-J38</f>
        <v>-202.51193550428525</v>
      </c>
      <c r="AB38" s="139">
        <f t="shared" ref="AB38:AB46" si="22">M38/J38</f>
        <v>0.93249602149857158</v>
      </c>
      <c r="AC38" s="314"/>
    </row>
    <row r="39" spans="1:29" ht="15.75" customHeight="1">
      <c r="A39" s="315" t="s">
        <v>71</v>
      </c>
      <c r="B39" s="112" t="s">
        <v>118</v>
      </c>
      <c r="C39" s="305" t="s">
        <v>129</v>
      </c>
      <c r="D39" s="306"/>
      <c r="E39" s="145">
        <v>24.82</v>
      </c>
      <c r="F39" s="95">
        <v>479</v>
      </c>
      <c r="G39" s="146">
        <f t="shared" ref="G39:G46" si="23">E39*F39</f>
        <v>11888.78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6" si="24">F39/V39*60</f>
        <v>3287.6011082212326</v>
      </c>
      <c r="N39" s="150">
        <f t="shared" si="17"/>
        <v>657.52022164424648</v>
      </c>
      <c r="O39" s="152">
        <f t="shared" si="18"/>
        <v>0</v>
      </c>
      <c r="P39" s="153">
        <f t="shared" si="19"/>
        <v>-62.479778355753524</v>
      </c>
      <c r="Q39" s="154">
        <f t="shared" si="20"/>
        <v>0.91322253006145349</v>
      </c>
      <c r="R39" s="307">
        <f>Q55</f>
        <v>0.92046615534496945</v>
      </c>
      <c r="S39" s="155">
        <v>0.25</v>
      </c>
      <c r="T39" s="156">
        <v>0.2560648148148148</v>
      </c>
      <c r="U39" s="157"/>
      <c r="V39" s="158">
        <v>8.7419364618567954</v>
      </c>
      <c r="W39" s="159"/>
      <c r="X39" s="160"/>
      <c r="Y39" s="310"/>
      <c r="Z39" s="311"/>
      <c r="AA39" s="113">
        <f t="shared" si="21"/>
        <v>-312.39889177876739</v>
      </c>
      <c r="AB39" s="154">
        <f t="shared" si="22"/>
        <v>0.91322253006145349</v>
      </c>
      <c r="AC39" s="312">
        <f>AB55</f>
        <v>0.92046615534496956</v>
      </c>
    </row>
    <row r="40" spans="1:29" ht="15.75" customHeight="1">
      <c r="A40" s="316"/>
      <c r="B40" s="98" t="s">
        <v>118</v>
      </c>
      <c r="C40" s="297" t="s">
        <v>128</v>
      </c>
      <c r="D40" s="298"/>
      <c r="E40" s="99">
        <v>25.03</v>
      </c>
      <c r="F40" s="100">
        <v>330</v>
      </c>
      <c r="G40" s="101">
        <f t="shared" si="23"/>
        <v>8259.9</v>
      </c>
      <c r="H40" s="26"/>
      <c r="I40" s="102">
        <v>5</v>
      </c>
      <c r="J40" s="103">
        <v>3600</v>
      </c>
      <c r="K40" s="104">
        <f t="shared" ref="K40:K63" si="25">J40/I40</f>
        <v>720</v>
      </c>
      <c r="L40" s="105">
        <v>5</v>
      </c>
      <c r="M40" s="103">
        <f t="shared" si="24"/>
        <v>3287.4025846241707</v>
      </c>
      <c r="N40" s="104">
        <f t="shared" si="17"/>
        <v>657.48051692483409</v>
      </c>
      <c r="O40" s="106">
        <f t="shared" si="18"/>
        <v>0</v>
      </c>
      <c r="P40" s="107">
        <f t="shared" si="19"/>
        <v>-62.519483075165908</v>
      </c>
      <c r="Q40" s="108">
        <f t="shared" si="20"/>
        <v>0.9131673846178251</v>
      </c>
      <c r="R40" s="308"/>
      <c r="S40" s="46">
        <v>0.26527777777777778</v>
      </c>
      <c r="T40" s="47">
        <v>0.26945601851851853</v>
      </c>
      <c r="U40" s="109">
        <v>13.266666666666689</v>
      </c>
      <c r="V40" s="110">
        <v>6.0229921618388023</v>
      </c>
      <c r="W40" s="111"/>
      <c r="X40" s="114"/>
      <c r="Y40" s="299"/>
      <c r="Z40" s="300"/>
      <c r="AA40" s="115">
        <f t="shared" si="21"/>
        <v>-312.59741537582931</v>
      </c>
      <c r="AB40" s="108">
        <f t="shared" si="22"/>
        <v>0.91316738461782521</v>
      </c>
      <c r="AC40" s="313"/>
    </row>
    <row r="41" spans="1:29" ht="15.75" customHeight="1">
      <c r="A41" s="316"/>
      <c r="B41" s="98" t="s">
        <v>118</v>
      </c>
      <c r="C41" s="297" t="s">
        <v>219</v>
      </c>
      <c r="D41" s="298"/>
      <c r="E41" s="99">
        <v>23.8</v>
      </c>
      <c r="F41" s="100">
        <v>259</v>
      </c>
      <c r="G41" s="101">
        <f t="shared" si="23"/>
        <v>6164.2</v>
      </c>
      <c r="H41" s="26"/>
      <c r="I41" s="102">
        <v>4</v>
      </c>
      <c r="J41" s="103">
        <v>3600</v>
      </c>
      <c r="K41" s="104">
        <f t="shared" si="25"/>
        <v>900</v>
      </c>
      <c r="L41" s="105">
        <v>4</v>
      </c>
      <c r="M41" s="103">
        <f t="shared" si="24"/>
        <v>3285.4104023248842</v>
      </c>
      <c r="N41" s="104">
        <f t="shared" si="17"/>
        <v>821.35260058122105</v>
      </c>
      <c r="O41" s="106">
        <f t="shared" si="18"/>
        <v>0</v>
      </c>
      <c r="P41" s="107">
        <f t="shared" si="19"/>
        <v>-78.647399418778946</v>
      </c>
      <c r="Q41" s="108">
        <f t="shared" si="20"/>
        <v>0.91261400064580123</v>
      </c>
      <c r="R41" s="308"/>
      <c r="S41" s="46">
        <v>0.27916666666666667</v>
      </c>
      <c r="T41" s="47">
        <v>0.28244212962962961</v>
      </c>
      <c r="U41" s="109">
        <v>13.983333333333334</v>
      </c>
      <c r="V41" s="110">
        <v>4.7300026775964703</v>
      </c>
      <c r="W41" s="111"/>
      <c r="X41" s="114"/>
      <c r="Y41" s="299"/>
      <c r="Z41" s="300"/>
      <c r="AA41" s="115">
        <f t="shared" si="21"/>
        <v>-314.58959767511578</v>
      </c>
      <c r="AB41" s="108">
        <f t="shared" si="22"/>
        <v>0.91261400064580123</v>
      </c>
      <c r="AC41" s="313"/>
    </row>
    <row r="42" spans="1:29" ht="15.75" customHeight="1">
      <c r="A42" s="316"/>
      <c r="B42" s="98" t="s">
        <v>118</v>
      </c>
      <c r="C42" s="297" t="s">
        <v>207</v>
      </c>
      <c r="D42" s="298"/>
      <c r="E42" s="99">
        <v>30</v>
      </c>
      <c r="F42" s="100">
        <v>339</v>
      </c>
      <c r="G42" s="101">
        <f t="shared" si="23"/>
        <v>10170</v>
      </c>
      <c r="H42" s="26"/>
      <c r="I42" s="102">
        <v>4</v>
      </c>
      <c r="J42" s="103">
        <v>3300</v>
      </c>
      <c r="K42" s="104">
        <f t="shared" si="25"/>
        <v>825</v>
      </c>
      <c r="L42" s="105">
        <v>4</v>
      </c>
      <c r="M42" s="103">
        <f t="shared" si="24"/>
        <v>3083.9903377926985</v>
      </c>
      <c r="N42" s="104">
        <f t="shared" si="17"/>
        <v>770.99758444817462</v>
      </c>
      <c r="O42" s="106">
        <f t="shared" si="18"/>
        <v>0</v>
      </c>
      <c r="P42" s="107">
        <f t="shared" si="19"/>
        <v>-54.002415551825379</v>
      </c>
      <c r="Q42" s="108">
        <f t="shared" si="20"/>
        <v>0.93454252660384807</v>
      </c>
      <c r="R42" s="308"/>
      <c r="S42" s="46">
        <v>0.29166666666666669</v>
      </c>
      <c r="T42" s="47">
        <v>0.29623842592592592</v>
      </c>
      <c r="U42" s="109">
        <v>13.283333333333385</v>
      </c>
      <c r="V42" s="110">
        <v>6.5953514026110502</v>
      </c>
      <c r="W42" s="111"/>
      <c r="X42" s="114"/>
      <c r="Y42" s="299"/>
      <c r="Z42" s="300"/>
      <c r="AA42" s="115">
        <f t="shared" si="21"/>
        <v>-216.00966220730152</v>
      </c>
      <c r="AB42" s="108">
        <f t="shared" si="22"/>
        <v>0.93454252660384807</v>
      </c>
      <c r="AC42" s="313"/>
    </row>
    <row r="43" spans="1:29" ht="15.75" customHeight="1">
      <c r="A43" s="316"/>
      <c r="B43" s="98" t="s">
        <v>118</v>
      </c>
      <c r="C43" s="297" t="s">
        <v>124</v>
      </c>
      <c r="D43" s="298"/>
      <c r="E43" s="99">
        <v>18.18</v>
      </c>
      <c r="F43" s="100">
        <v>589</v>
      </c>
      <c r="G43" s="101">
        <f t="shared" si="23"/>
        <v>10708.02</v>
      </c>
      <c r="H43" s="13"/>
      <c r="I43" s="102">
        <v>3</v>
      </c>
      <c r="J43" s="103">
        <v>3600</v>
      </c>
      <c r="K43" s="104">
        <f t="shared" si="25"/>
        <v>1200</v>
      </c>
      <c r="L43" s="105">
        <v>3</v>
      </c>
      <c r="M43" s="103">
        <f t="shared" si="24"/>
        <v>3285.2876589500815</v>
      </c>
      <c r="N43" s="104">
        <f t="shared" si="17"/>
        <v>1095.0958863166938</v>
      </c>
      <c r="O43" s="106">
        <f t="shared" si="18"/>
        <v>0</v>
      </c>
      <c r="P43" s="107">
        <f t="shared" si="19"/>
        <v>-104.90411368330615</v>
      </c>
      <c r="Q43" s="108">
        <f t="shared" si="20"/>
        <v>0.91257990526391153</v>
      </c>
      <c r="R43" s="308"/>
      <c r="S43" s="46">
        <v>0.30486111111111114</v>
      </c>
      <c r="T43" s="47">
        <v>0.31232638888888892</v>
      </c>
      <c r="U43" s="109">
        <v>12.416666666666716</v>
      </c>
      <c r="V43" s="110">
        <v>10.757048900641481</v>
      </c>
      <c r="W43" s="111"/>
      <c r="X43" s="114"/>
      <c r="Y43" s="299"/>
      <c r="Z43" s="300"/>
      <c r="AA43" s="115">
        <f t="shared" si="21"/>
        <v>-314.71234104991845</v>
      </c>
      <c r="AB43" s="108">
        <f t="shared" si="22"/>
        <v>0.91257990526391153</v>
      </c>
      <c r="AC43" s="313"/>
    </row>
    <row r="44" spans="1:29" ht="15.75" customHeight="1">
      <c r="A44" s="316"/>
      <c r="B44" s="98" t="s">
        <v>118</v>
      </c>
      <c r="C44" s="297" t="s">
        <v>199</v>
      </c>
      <c r="D44" s="298"/>
      <c r="E44" s="99">
        <v>17.07</v>
      </c>
      <c r="F44" s="100">
        <v>842</v>
      </c>
      <c r="G44" s="119">
        <f t="shared" si="23"/>
        <v>14372.94</v>
      </c>
      <c r="H44" s="120"/>
      <c r="I44" s="102">
        <v>3</v>
      </c>
      <c r="J44" s="103">
        <v>3300</v>
      </c>
      <c r="K44" s="104">
        <f t="shared" si="25"/>
        <v>1100</v>
      </c>
      <c r="L44" s="105">
        <v>3</v>
      </c>
      <c r="M44" s="103">
        <f t="shared" si="24"/>
        <v>3084.0661442461683</v>
      </c>
      <c r="N44" s="104">
        <f t="shared" si="17"/>
        <v>1028.022048082056</v>
      </c>
      <c r="O44" s="106">
        <f t="shared" si="18"/>
        <v>0</v>
      </c>
      <c r="P44" s="107">
        <f t="shared" si="19"/>
        <v>-71.977951917943983</v>
      </c>
      <c r="Q44" s="108">
        <f t="shared" si="20"/>
        <v>0.93456549825641455</v>
      </c>
      <c r="R44" s="308"/>
      <c r="S44" s="46">
        <v>0.3215277777777778</v>
      </c>
      <c r="T44" s="118">
        <v>0.33289351851851856</v>
      </c>
      <c r="U44" s="109">
        <v>13.249999999999993</v>
      </c>
      <c r="V44" s="110">
        <v>16.380971625480001</v>
      </c>
      <c r="W44" s="111"/>
      <c r="X44" s="114"/>
      <c r="Y44" s="299"/>
      <c r="Z44" s="300"/>
      <c r="AA44" s="115">
        <f t="shared" si="21"/>
        <v>-215.93385575383172</v>
      </c>
      <c r="AB44" s="108">
        <f t="shared" si="22"/>
        <v>0.93456549825641466</v>
      </c>
      <c r="AC44" s="313"/>
    </row>
    <row r="45" spans="1:29" ht="15.75" customHeight="1">
      <c r="A45" s="316"/>
      <c r="B45" s="98" t="s">
        <v>118</v>
      </c>
      <c r="C45" s="297" t="s">
        <v>125</v>
      </c>
      <c r="D45" s="298"/>
      <c r="E45" s="99">
        <v>14.03</v>
      </c>
      <c r="F45" s="100">
        <v>2333</v>
      </c>
      <c r="G45" s="119">
        <f t="shared" si="23"/>
        <v>32731.989999999998</v>
      </c>
      <c r="H45" s="60"/>
      <c r="I45" s="102">
        <v>3</v>
      </c>
      <c r="J45" s="103">
        <v>3000</v>
      </c>
      <c r="K45" s="104">
        <f t="shared" si="25"/>
        <v>1000</v>
      </c>
      <c r="L45" s="105">
        <v>3</v>
      </c>
      <c r="M45" s="103">
        <f t="shared" si="24"/>
        <v>2803.1555878084177</v>
      </c>
      <c r="N45" s="104">
        <f t="shared" si="17"/>
        <v>934.38519593613921</v>
      </c>
      <c r="O45" s="121">
        <f t="shared" si="18"/>
        <v>0</v>
      </c>
      <c r="P45" s="122">
        <f t="shared" si="19"/>
        <v>-65.614804063860788</v>
      </c>
      <c r="Q45" s="123">
        <f t="shared" si="20"/>
        <v>0.93438519593613922</v>
      </c>
      <c r="R45" s="308"/>
      <c r="S45" s="46">
        <v>0.34166666666666673</v>
      </c>
      <c r="T45" s="118">
        <v>0.37634259259259267</v>
      </c>
      <c r="U45" s="109">
        <v>12.633333333333363</v>
      </c>
      <c r="V45" s="110">
        <v>49.936578835939727</v>
      </c>
      <c r="W45" s="111"/>
      <c r="X45" s="114"/>
      <c r="Y45" s="299"/>
      <c r="Z45" s="300"/>
      <c r="AA45" s="115">
        <f t="shared" si="21"/>
        <v>-196.84441219158225</v>
      </c>
      <c r="AB45" s="108">
        <f t="shared" si="22"/>
        <v>0.93438519593613922</v>
      </c>
      <c r="AC45" s="313"/>
    </row>
    <row r="46" spans="1:29" ht="15.75" customHeight="1">
      <c r="A46" s="316"/>
      <c r="B46" s="98" t="s">
        <v>118</v>
      </c>
      <c r="C46" s="297" t="s">
        <v>127</v>
      </c>
      <c r="D46" s="298"/>
      <c r="E46" s="99">
        <v>14.28</v>
      </c>
      <c r="F46" s="100">
        <v>3176</v>
      </c>
      <c r="G46" s="119">
        <f t="shared" si="23"/>
        <v>45353.279999999999</v>
      </c>
      <c r="H46" s="60"/>
      <c r="I46" s="102">
        <v>3</v>
      </c>
      <c r="J46" s="103">
        <v>3600</v>
      </c>
      <c r="K46" s="104">
        <f t="shared" si="25"/>
        <v>1200</v>
      </c>
      <c r="L46" s="116">
        <v>3</v>
      </c>
      <c r="M46" s="103">
        <f t="shared" si="24"/>
        <v>3287.9520635535046</v>
      </c>
      <c r="N46" s="104">
        <f t="shared" si="17"/>
        <v>1095.9840211845014</v>
      </c>
      <c r="O46" s="121">
        <f t="shared" si="18"/>
        <v>0</v>
      </c>
      <c r="P46" s="122">
        <f t="shared" si="19"/>
        <v>-104.01597881549856</v>
      </c>
      <c r="Q46" s="123">
        <f t="shared" si="20"/>
        <v>0.91332001765375115</v>
      </c>
      <c r="R46" s="308"/>
      <c r="S46" s="46">
        <v>0.38541666666666674</v>
      </c>
      <c r="T46" s="118">
        <v>0.42565972222222231</v>
      </c>
      <c r="U46" s="109">
        <v>13.066666666666658</v>
      </c>
      <c r="V46" s="110">
        <v>57.957049347626239</v>
      </c>
      <c r="W46" s="111"/>
      <c r="X46" s="114"/>
      <c r="Y46" s="299"/>
      <c r="Z46" s="300"/>
      <c r="AA46" s="115">
        <f t="shared" si="21"/>
        <v>-312.04793644649544</v>
      </c>
      <c r="AB46" s="108">
        <f t="shared" si="22"/>
        <v>0.91332001765375126</v>
      </c>
      <c r="AC46" s="313"/>
    </row>
    <row r="47" spans="1:29" ht="15.75" customHeight="1">
      <c r="A47" s="316"/>
      <c r="B47" s="98"/>
      <c r="C47" s="297"/>
      <c r="D47" s="298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8"/>
      <c r="S47" s="46"/>
      <c r="T47" s="118"/>
      <c r="U47" s="109"/>
      <c r="V47" s="110"/>
      <c r="W47" s="111"/>
      <c r="X47" s="114"/>
      <c r="Y47" s="299"/>
      <c r="Z47" s="300"/>
      <c r="AA47" s="115"/>
      <c r="AB47" s="108"/>
      <c r="AC47" s="313"/>
    </row>
    <row r="48" spans="1:29" ht="15.75" customHeight="1">
      <c r="A48" s="316"/>
      <c r="B48" s="98"/>
      <c r="C48" s="297"/>
      <c r="D48" s="298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8"/>
      <c r="S48" s="46"/>
      <c r="T48" s="118"/>
      <c r="U48" s="109"/>
      <c r="V48" s="110"/>
      <c r="W48" s="111"/>
      <c r="X48" s="114"/>
      <c r="Y48" s="299"/>
      <c r="Z48" s="300"/>
      <c r="AA48" s="115"/>
      <c r="AB48" s="108"/>
      <c r="AC48" s="313"/>
    </row>
    <row r="49" spans="1:29" ht="15.75" customHeight="1">
      <c r="A49" s="316"/>
      <c r="B49" s="98"/>
      <c r="C49" s="297"/>
      <c r="D49" s="298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8"/>
      <c r="S49" s="46"/>
      <c r="T49" s="118"/>
      <c r="U49" s="109"/>
      <c r="V49" s="110"/>
      <c r="W49" s="124"/>
      <c r="X49" s="125"/>
      <c r="Y49" s="299"/>
      <c r="Z49" s="300"/>
      <c r="AA49" s="115"/>
      <c r="AB49" s="108"/>
      <c r="AC49" s="313"/>
    </row>
    <row r="50" spans="1:29" ht="15.75" customHeight="1">
      <c r="A50" s="316"/>
      <c r="B50" s="98"/>
      <c r="C50" s="297"/>
      <c r="D50" s="298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8"/>
      <c r="S50" s="46"/>
      <c r="T50" s="118"/>
      <c r="U50" s="109"/>
      <c r="V50" s="110"/>
      <c r="W50" s="124"/>
      <c r="X50" s="125"/>
      <c r="Y50" s="299"/>
      <c r="Z50" s="300"/>
      <c r="AA50" s="115"/>
      <c r="AB50" s="108"/>
      <c r="AC50" s="313"/>
    </row>
    <row r="51" spans="1:29" ht="15.75" customHeight="1">
      <c r="A51" s="316"/>
      <c r="B51" s="98"/>
      <c r="C51" s="297"/>
      <c r="D51" s="298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8"/>
      <c r="S51" s="46"/>
      <c r="T51" s="118"/>
      <c r="U51" s="109"/>
      <c r="V51" s="110"/>
      <c r="W51" s="124"/>
      <c r="X51" s="125"/>
      <c r="Y51" s="299"/>
      <c r="Z51" s="300"/>
      <c r="AA51" s="115"/>
      <c r="AB51" s="108"/>
      <c r="AC51" s="313"/>
    </row>
    <row r="52" spans="1:29" ht="15.75" customHeight="1">
      <c r="A52" s="316"/>
      <c r="B52" s="98"/>
      <c r="C52" s="297"/>
      <c r="D52" s="298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8"/>
      <c r="S52" s="46"/>
      <c r="T52" s="118"/>
      <c r="U52" s="109"/>
      <c r="V52" s="110"/>
      <c r="W52" s="124"/>
      <c r="X52" s="125"/>
      <c r="Y52" s="299"/>
      <c r="Z52" s="300"/>
      <c r="AA52" s="115"/>
      <c r="AB52" s="108"/>
      <c r="AC52" s="313"/>
    </row>
    <row r="53" spans="1:29" ht="15.75" customHeight="1">
      <c r="A53" s="316"/>
      <c r="B53" s="98"/>
      <c r="C53" s="297"/>
      <c r="D53" s="298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8"/>
      <c r="S53" s="46"/>
      <c r="T53" s="118"/>
      <c r="U53" s="109"/>
      <c r="V53" s="110"/>
      <c r="W53" s="124"/>
      <c r="X53" s="125"/>
      <c r="Y53" s="299"/>
      <c r="Z53" s="300"/>
      <c r="AA53" s="115"/>
      <c r="AB53" s="108"/>
      <c r="AC53" s="313"/>
    </row>
    <row r="54" spans="1:29" ht="15.75" customHeight="1">
      <c r="A54" s="316"/>
      <c r="B54" s="98"/>
      <c r="C54" s="297"/>
      <c r="D54" s="298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8"/>
      <c r="S54" s="117"/>
      <c r="T54" s="118"/>
      <c r="U54" s="128"/>
      <c r="V54" s="129"/>
      <c r="W54" s="124"/>
      <c r="X54" s="125"/>
      <c r="Y54" s="299"/>
      <c r="Z54" s="300"/>
      <c r="AA54" s="163"/>
      <c r="AB54" s="123"/>
      <c r="AC54" s="313"/>
    </row>
    <row r="55" spans="1:29" ht="15.75" customHeight="1" thickBot="1">
      <c r="A55" s="317"/>
      <c r="B55" s="131" t="s">
        <v>115</v>
      </c>
      <c r="C55" s="294"/>
      <c r="D55" s="294"/>
      <c r="E55" s="132"/>
      <c r="F55" s="97"/>
      <c r="G55" s="133"/>
      <c r="H55" s="67"/>
      <c r="I55" s="134">
        <f t="shared" ref="I55:J55" si="26">AVERAGE(I39:I54)</f>
        <v>3.75</v>
      </c>
      <c r="J55" s="135">
        <f t="shared" si="26"/>
        <v>3450</v>
      </c>
      <c r="K55" s="136">
        <f t="shared" ref="K55" si="27">J55/I55</f>
        <v>920</v>
      </c>
      <c r="L55" s="134">
        <f t="shared" ref="L55:M55" si="28">AVERAGE(L39:L54)</f>
        <v>3.75</v>
      </c>
      <c r="M55" s="135">
        <f t="shared" si="28"/>
        <v>3175.6082359401448</v>
      </c>
      <c r="N55" s="136">
        <f t="shared" ref="N55:N63" si="29">M55/L55</f>
        <v>846.82886291737191</v>
      </c>
      <c r="O55" s="137">
        <f t="shared" ref="O55:O63" si="30">L55-I55</f>
        <v>0</v>
      </c>
      <c r="P55" s="138">
        <f t="shared" ref="P55:P63" si="31">N55-K55</f>
        <v>-73.171137082628093</v>
      </c>
      <c r="Q55" s="139">
        <f t="shared" ref="Q55:Q63" si="32">N55/K55</f>
        <v>0.92046615534496945</v>
      </c>
      <c r="R55" s="309"/>
      <c r="S55" s="140">
        <v>0.25</v>
      </c>
      <c r="T55" s="141">
        <v>0.42565972222222231</v>
      </c>
      <c r="U55" s="142"/>
      <c r="V55" s="164"/>
      <c r="W55" s="97"/>
      <c r="X55" s="67"/>
      <c r="Y55" s="295"/>
      <c r="Z55" s="296"/>
      <c r="AA55" s="166">
        <f t="shared" ref="AA55:AA63" si="33">M55-J55</f>
        <v>-274.39176405985518</v>
      </c>
      <c r="AB55" s="139">
        <f t="shared" ref="AB55:AB63" si="34">M55/J55</f>
        <v>0.92046615534496956</v>
      </c>
      <c r="AC55" s="314"/>
    </row>
    <row r="56" spans="1:29" ht="15.75" customHeight="1">
      <c r="A56" s="301" t="s">
        <v>78</v>
      </c>
      <c r="B56" s="112" t="s">
        <v>118</v>
      </c>
      <c r="C56" s="305" t="s">
        <v>126</v>
      </c>
      <c r="D56" s="306"/>
      <c r="E56" s="145">
        <v>18.18</v>
      </c>
      <c r="F56" s="95">
        <v>978</v>
      </c>
      <c r="G56" s="146">
        <f t="shared" ref="G56:G63" si="35">E56*F56</f>
        <v>17780.04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36">F56/V56*60</f>
        <v>3285.4599201024071</v>
      </c>
      <c r="N56" s="150">
        <f t="shared" si="29"/>
        <v>1095.1533067008024</v>
      </c>
      <c r="O56" s="152">
        <f t="shared" si="30"/>
        <v>0</v>
      </c>
      <c r="P56" s="153">
        <f t="shared" si="31"/>
        <v>-104.84669329919757</v>
      </c>
      <c r="Q56" s="154">
        <f t="shared" si="32"/>
        <v>0.912627755584002</v>
      </c>
      <c r="R56" s="307">
        <f>Q72</f>
        <v>0.91306944899854448</v>
      </c>
      <c r="S56" s="155">
        <v>0.25</v>
      </c>
      <c r="T56" s="156">
        <v>0.26239583333333333</v>
      </c>
      <c r="U56" s="157"/>
      <c r="V56" s="158">
        <v>17.860513117497096</v>
      </c>
      <c r="W56" s="156"/>
      <c r="X56" s="167"/>
      <c r="Y56" s="310"/>
      <c r="Z56" s="311"/>
      <c r="AA56" s="113">
        <f t="shared" si="33"/>
        <v>-314.54007989759293</v>
      </c>
      <c r="AB56" s="154">
        <f t="shared" si="34"/>
        <v>0.912627755584002</v>
      </c>
      <c r="AC56" s="312">
        <f>AB72</f>
        <v>0.91306944899854448</v>
      </c>
    </row>
    <row r="57" spans="1:29" ht="15.75" customHeight="1">
      <c r="A57" s="302"/>
      <c r="B57" s="98" t="s">
        <v>118</v>
      </c>
      <c r="C57" s="297" t="s">
        <v>203</v>
      </c>
      <c r="D57" s="298"/>
      <c r="E57" s="99">
        <v>20.72</v>
      </c>
      <c r="F57" s="100">
        <v>422</v>
      </c>
      <c r="G57" s="101">
        <f t="shared" si="35"/>
        <v>8743.84</v>
      </c>
      <c r="H57" s="26"/>
      <c r="I57" s="102">
        <v>3</v>
      </c>
      <c r="J57" s="103">
        <v>3600</v>
      </c>
      <c r="K57" s="104">
        <f t="shared" si="25"/>
        <v>1200</v>
      </c>
      <c r="L57" s="105">
        <v>3</v>
      </c>
      <c r="M57" s="103">
        <f t="shared" si="36"/>
        <v>3288.7073810841239</v>
      </c>
      <c r="N57" s="104">
        <f t="shared" si="29"/>
        <v>1096.235793694708</v>
      </c>
      <c r="O57" s="106">
        <f t="shared" si="30"/>
        <v>0</v>
      </c>
      <c r="P57" s="107">
        <f t="shared" si="31"/>
        <v>-103.76420630529196</v>
      </c>
      <c r="Q57" s="108">
        <f t="shared" si="32"/>
        <v>0.91352982807892336</v>
      </c>
      <c r="R57" s="308"/>
      <c r="S57" s="46">
        <v>0.27152777777777781</v>
      </c>
      <c r="T57" s="47">
        <v>0.27686342592592594</v>
      </c>
      <c r="U57" s="109">
        <v>13.150000000000057</v>
      </c>
      <c r="V57" s="110">
        <v>7.6990735465352502</v>
      </c>
      <c r="W57" s="111"/>
      <c r="X57" s="13"/>
      <c r="Y57" s="299"/>
      <c r="Z57" s="300"/>
      <c r="AA57" s="115">
        <f t="shared" si="33"/>
        <v>-311.29261891587612</v>
      </c>
      <c r="AB57" s="108">
        <f t="shared" si="34"/>
        <v>0.91352982807892325</v>
      </c>
      <c r="AC57" s="313"/>
    </row>
    <row r="58" spans="1:29" ht="15.75" customHeight="1">
      <c r="A58" s="302"/>
      <c r="B58" s="98" t="s">
        <v>118</v>
      </c>
      <c r="C58" s="297" t="s">
        <v>130</v>
      </c>
      <c r="D58" s="298"/>
      <c r="E58" s="99">
        <v>30</v>
      </c>
      <c r="F58" s="100">
        <v>617</v>
      </c>
      <c r="G58" s="101">
        <f t="shared" si="35"/>
        <v>18510</v>
      </c>
      <c r="H58" s="26"/>
      <c r="I58" s="102">
        <v>4</v>
      </c>
      <c r="J58" s="103">
        <v>3600</v>
      </c>
      <c r="K58" s="104">
        <f t="shared" si="25"/>
        <v>900</v>
      </c>
      <c r="L58" s="105">
        <v>4</v>
      </c>
      <c r="M58" s="103">
        <f t="shared" si="36"/>
        <v>3290.3418628225627</v>
      </c>
      <c r="N58" s="104">
        <f t="shared" si="29"/>
        <v>822.58546570564067</v>
      </c>
      <c r="O58" s="106">
        <f t="shared" si="30"/>
        <v>0</v>
      </c>
      <c r="P58" s="107">
        <f t="shared" si="31"/>
        <v>-77.414534294359328</v>
      </c>
      <c r="Q58" s="108">
        <f t="shared" si="32"/>
        <v>0.9139838507840452</v>
      </c>
      <c r="R58" s="308"/>
      <c r="S58" s="46">
        <v>0.28541666666666671</v>
      </c>
      <c r="T58" s="47">
        <v>0.29322916666666671</v>
      </c>
      <c r="U58" s="109">
        <v>12.3166666666667</v>
      </c>
      <c r="V58" s="110">
        <v>11.251110536047168</v>
      </c>
      <c r="W58" s="111"/>
      <c r="X58" s="13"/>
      <c r="Y58" s="299"/>
      <c r="Z58" s="300"/>
      <c r="AA58" s="115">
        <f t="shared" si="33"/>
        <v>-309.65813717743731</v>
      </c>
      <c r="AB58" s="108">
        <f t="shared" si="34"/>
        <v>0.9139838507840452</v>
      </c>
      <c r="AC58" s="313"/>
    </row>
    <row r="59" spans="1:29" ht="15.75" customHeight="1">
      <c r="A59" s="302"/>
      <c r="B59" s="98" t="s">
        <v>118</v>
      </c>
      <c r="C59" s="297" t="s">
        <v>218</v>
      </c>
      <c r="D59" s="298"/>
      <c r="E59" s="99">
        <v>24.76</v>
      </c>
      <c r="F59" s="100">
        <v>531</v>
      </c>
      <c r="G59" s="101">
        <f t="shared" si="35"/>
        <v>13147.560000000001</v>
      </c>
      <c r="H59" s="26"/>
      <c r="I59" s="102">
        <v>4</v>
      </c>
      <c r="J59" s="103">
        <v>3600</v>
      </c>
      <c r="K59" s="104">
        <f t="shared" si="25"/>
        <v>900</v>
      </c>
      <c r="L59" s="105">
        <v>4</v>
      </c>
      <c r="M59" s="103">
        <f t="shared" si="36"/>
        <v>3285.1033810557842</v>
      </c>
      <c r="N59" s="104">
        <f t="shared" si="29"/>
        <v>821.27584526394605</v>
      </c>
      <c r="O59" s="106">
        <f t="shared" si="30"/>
        <v>0</v>
      </c>
      <c r="P59" s="107">
        <f t="shared" si="31"/>
        <v>-78.724154736053947</v>
      </c>
      <c r="Q59" s="108">
        <f t="shared" si="32"/>
        <v>0.91252871695994009</v>
      </c>
      <c r="R59" s="308"/>
      <c r="S59" s="46">
        <v>0.30277777777777781</v>
      </c>
      <c r="T59" s="47">
        <v>0.30950231481481483</v>
      </c>
      <c r="U59" s="109">
        <v>13.749999999999991</v>
      </c>
      <c r="V59" s="110">
        <v>9.6983249244840088</v>
      </c>
      <c r="W59" s="111"/>
      <c r="X59" s="114"/>
      <c r="Y59" s="299"/>
      <c r="Z59" s="300"/>
      <c r="AA59" s="115">
        <f t="shared" si="33"/>
        <v>-314.89661894421579</v>
      </c>
      <c r="AB59" s="108">
        <f t="shared" si="34"/>
        <v>0.91252871695994009</v>
      </c>
      <c r="AC59" s="313"/>
    </row>
    <row r="60" spans="1:29" ht="15.75" customHeight="1">
      <c r="A60" s="303"/>
      <c r="B60" s="98" t="s">
        <v>118</v>
      </c>
      <c r="C60" s="297" t="s">
        <v>122</v>
      </c>
      <c r="D60" s="298"/>
      <c r="E60" s="99">
        <v>17.89</v>
      </c>
      <c r="F60" s="100">
        <v>1413</v>
      </c>
      <c r="G60" s="101">
        <f t="shared" si="35"/>
        <v>25278.57</v>
      </c>
      <c r="H60" s="13"/>
      <c r="I60" s="102">
        <v>4</v>
      </c>
      <c r="J60" s="103">
        <v>3600</v>
      </c>
      <c r="K60" s="104">
        <f t="shared" si="25"/>
        <v>900</v>
      </c>
      <c r="L60" s="105">
        <v>4</v>
      </c>
      <c r="M60" s="103">
        <f t="shared" si="36"/>
        <v>3287.3765710001981</v>
      </c>
      <c r="N60" s="104">
        <f t="shared" si="29"/>
        <v>821.84414275004951</v>
      </c>
      <c r="O60" s="106">
        <f t="shared" si="30"/>
        <v>0</v>
      </c>
      <c r="P60" s="107">
        <f t="shared" si="31"/>
        <v>-78.155857249950486</v>
      </c>
      <c r="Q60" s="108">
        <f t="shared" si="32"/>
        <v>0.91316015861116617</v>
      </c>
      <c r="R60" s="308"/>
      <c r="S60" s="46">
        <v>0.31805555555555559</v>
      </c>
      <c r="T60" s="47">
        <v>0.33596064814814819</v>
      </c>
      <c r="U60" s="109">
        <v>12.3166666666667</v>
      </c>
      <c r="V60" s="110">
        <v>25.78956142350474</v>
      </c>
      <c r="W60" s="111"/>
      <c r="X60" s="114"/>
      <c r="Y60" s="299"/>
      <c r="Z60" s="300"/>
      <c r="AA60" s="115">
        <f t="shared" si="33"/>
        <v>-312.62342899980194</v>
      </c>
      <c r="AB60" s="108">
        <f t="shared" si="34"/>
        <v>0.91316015861116617</v>
      </c>
      <c r="AC60" s="313"/>
    </row>
    <row r="61" spans="1:29" ht="15.75" customHeight="1">
      <c r="A61" s="303"/>
      <c r="B61" s="98" t="s">
        <v>118</v>
      </c>
      <c r="C61" s="297" t="s">
        <v>213</v>
      </c>
      <c r="D61" s="298"/>
      <c r="E61" s="99">
        <v>22.32</v>
      </c>
      <c r="F61" s="100">
        <v>1037</v>
      </c>
      <c r="G61" s="119">
        <f t="shared" si="35"/>
        <v>23145.84</v>
      </c>
      <c r="H61" s="120"/>
      <c r="I61" s="102">
        <v>5</v>
      </c>
      <c r="J61" s="103">
        <v>3600</v>
      </c>
      <c r="K61" s="104">
        <f t="shared" si="25"/>
        <v>720</v>
      </c>
      <c r="L61" s="105">
        <v>5</v>
      </c>
      <c r="M61" s="103">
        <f t="shared" si="36"/>
        <v>3285.0571979185447</v>
      </c>
      <c r="N61" s="104">
        <f t="shared" si="29"/>
        <v>657.01143958370892</v>
      </c>
      <c r="O61" s="106">
        <f t="shared" si="30"/>
        <v>0</v>
      </c>
      <c r="P61" s="107">
        <f t="shared" si="31"/>
        <v>-62.988560416291079</v>
      </c>
      <c r="Q61" s="108">
        <f t="shared" si="32"/>
        <v>0.91251588831070685</v>
      </c>
      <c r="R61" s="308"/>
      <c r="S61" s="46">
        <v>0.3444444444444445</v>
      </c>
      <c r="T61" s="118">
        <v>0.35759259259259263</v>
      </c>
      <c r="U61" s="109">
        <v>12.216666666666685</v>
      </c>
      <c r="V61" s="110">
        <v>18.940309483628901</v>
      </c>
      <c r="W61" s="111"/>
      <c r="X61" s="49"/>
      <c r="Y61" s="299"/>
      <c r="Z61" s="300"/>
      <c r="AA61" s="115">
        <f t="shared" si="33"/>
        <v>-314.94280208145528</v>
      </c>
      <c r="AB61" s="108">
        <f t="shared" si="34"/>
        <v>0.91251588831070685</v>
      </c>
      <c r="AC61" s="313"/>
    </row>
    <row r="62" spans="1:29" ht="15.75" customHeight="1">
      <c r="A62" s="303"/>
      <c r="B62" s="98" t="s">
        <v>118</v>
      </c>
      <c r="C62" s="297" t="s">
        <v>209</v>
      </c>
      <c r="D62" s="298"/>
      <c r="E62" s="99">
        <v>27.48</v>
      </c>
      <c r="F62" s="100">
        <v>736</v>
      </c>
      <c r="G62" s="119">
        <f t="shared" si="35"/>
        <v>20225.28</v>
      </c>
      <c r="H62" s="60"/>
      <c r="I62" s="102">
        <v>5</v>
      </c>
      <c r="J62" s="103">
        <v>3600</v>
      </c>
      <c r="K62" s="104">
        <f t="shared" si="25"/>
        <v>720</v>
      </c>
      <c r="L62" s="105">
        <v>5</v>
      </c>
      <c r="M62" s="103">
        <f t="shared" si="36"/>
        <v>3286.8700713408862</v>
      </c>
      <c r="N62" s="104">
        <f t="shared" si="29"/>
        <v>657.37401426817723</v>
      </c>
      <c r="O62" s="121">
        <f t="shared" si="30"/>
        <v>0</v>
      </c>
      <c r="P62" s="122">
        <f t="shared" si="31"/>
        <v>-62.625985731822766</v>
      </c>
      <c r="Q62" s="123">
        <f t="shared" si="32"/>
        <v>0.91301946426135727</v>
      </c>
      <c r="R62" s="308"/>
      <c r="S62" s="46">
        <v>0.36666666666666675</v>
      </c>
      <c r="T62" s="118">
        <v>0.37599537037037045</v>
      </c>
      <c r="U62" s="109">
        <v>13.066666666666737</v>
      </c>
      <c r="V62" s="110">
        <v>13.435273996694621</v>
      </c>
      <c r="W62" s="111"/>
      <c r="X62" s="114"/>
      <c r="Y62" s="299"/>
      <c r="Z62" s="300"/>
      <c r="AA62" s="115">
        <f t="shared" si="33"/>
        <v>-313.12992865911383</v>
      </c>
      <c r="AB62" s="108">
        <f t="shared" si="34"/>
        <v>0.91301946426135727</v>
      </c>
      <c r="AC62" s="313"/>
    </row>
    <row r="63" spans="1:29" ht="15.75" customHeight="1">
      <c r="A63" s="303"/>
      <c r="B63" s="98" t="s">
        <v>118</v>
      </c>
      <c r="C63" s="297" t="s">
        <v>123</v>
      </c>
      <c r="D63" s="298"/>
      <c r="E63" s="99">
        <v>16.66</v>
      </c>
      <c r="F63" s="100">
        <v>2556</v>
      </c>
      <c r="G63" s="119">
        <f t="shared" si="35"/>
        <v>42582.96</v>
      </c>
      <c r="H63" s="60"/>
      <c r="I63" s="102">
        <v>5</v>
      </c>
      <c r="J63" s="103">
        <v>3600</v>
      </c>
      <c r="K63" s="104">
        <f t="shared" si="25"/>
        <v>720</v>
      </c>
      <c r="L63" s="116">
        <v>5</v>
      </c>
      <c r="M63" s="103">
        <f t="shared" si="36"/>
        <v>3287.4837458335696</v>
      </c>
      <c r="N63" s="104">
        <f t="shared" si="29"/>
        <v>657.49674916671393</v>
      </c>
      <c r="O63" s="121">
        <f t="shared" si="30"/>
        <v>0</v>
      </c>
      <c r="P63" s="122">
        <f t="shared" si="31"/>
        <v>-62.503250833286074</v>
      </c>
      <c r="Q63" s="123">
        <f t="shared" si="32"/>
        <v>0.91318992939821375</v>
      </c>
      <c r="R63" s="308"/>
      <c r="S63" s="46">
        <v>0.38472222222222235</v>
      </c>
      <c r="T63" s="118">
        <v>0.41710648148148161</v>
      </c>
      <c r="U63" s="109">
        <v>12.566666666666739</v>
      </c>
      <c r="V63" s="110">
        <v>46.649660304590874</v>
      </c>
      <c r="W63" s="111"/>
      <c r="X63" s="114"/>
      <c r="Y63" s="299"/>
      <c r="Z63" s="300"/>
      <c r="AA63" s="115">
        <f t="shared" si="33"/>
        <v>-312.51625416643037</v>
      </c>
      <c r="AB63" s="108">
        <f t="shared" si="34"/>
        <v>0.91318992939821375</v>
      </c>
      <c r="AC63" s="313"/>
    </row>
    <row r="64" spans="1:29" ht="15.75" customHeight="1">
      <c r="A64" s="303"/>
      <c r="B64" s="98"/>
      <c r="C64" s="297"/>
      <c r="D64" s="298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8"/>
      <c r="S64" s="46"/>
      <c r="T64" s="118"/>
      <c r="U64" s="109"/>
      <c r="V64" s="110"/>
      <c r="W64" s="124"/>
      <c r="X64" s="125"/>
      <c r="Y64" s="299"/>
      <c r="Z64" s="300"/>
      <c r="AA64" s="115"/>
      <c r="AB64" s="108"/>
      <c r="AC64" s="313"/>
    </row>
    <row r="65" spans="1:29" ht="15.75" customHeight="1">
      <c r="A65" s="303"/>
      <c r="B65" s="98"/>
      <c r="C65" s="297"/>
      <c r="D65" s="298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8"/>
      <c r="S65" s="46"/>
      <c r="T65" s="118"/>
      <c r="U65" s="109"/>
      <c r="V65" s="110"/>
      <c r="W65" s="124"/>
      <c r="X65" s="125"/>
      <c r="Y65" s="299"/>
      <c r="Z65" s="300"/>
      <c r="AA65" s="115"/>
      <c r="AB65" s="108"/>
      <c r="AC65" s="313"/>
    </row>
    <row r="66" spans="1:29" ht="15.75" customHeight="1">
      <c r="A66" s="303"/>
      <c r="B66" s="98"/>
      <c r="C66" s="297"/>
      <c r="D66" s="298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8"/>
      <c r="S66" s="46"/>
      <c r="T66" s="118"/>
      <c r="U66" s="109"/>
      <c r="V66" s="110"/>
      <c r="W66" s="124"/>
      <c r="X66" s="125"/>
      <c r="Y66" s="299"/>
      <c r="Z66" s="300"/>
      <c r="AA66" s="115"/>
      <c r="AB66" s="108"/>
      <c r="AC66" s="313"/>
    </row>
    <row r="67" spans="1:29" ht="15.75" customHeight="1">
      <c r="A67" s="303"/>
      <c r="B67" s="98"/>
      <c r="C67" s="297"/>
      <c r="D67" s="298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8"/>
      <c r="S67" s="46"/>
      <c r="T67" s="118"/>
      <c r="U67" s="109"/>
      <c r="V67" s="110"/>
      <c r="W67" s="124"/>
      <c r="X67" s="125"/>
      <c r="Y67" s="299"/>
      <c r="Z67" s="300"/>
      <c r="AA67" s="115"/>
      <c r="AB67" s="108"/>
      <c r="AC67" s="313"/>
    </row>
    <row r="68" spans="1:29" ht="15.75" customHeight="1">
      <c r="A68" s="303"/>
      <c r="B68" s="98"/>
      <c r="C68" s="297"/>
      <c r="D68" s="298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8"/>
      <c r="S68" s="46"/>
      <c r="T68" s="118"/>
      <c r="U68" s="109"/>
      <c r="V68" s="110"/>
      <c r="W68" s="124"/>
      <c r="X68" s="125"/>
      <c r="Y68" s="299"/>
      <c r="Z68" s="300"/>
      <c r="AA68" s="115"/>
      <c r="AB68" s="108"/>
      <c r="AC68" s="313"/>
    </row>
    <row r="69" spans="1:29" ht="15.75" customHeight="1">
      <c r="A69" s="303"/>
      <c r="B69" s="98"/>
      <c r="C69" s="297"/>
      <c r="D69" s="298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8"/>
      <c r="S69" s="46"/>
      <c r="T69" s="118"/>
      <c r="U69" s="109"/>
      <c r="V69" s="110"/>
      <c r="W69" s="124"/>
      <c r="X69" s="125"/>
      <c r="Y69" s="299"/>
      <c r="Z69" s="300"/>
      <c r="AA69" s="115"/>
      <c r="AB69" s="108"/>
      <c r="AC69" s="313"/>
    </row>
    <row r="70" spans="1:29" ht="15.75" customHeight="1">
      <c r="A70" s="303"/>
      <c r="B70" s="98"/>
      <c r="C70" s="297"/>
      <c r="D70" s="298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8"/>
      <c r="S70" s="46"/>
      <c r="T70" s="118"/>
      <c r="U70" s="109"/>
      <c r="V70" s="110"/>
      <c r="W70" s="124"/>
      <c r="X70" s="125"/>
      <c r="Y70" s="299"/>
      <c r="Z70" s="300"/>
      <c r="AA70" s="115"/>
      <c r="AB70" s="108"/>
      <c r="AC70" s="313"/>
    </row>
    <row r="71" spans="1:29" ht="15.75" customHeight="1">
      <c r="A71" s="303"/>
      <c r="B71" s="98"/>
      <c r="C71" s="297"/>
      <c r="D71" s="298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8"/>
      <c r="S71" s="117"/>
      <c r="T71" s="118"/>
      <c r="U71" s="128"/>
      <c r="V71" s="129"/>
      <c r="W71" s="124"/>
      <c r="X71" s="125"/>
      <c r="Y71" s="299"/>
      <c r="Z71" s="300"/>
      <c r="AA71" s="163"/>
      <c r="AB71" s="123"/>
      <c r="AC71" s="313"/>
    </row>
    <row r="72" spans="1:29" ht="15.75" customHeight="1" thickBot="1">
      <c r="A72" s="304"/>
      <c r="B72" s="131" t="s">
        <v>115</v>
      </c>
      <c r="C72" s="294"/>
      <c r="D72" s="294"/>
      <c r="E72" s="132"/>
      <c r="F72" s="165"/>
      <c r="G72" s="133"/>
      <c r="H72" s="67"/>
      <c r="I72" s="134">
        <f t="shared" ref="I72:J72" si="37">AVERAGE(I56:I71)</f>
        <v>4.125</v>
      </c>
      <c r="J72" s="135">
        <f t="shared" si="37"/>
        <v>3600</v>
      </c>
      <c r="K72" s="136">
        <f t="shared" ref="K72" si="38">J72/I72</f>
        <v>872.72727272727275</v>
      </c>
      <c r="L72" s="134">
        <f t="shared" ref="L72:M72" si="39">AVERAGE(L56:L71)</f>
        <v>4.125</v>
      </c>
      <c r="M72" s="135">
        <f t="shared" si="39"/>
        <v>3287.05001639476</v>
      </c>
      <c r="N72" s="136">
        <f>M72/L72</f>
        <v>796.86061003509337</v>
      </c>
      <c r="O72" s="137">
        <f>L72-I72</f>
        <v>0</v>
      </c>
      <c r="P72" s="138">
        <f>N72-K72</f>
        <v>-75.866662692179375</v>
      </c>
      <c r="Q72" s="139">
        <f>N72/K72</f>
        <v>0.91306944899854448</v>
      </c>
      <c r="R72" s="309"/>
      <c r="S72" s="140">
        <v>0.25</v>
      </c>
      <c r="T72" s="141">
        <v>0.41710648148148161</v>
      </c>
      <c r="U72" s="142"/>
      <c r="V72" s="164"/>
      <c r="W72" s="165"/>
      <c r="X72" s="136"/>
      <c r="Y72" s="295"/>
      <c r="Z72" s="296"/>
      <c r="AA72" s="166">
        <f>M72-J72</f>
        <v>-312.94998360524005</v>
      </c>
      <c r="AB72" s="139">
        <f>M72/J72</f>
        <v>0.91306944899854448</v>
      </c>
      <c r="AC72" s="314"/>
    </row>
    <row r="73" spans="1:29" ht="15.75" customHeight="1">
      <c r="A73" s="315" t="s">
        <v>131</v>
      </c>
      <c r="B73" s="112" t="s">
        <v>118</v>
      </c>
      <c r="C73" s="305" t="s">
        <v>132</v>
      </c>
      <c r="D73" s="306"/>
      <c r="E73" s="145">
        <v>28.57</v>
      </c>
      <c r="F73" s="95">
        <v>856</v>
      </c>
      <c r="G73" s="146">
        <f t="shared" ref="G73" si="40">E73*F73</f>
        <v>24455.920000000002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3120.1412590235554</v>
      </c>
      <c r="N73" s="150">
        <f>M73/L73</f>
        <v>260.01177158529629</v>
      </c>
      <c r="O73" s="152">
        <f>L73-I73</f>
        <v>0</v>
      </c>
      <c r="P73" s="153">
        <f>N73-K73</f>
        <v>-39.988228414703713</v>
      </c>
      <c r="Q73" s="154">
        <f>N73/K73</f>
        <v>0.86670590528432101</v>
      </c>
      <c r="R73" s="307">
        <f>Q89</f>
        <v>0.86670590528432101</v>
      </c>
      <c r="S73" s="155">
        <v>0.73541666666666661</v>
      </c>
      <c r="T73" s="156">
        <v>0.74684027777777773</v>
      </c>
      <c r="U73" s="157"/>
      <c r="V73" s="158">
        <v>16.460793193726445</v>
      </c>
      <c r="W73" s="156"/>
      <c r="X73" s="167"/>
      <c r="Y73" s="310"/>
      <c r="Z73" s="311"/>
      <c r="AA73" s="113">
        <f>M73-J73</f>
        <v>-479.85874097644455</v>
      </c>
      <c r="AB73" s="154">
        <f>M73/J73</f>
        <v>0.86670590528432101</v>
      </c>
      <c r="AC73" s="312">
        <f>AB89</f>
        <v>0.86670590528432101</v>
      </c>
    </row>
    <row r="74" spans="1:29" ht="15.75" customHeight="1">
      <c r="A74" s="316"/>
      <c r="B74" s="98"/>
      <c r="C74" s="297"/>
      <c r="D74" s="298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8"/>
      <c r="S74" s="46"/>
      <c r="T74" s="47"/>
      <c r="U74" s="109"/>
      <c r="V74" s="110"/>
      <c r="W74" s="111"/>
      <c r="X74" s="13"/>
      <c r="Y74" s="299"/>
      <c r="Z74" s="300"/>
      <c r="AA74" s="115"/>
      <c r="AB74" s="108"/>
      <c r="AC74" s="313"/>
    </row>
    <row r="75" spans="1:29" ht="15.75" customHeight="1">
      <c r="A75" s="316"/>
      <c r="B75" s="98"/>
      <c r="C75" s="297"/>
      <c r="D75" s="298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8"/>
      <c r="S75" s="46"/>
      <c r="T75" s="47"/>
      <c r="U75" s="109"/>
      <c r="V75" s="110"/>
      <c r="W75" s="111"/>
      <c r="X75" s="13"/>
      <c r="Y75" s="299"/>
      <c r="Z75" s="300"/>
      <c r="AA75" s="115"/>
      <c r="AB75" s="108"/>
      <c r="AC75" s="313"/>
    </row>
    <row r="76" spans="1:29" ht="15.75" customHeight="1">
      <c r="A76" s="316"/>
      <c r="B76" s="98"/>
      <c r="C76" s="297"/>
      <c r="D76" s="298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8"/>
      <c r="S76" s="46"/>
      <c r="T76" s="47"/>
      <c r="U76" s="109"/>
      <c r="V76" s="110"/>
      <c r="W76" s="111"/>
      <c r="X76" s="114"/>
      <c r="Y76" s="299"/>
      <c r="Z76" s="300"/>
      <c r="AA76" s="115"/>
      <c r="AB76" s="108"/>
      <c r="AC76" s="313"/>
    </row>
    <row r="77" spans="1:29" ht="15.75" customHeight="1">
      <c r="A77" s="316"/>
      <c r="B77" s="98"/>
      <c r="C77" s="297"/>
      <c r="D77" s="298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8"/>
      <c r="S77" s="46"/>
      <c r="T77" s="47"/>
      <c r="U77" s="109"/>
      <c r="V77" s="110"/>
      <c r="W77" s="111"/>
      <c r="X77" s="114"/>
      <c r="Y77" s="299"/>
      <c r="Z77" s="300"/>
      <c r="AA77" s="115"/>
      <c r="AB77" s="108"/>
      <c r="AC77" s="313"/>
    </row>
    <row r="78" spans="1:29" ht="15.75" customHeight="1">
      <c r="A78" s="316"/>
      <c r="B78" s="98"/>
      <c r="C78" s="297"/>
      <c r="D78" s="298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8"/>
      <c r="S78" s="46"/>
      <c r="T78" s="118"/>
      <c r="U78" s="109"/>
      <c r="V78" s="110"/>
      <c r="W78" s="111"/>
      <c r="X78" s="49"/>
      <c r="Y78" s="299"/>
      <c r="Z78" s="300"/>
      <c r="AA78" s="115"/>
      <c r="AB78" s="108"/>
      <c r="AC78" s="313"/>
    </row>
    <row r="79" spans="1:29" ht="15.75" customHeight="1">
      <c r="A79" s="316"/>
      <c r="B79" s="98"/>
      <c r="C79" s="297"/>
      <c r="D79" s="298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8"/>
      <c r="S79" s="46"/>
      <c r="T79" s="118"/>
      <c r="U79" s="109"/>
      <c r="V79" s="110"/>
      <c r="W79" s="111"/>
      <c r="X79" s="114"/>
      <c r="Y79" s="299"/>
      <c r="Z79" s="300"/>
      <c r="AA79" s="115"/>
      <c r="AB79" s="108"/>
      <c r="AC79" s="313"/>
    </row>
    <row r="80" spans="1:29" ht="15.75" customHeight="1">
      <c r="A80" s="316"/>
      <c r="B80" s="98"/>
      <c r="C80" s="297"/>
      <c r="D80" s="298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8"/>
      <c r="S80" s="46"/>
      <c r="T80" s="118"/>
      <c r="U80" s="109"/>
      <c r="V80" s="110"/>
      <c r="W80" s="111"/>
      <c r="X80" s="114"/>
      <c r="Y80" s="299"/>
      <c r="Z80" s="300"/>
      <c r="AA80" s="115"/>
      <c r="AB80" s="108"/>
      <c r="AC80" s="313"/>
    </row>
    <row r="81" spans="1:29" ht="15.75" customHeight="1">
      <c r="A81" s="316"/>
      <c r="B81" s="98"/>
      <c r="C81" s="297"/>
      <c r="D81" s="298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8"/>
      <c r="S81" s="46"/>
      <c r="T81" s="118"/>
      <c r="U81" s="109"/>
      <c r="V81" s="110"/>
      <c r="W81" s="124"/>
      <c r="X81" s="125"/>
      <c r="Y81" s="299"/>
      <c r="Z81" s="300"/>
      <c r="AA81" s="115"/>
      <c r="AB81" s="108"/>
      <c r="AC81" s="313"/>
    </row>
    <row r="82" spans="1:29" ht="15.75" customHeight="1">
      <c r="A82" s="316"/>
      <c r="B82" s="98"/>
      <c r="C82" s="297"/>
      <c r="D82" s="298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8"/>
      <c r="S82" s="46"/>
      <c r="T82" s="118"/>
      <c r="U82" s="109"/>
      <c r="V82" s="110"/>
      <c r="W82" s="124"/>
      <c r="X82" s="125"/>
      <c r="Y82" s="299"/>
      <c r="Z82" s="300"/>
      <c r="AA82" s="115"/>
      <c r="AB82" s="108"/>
      <c r="AC82" s="313"/>
    </row>
    <row r="83" spans="1:29" ht="15.75" customHeight="1">
      <c r="A83" s="316"/>
      <c r="B83" s="98"/>
      <c r="C83" s="297"/>
      <c r="D83" s="298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8"/>
      <c r="S83" s="46"/>
      <c r="T83" s="118"/>
      <c r="U83" s="109"/>
      <c r="V83" s="110"/>
      <c r="W83" s="124"/>
      <c r="X83" s="125"/>
      <c r="Y83" s="299"/>
      <c r="Z83" s="300"/>
      <c r="AA83" s="115"/>
      <c r="AB83" s="108"/>
      <c r="AC83" s="313"/>
    </row>
    <row r="84" spans="1:29" ht="15.75" customHeight="1">
      <c r="A84" s="316"/>
      <c r="B84" s="98"/>
      <c r="C84" s="297"/>
      <c r="D84" s="298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8"/>
      <c r="S84" s="46"/>
      <c r="T84" s="118"/>
      <c r="U84" s="109"/>
      <c r="V84" s="110"/>
      <c r="W84" s="124"/>
      <c r="X84" s="125"/>
      <c r="Y84" s="299"/>
      <c r="Z84" s="300"/>
      <c r="AA84" s="115"/>
      <c r="AB84" s="108"/>
      <c r="AC84" s="313"/>
    </row>
    <row r="85" spans="1:29" ht="15.75" customHeight="1">
      <c r="A85" s="316"/>
      <c r="B85" s="98"/>
      <c r="C85" s="297"/>
      <c r="D85" s="298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8"/>
      <c r="S85" s="46"/>
      <c r="T85" s="118"/>
      <c r="U85" s="109"/>
      <c r="V85" s="110"/>
      <c r="W85" s="124"/>
      <c r="X85" s="125"/>
      <c r="Y85" s="299"/>
      <c r="Z85" s="300"/>
      <c r="AA85" s="115"/>
      <c r="AB85" s="108"/>
      <c r="AC85" s="313"/>
    </row>
    <row r="86" spans="1:29" ht="15.75" customHeight="1">
      <c r="A86" s="316"/>
      <c r="B86" s="98"/>
      <c r="C86" s="297"/>
      <c r="D86" s="298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8"/>
      <c r="S86" s="46"/>
      <c r="T86" s="118"/>
      <c r="U86" s="109"/>
      <c r="V86" s="110"/>
      <c r="W86" s="124"/>
      <c r="X86" s="125"/>
      <c r="Y86" s="299"/>
      <c r="Z86" s="300"/>
      <c r="AA86" s="115"/>
      <c r="AB86" s="108"/>
      <c r="AC86" s="313"/>
    </row>
    <row r="87" spans="1:29" ht="15.75" customHeight="1">
      <c r="A87" s="316"/>
      <c r="B87" s="98"/>
      <c r="C87" s="297"/>
      <c r="D87" s="298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8"/>
      <c r="S87" s="46"/>
      <c r="T87" s="118"/>
      <c r="U87" s="109"/>
      <c r="V87" s="110"/>
      <c r="W87" s="124"/>
      <c r="X87" s="125"/>
      <c r="Y87" s="299"/>
      <c r="Z87" s="300"/>
      <c r="AA87" s="115"/>
      <c r="AB87" s="108"/>
      <c r="AC87" s="313"/>
    </row>
    <row r="88" spans="1:29" ht="15.75" customHeight="1">
      <c r="A88" s="316"/>
      <c r="B88" s="98"/>
      <c r="C88" s="297"/>
      <c r="D88" s="298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8"/>
      <c r="S88" s="117"/>
      <c r="T88" s="118"/>
      <c r="U88" s="128"/>
      <c r="V88" s="129"/>
      <c r="W88" s="124"/>
      <c r="X88" s="125"/>
      <c r="Y88" s="299"/>
      <c r="Z88" s="300"/>
      <c r="AA88" s="163"/>
      <c r="AB88" s="123"/>
      <c r="AC88" s="313"/>
    </row>
    <row r="89" spans="1:29" ht="15.75" customHeight="1" thickBot="1">
      <c r="A89" s="317"/>
      <c r="B89" s="131" t="s">
        <v>115</v>
      </c>
      <c r="C89" s="294"/>
      <c r="D89" s="294"/>
      <c r="E89" s="132"/>
      <c r="F89" s="165"/>
      <c r="G89" s="133"/>
      <c r="H89" s="67"/>
      <c r="I89" s="134">
        <f t="shared" ref="I89:J89" si="41">AVERAGE(I73:I88)</f>
        <v>12</v>
      </c>
      <c r="J89" s="135">
        <f t="shared" si="41"/>
        <v>3600</v>
      </c>
      <c r="K89" s="136">
        <f t="shared" ref="K89" si="42">J89/I89</f>
        <v>300</v>
      </c>
      <c r="L89" s="134">
        <f t="shared" ref="L89:M89" si="43">AVERAGE(L73:L88)</f>
        <v>12</v>
      </c>
      <c r="M89" s="135">
        <f t="shared" si="43"/>
        <v>3120.1412590235554</v>
      </c>
      <c r="N89" s="136">
        <f>M89/L89</f>
        <v>260.01177158529629</v>
      </c>
      <c r="O89" s="137">
        <f>L89-I89</f>
        <v>0</v>
      </c>
      <c r="P89" s="138">
        <f>N89-K89</f>
        <v>-39.988228414703713</v>
      </c>
      <c r="Q89" s="139">
        <f>N89/K89</f>
        <v>0.86670590528432101</v>
      </c>
      <c r="R89" s="309"/>
      <c r="S89" s="140">
        <v>0.73541666666666661</v>
      </c>
      <c r="T89" s="141">
        <v>0.74684027777777773</v>
      </c>
      <c r="U89" s="142"/>
      <c r="V89" s="164"/>
      <c r="W89" s="165"/>
      <c r="X89" s="136"/>
      <c r="Y89" s="295"/>
      <c r="Z89" s="296"/>
      <c r="AA89" s="166">
        <f>M89-J89</f>
        <v>-479.85874097644455</v>
      </c>
      <c r="AB89" s="139">
        <f>M89/J89</f>
        <v>0.86670590528432101</v>
      </c>
      <c r="AC89" s="314"/>
    </row>
    <row r="90" spans="1:29" ht="15.75" customHeight="1">
      <c r="A90" s="301" t="s">
        <v>135</v>
      </c>
      <c r="B90" s="112" t="s">
        <v>118</v>
      </c>
      <c r="C90" s="305" t="s">
        <v>134</v>
      </c>
      <c r="D90" s="306"/>
      <c r="E90" s="145">
        <v>24.54</v>
      </c>
      <c r="F90" s="95">
        <v>676</v>
      </c>
      <c r="G90" s="146">
        <f t="shared" ref="G90" si="44">E90*F90</f>
        <v>16589.04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2799.3750586001997</v>
      </c>
      <c r="N90" s="150">
        <f>M90/L90</f>
        <v>699.84376465004993</v>
      </c>
      <c r="O90" s="152">
        <f>L90-I90</f>
        <v>0</v>
      </c>
      <c r="P90" s="153">
        <f>N90-K90</f>
        <v>-50.156235349950066</v>
      </c>
      <c r="Q90" s="154">
        <f>N90/K90</f>
        <v>0.93312501953339988</v>
      </c>
      <c r="R90" s="307">
        <f>Q106</f>
        <v>0.93312501953339988</v>
      </c>
      <c r="S90" s="155">
        <v>0.70833333333333337</v>
      </c>
      <c r="T90" s="156">
        <v>0.71839120370370368</v>
      </c>
      <c r="U90" s="157"/>
      <c r="V90" s="158">
        <v>14.488948122686223</v>
      </c>
      <c r="W90" s="159"/>
      <c r="X90" s="160"/>
      <c r="Y90" s="310"/>
      <c r="Z90" s="311"/>
      <c r="AA90" s="113">
        <f>M90-J90</f>
        <v>-200.62494139980026</v>
      </c>
      <c r="AB90" s="154">
        <f>M90/J90</f>
        <v>0.93312501953339988</v>
      </c>
      <c r="AC90" s="312">
        <f>AB106</f>
        <v>0.93312501953339988</v>
      </c>
    </row>
    <row r="91" spans="1:29" ht="15.75" customHeight="1">
      <c r="A91" s="302"/>
      <c r="B91" s="98"/>
      <c r="C91" s="297"/>
      <c r="D91" s="298"/>
      <c r="E91" s="99"/>
      <c r="F91" s="100"/>
      <c r="G91" s="101"/>
      <c r="H91" s="26"/>
      <c r="I91" s="102"/>
      <c r="J91" s="103"/>
      <c r="K91" s="104"/>
      <c r="L91" s="105"/>
      <c r="M91" s="103"/>
      <c r="N91" s="104"/>
      <c r="O91" s="106"/>
      <c r="P91" s="107"/>
      <c r="Q91" s="108"/>
      <c r="R91" s="308"/>
      <c r="S91" s="46"/>
      <c r="T91" s="47"/>
      <c r="U91" s="109"/>
      <c r="V91" s="110"/>
      <c r="W91" s="111"/>
      <c r="X91" s="114"/>
      <c r="Y91" s="299"/>
      <c r="Z91" s="300"/>
      <c r="AA91" s="115"/>
      <c r="AB91" s="108"/>
      <c r="AC91" s="313"/>
    </row>
    <row r="92" spans="1:29" ht="15.75" customHeight="1">
      <c r="A92" s="302"/>
      <c r="B92" s="98"/>
      <c r="C92" s="297"/>
      <c r="D92" s="298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8"/>
      <c r="S92" s="46"/>
      <c r="T92" s="47"/>
      <c r="U92" s="109"/>
      <c r="V92" s="110"/>
      <c r="W92" s="111"/>
      <c r="X92" s="114"/>
      <c r="Y92" s="299"/>
      <c r="Z92" s="300"/>
      <c r="AA92" s="115"/>
      <c r="AB92" s="108"/>
      <c r="AC92" s="313"/>
    </row>
    <row r="93" spans="1:29" ht="15.75" customHeight="1">
      <c r="A93" s="302"/>
      <c r="B93" s="98"/>
      <c r="C93" s="297"/>
      <c r="D93" s="298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8"/>
      <c r="S93" s="46"/>
      <c r="T93" s="47"/>
      <c r="U93" s="109"/>
      <c r="V93" s="110"/>
      <c r="W93" s="111"/>
      <c r="X93" s="114"/>
      <c r="Y93" s="299"/>
      <c r="Z93" s="300"/>
      <c r="AA93" s="115"/>
      <c r="AB93" s="108"/>
      <c r="AC93" s="313"/>
    </row>
    <row r="94" spans="1:29" ht="15.75" customHeight="1">
      <c r="A94" s="303"/>
      <c r="B94" s="98"/>
      <c r="C94" s="297"/>
      <c r="D94" s="298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8"/>
      <c r="S94" s="46"/>
      <c r="T94" s="47"/>
      <c r="U94" s="109"/>
      <c r="V94" s="110"/>
      <c r="W94" s="111"/>
      <c r="X94" s="114"/>
      <c r="Y94" s="299"/>
      <c r="Z94" s="300"/>
      <c r="AA94" s="115"/>
      <c r="AB94" s="108"/>
      <c r="AC94" s="313"/>
    </row>
    <row r="95" spans="1:29" ht="15.75" customHeight="1">
      <c r="A95" s="303"/>
      <c r="B95" s="98"/>
      <c r="C95" s="297"/>
      <c r="D95" s="298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8"/>
      <c r="S95" s="46"/>
      <c r="T95" s="118"/>
      <c r="U95" s="109"/>
      <c r="V95" s="110"/>
      <c r="W95" s="111"/>
      <c r="X95" s="114"/>
      <c r="Y95" s="299"/>
      <c r="Z95" s="300"/>
      <c r="AA95" s="115"/>
      <c r="AB95" s="108"/>
      <c r="AC95" s="313"/>
    </row>
    <row r="96" spans="1:29" ht="15.75" customHeight="1">
      <c r="A96" s="303"/>
      <c r="B96" s="98"/>
      <c r="C96" s="297"/>
      <c r="D96" s="298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8"/>
      <c r="S96" s="46"/>
      <c r="T96" s="118"/>
      <c r="U96" s="109"/>
      <c r="V96" s="110"/>
      <c r="W96" s="111"/>
      <c r="X96" s="114"/>
      <c r="Y96" s="299"/>
      <c r="Z96" s="300"/>
      <c r="AA96" s="115"/>
      <c r="AB96" s="108"/>
      <c r="AC96" s="313"/>
    </row>
    <row r="97" spans="1:29" ht="15.75" customHeight="1">
      <c r="A97" s="303"/>
      <c r="B97" s="98"/>
      <c r="C97" s="297"/>
      <c r="D97" s="298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8"/>
      <c r="S97" s="46"/>
      <c r="T97" s="118"/>
      <c r="U97" s="109"/>
      <c r="V97" s="110"/>
      <c r="W97" s="111"/>
      <c r="X97" s="114"/>
      <c r="Y97" s="299"/>
      <c r="Z97" s="300"/>
      <c r="AA97" s="115"/>
      <c r="AB97" s="108"/>
      <c r="AC97" s="313"/>
    </row>
    <row r="98" spans="1:29" ht="15.75" customHeight="1">
      <c r="A98" s="303"/>
      <c r="B98" s="98"/>
      <c r="C98" s="297"/>
      <c r="D98" s="298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8"/>
      <c r="S98" s="46"/>
      <c r="T98" s="118"/>
      <c r="U98" s="109"/>
      <c r="V98" s="110"/>
      <c r="W98" s="111"/>
      <c r="X98" s="114"/>
      <c r="Y98" s="299"/>
      <c r="Z98" s="300"/>
      <c r="AA98" s="115"/>
      <c r="AB98" s="108"/>
      <c r="AC98" s="313"/>
    </row>
    <row r="99" spans="1:29" ht="15.75" customHeight="1">
      <c r="A99" s="303"/>
      <c r="B99" s="98"/>
      <c r="C99" s="297"/>
      <c r="D99" s="298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8"/>
      <c r="S99" s="46"/>
      <c r="T99" s="118"/>
      <c r="U99" s="109"/>
      <c r="V99" s="110"/>
      <c r="W99" s="111"/>
      <c r="X99" s="114"/>
      <c r="Y99" s="299"/>
      <c r="Z99" s="300"/>
      <c r="AA99" s="115"/>
      <c r="AB99" s="108"/>
      <c r="AC99" s="313"/>
    </row>
    <row r="100" spans="1:29" ht="15.75" customHeight="1">
      <c r="A100" s="303"/>
      <c r="B100" s="98"/>
      <c r="C100" s="297"/>
      <c r="D100" s="298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8"/>
      <c r="S100" s="46"/>
      <c r="T100" s="118"/>
      <c r="U100" s="109"/>
      <c r="V100" s="110"/>
      <c r="W100" s="124"/>
      <c r="X100" s="125"/>
      <c r="Y100" s="299"/>
      <c r="Z100" s="300"/>
      <c r="AA100" s="115"/>
      <c r="AB100" s="108"/>
      <c r="AC100" s="313"/>
    </row>
    <row r="101" spans="1:29" ht="15.75" customHeight="1">
      <c r="A101" s="303"/>
      <c r="B101" s="98"/>
      <c r="C101" s="297"/>
      <c r="D101" s="298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8"/>
      <c r="S101" s="46"/>
      <c r="T101" s="118"/>
      <c r="U101" s="109"/>
      <c r="V101" s="110"/>
      <c r="W101" s="124"/>
      <c r="X101" s="125"/>
      <c r="Y101" s="299"/>
      <c r="Z101" s="300"/>
      <c r="AA101" s="115"/>
      <c r="AB101" s="108"/>
      <c r="AC101" s="313"/>
    </row>
    <row r="102" spans="1:29" ht="15.75" customHeight="1">
      <c r="A102" s="303"/>
      <c r="B102" s="98"/>
      <c r="C102" s="297"/>
      <c r="D102" s="298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8"/>
      <c r="S102" s="46"/>
      <c r="T102" s="118"/>
      <c r="U102" s="109"/>
      <c r="V102" s="110"/>
      <c r="W102" s="124"/>
      <c r="X102" s="125"/>
      <c r="Y102" s="299"/>
      <c r="Z102" s="300"/>
      <c r="AA102" s="115"/>
      <c r="AB102" s="108"/>
      <c r="AC102" s="313"/>
    </row>
    <row r="103" spans="1:29" ht="15.75" customHeight="1">
      <c r="A103" s="303"/>
      <c r="B103" s="98"/>
      <c r="C103" s="297"/>
      <c r="D103" s="298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8"/>
      <c r="S103" s="46"/>
      <c r="T103" s="118"/>
      <c r="U103" s="109"/>
      <c r="V103" s="110"/>
      <c r="W103" s="124"/>
      <c r="X103" s="125"/>
      <c r="Y103" s="299"/>
      <c r="Z103" s="300"/>
      <c r="AA103" s="115"/>
      <c r="AB103" s="108"/>
      <c r="AC103" s="313"/>
    </row>
    <row r="104" spans="1:29" ht="15.75" customHeight="1">
      <c r="A104" s="303"/>
      <c r="B104" s="98"/>
      <c r="C104" s="297"/>
      <c r="D104" s="298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8"/>
      <c r="S104" s="46"/>
      <c r="T104" s="118"/>
      <c r="U104" s="109"/>
      <c r="V104" s="110"/>
      <c r="W104" s="124"/>
      <c r="X104" s="125"/>
      <c r="Y104" s="299"/>
      <c r="Z104" s="300"/>
      <c r="AA104" s="115"/>
      <c r="AB104" s="108"/>
      <c r="AC104" s="313"/>
    </row>
    <row r="105" spans="1:29" ht="15.75" customHeight="1">
      <c r="A105" s="303"/>
      <c r="B105" s="98"/>
      <c r="C105" s="297"/>
      <c r="D105" s="298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8"/>
      <c r="S105" s="117"/>
      <c r="T105" s="118"/>
      <c r="U105" s="128"/>
      <c r="V105" s="129"/>
      <c r="W105" s="124"/>
      <c r="X105" s="125"/>
      <c r="Y105" s="299"/>
      <c r="Z105" s="300"/>
      <c r="AA105" s="163"/>
      <c r="AB105" s="123"/>
      <c r="AC105" s="313"/>
    </row>
    <row r="106" spans="1:29" ht="15.75" customHeight="1" thickBot="1">
      <c r="A106" s="304"/>
      <c r="B106" s="131" t="s">
        <v>115</v>
      </c>
      <c r="C106" s="294"/>
      <c r="D106" s="294"/>
      <c r="E106" s="132"/>
      <c r="F106" s="97"/>
      <c r="G106" s="133"/>
      <c r="H106" s="67"/>
      <c r="I106" s="134">
        <f t="shared" ref="I106:J106" si="45">AVERAGE(I90:I105)</f>
        <v>4</v>
      </c>
      <c r="J106" s="135">
        <f t="shared" si="45"/>
        <v>3000</v>
      </c>
      <c r="K106" s="136">
        <f t="shared" ref="K106" si="46">J106/I106</f>
        <v>750</v>
      </c>
      <c r="L106" s="134">
        <f t="shared" ref="L106:M106" si="47">AVERAGE(L90:L105)</f>
        <v>4</v>
      </c>
      <c r="M106" s="135">
        <f t="shared" si="47"/>
        <v>2799.3750586001997</v>
      </c>
      <c r="N106" s="136">
        <f t="shared" ref="N106:N120" si="48">M106/L106</f>
        <v>699.84376465004993</v>
      </c>
      <c r="O106" s="137">
        <f t="shared" ref="O106:O120" si="49">L106-I106</f>
        <v>0</v>
      </c>
      <c r="P106" s="138">
        <f t="shared" ref="P106:P120" si="50">N106-K106</f>
        <v>-50.156235349950066</v>
      </c>
      <c r="Q106" s="139">
        <f t="shared" ref="Q106:Q120" si="51">N106/K106</f>
        <v>0.93312501953339988</v>
      </c>
      <c r="R106" s="309"/>
      <c r="S106" s="140">
        <v>0.70833333333333337</v>
      </c>
      <c r="T106" s="141">
        <v>0.71839120370370368</v>
      </c>
      <c r="U106" s="142"/>
      <c r="V106" s="164"/>
      <c r="W106" s="97"/>
      <c r="X106" s="67"/>
      <c r="Y106" s="295"/>
      <c r="Z106" s="296"/>
      <c r="AA106" s="166">
        <f t="shared" ref="AA106:AA120" si="52">M106-J106</f>
        <v>-200.62494139980026</v>
      </c>
      <c r="AB106" s="139">
        <f t="shared" ref="AB106:AB120" si="53">M106/J106</f>
        <v>0.93312501953339988</v>
      </c>
      <c r="AC106" s="314"/>
    </row>
    <row r="107" spans="1:29" ht="15.75" customHeight="1">
      <c r="A107" s="315" t="s">
        <v>138</v>
      </c>
      <c r="B107" s="112" t="s">
        <v>118</v>
      </c>
      <c r="C107" s="305" t="s">
        <v>140</v>
      </c>
      <c r="D107" s="306"/>
      <c r="E107" s="145">
        <v>18.18</v>
      </c>
      <c r="F107" s="95">
        <v>511</v>
      </c>
      <c r="G107" s="146">
        <f t="shared" ref="G107:G120" si="54">E107*F107</f>
        <v>9289.98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55">F107/V107*60</f>
        <v>2801.1874183060404</v>
      </c>
      <c r="N107" s="150">
        <f t="shared" si="48"/>
        <v>933.72913943534684</v>
      </c>
      <c r="O107" s="152">
        <f t="shared" si="49"/>
        <v>0</v>
      </c>
      <c r="P107" s="153">
        <f t="shared" si="50"/>
        <v>-66.270860564653162</v>
      </c>
      <c r="Q107" s="154">
        <f t="shared" si="51"/>
        <v>0.93372913943534686</v>
      </c>
      <c r="R107" s="307">
        <f>Q123</f>
        <v>0.91856777008665669</v>
      </c>
      <c r="S107" s="155">
        <v>0.73055555555555551</v>
      </c>
      <c r="T107" s="156">
        <v>0.73814814814814811</v>
      </c>
      <c r="U107" s="157"/>
      <c r="V107" s="158">
        <v>10.94535831470391</v>
      </c>
      <c r="W107" s="159"/>
      <c r="X107" s="160"/>
      <c r="Y107" s="310"/>
      <c r="Z107" s="311"/>
      <c r="AA107" s="113">
        <f t="shared" si="52"/>
        <v>-198.8125816939596</v>
      </c>
      <c r="AB107" s="154">
        <f t="shared" si="53"/>
        <v>0.93372913943534674</v>
      </c>
      <c r="AC107" s="312">
        <f>AB123</f>
        <v>0.91856777008665669</v>
      </c>
    </row>
    <row r="108" spans="1:29" ht="15.75" customHeight="1">
      <c r="A108" s="316"/>
      <c r="B108" s="98" t="s">
        <v>118</v>
      </c>
      <c r="C108" s="297" t="s">
        <v>144</v>
      </c>
      <c r="D108" s="298"/>
      <c r="E108" s="99">
        <v>18.18</v>
      </c>
      <c r="F108" s="100">
        <v>295</v>
      </c>
      <c r="G108" s="101">
        <f t="shared" si="54"/>
        <v>5363.1</v>
      </c>
      <c r="H108" s="26">
        <v>2</v>
      </c>
      <c r="I108" s="102">
        <v>3</v>
      </c>
      <c r="J108" s="103">
        <v>3600</v>
      </c>
      <c r="K108" s="104">
        <f t="shared" ref="K108:K137" si="56">J108/I108</f>
        <v>1200</v>
      </c>
      <c r="L108" s="105">
        <v>3</v>
      </c>
      <c r="M108" s="103">
        <f t="shared" si="55"/>
        <v>3287.8653450014604</v>
      </c>
      <c r="N108" s="104">
        <f t="shared" si="48"/>
        <v>1095.9551150004868</v>
      </c>
      <c r="O108" s="106">
        <f t="shared" si="49"/>
        <v>0</v>
      </c>
      <c r="P108" s="107">
        <f t="shared" si="50"/>
        <v>-104.04488499951322</v>
      </c>
      <c r="Q108" s="108">
        <f t="shared" si="51"/>
        <v>0.91329592916707236</v>
      </c>
      <c r="R108" s="308"/>
      <c r="S108" s="46">
        <v>0.74652777777777768</v>
      </c>
      <c r="T108" s="47">
        <v>0.75026620370370356</v>
      </c>
      <c r="U108" s="109">
        <v>12.066666666666581</v>
      </c>
      <c r="V108" s="110">
        <v>5.3834321490414139</v>
      </c>
      <c r="W108" s="111"/>
      <c r="X108" s="114"/>
      <c r="Y108" s="299"/>
      <c r="Z108" s="300"/>
      <c r="AA108" s="115">
        <f t="shared" si="52"/>
        <v>-312.13465499853965</v>
      </c>
      <c r="AB108" s="108">
        <f t="shared" si="53"/>
        <v>0.91329592916707236</v>
      </c>
      <c r="AC108" s="313"/>
    </row>
    <row r="109" spans="1:29" ht="15.75" customHeight="1">
      <c r="A109" s="316"/>
      <c r="B109" s="98" t="s">
        <v>118</v>
      </c>
      <c r="C109" s="297" t="s">
        <v>133</v>
      </c>
      <c r="D109" s="298"/>
      <c r="E109" s="99">
        <v>16.7</v>
      </c>
      <c r="F109" s="100">
        <v>705</v>
      </c>
      <c r="G109" s="101">
        <f t="shared" si="54"/>
        <v>11773.5</v>
      </c>
      <c r="H109" s="26">
        <v>2</v>
      </c>
      <c r="I109" s="102">
        <v>3</v>
      </c>
      <c r="J109" s="103">
        <v>3600</v>
      </c>
      <c r="K109" s="104">
        <f t="shared" si="56"/>
        <v>1200</v>
      </c>
      <c r="L109" s="105">
        <v>3</v>
      </c>
      <c r="M109" s="103">
        <f t="shared" si="55"/>
        <v>3287.232030784568</v>
      </c>
      <c r="N109" s="104">
        <f t="shared" si="48"/>
        <v>1095.7440102615226</v>
      </c>
      <c r="O109" s="106">
        <f t="shared" si="49"/>
        <v>0</v>
      </c>
      <c r="P109" s="107">
        <f t="shared" si="50"/>
        <v>-104.25598973847741</v>
      </c>
      <c r="Q109" s="108">
        <f t="shared" si="51"/>
        <v>0.91312000855126885</v>
      </c>
      <c r="R109" s="308"/>
      <c r="S109" s="46">
        <v>0.75902777777777763</v>
      </c>
      <c r="T109" s="47">
        <v>0.76796296296296285</v>
      </c>
      <c r="U109" s="109">
        <v>12.616666666666667</v>
      </c>
      <c r="V109" s="110">
        <v>12.867969040172744</v>
      </c>
      <c r="W109" s="111"/>
      <c r="X109" s="114"/>
      <c r="Y109" s="299"/>
      <c r="Z109" s="300"/>
      <c r="AA109" s="115">
        <f t="shared" si="52"/>
        <v>-312.767969215432</v>
      </c>
      <c r="AB109" s="108">
        <f t="shared" si="53"/>
        <v>0.91312000855126885</v>
      </c>
      <c r="AC109" s="313"/>
    </row>
    <row r="110" spans="1:29" ht="15.75" customHeight="1">
      <c r="A110" s="316"/>
      <c r="B110" s="98" t="s">
        <v>118</v>
      </c>
      <c r="C110" s="297" t="s">
        <v>193</v>
      </c>
      <c r="D110" s="298"/>
      <c r="E110" s="99">
        <v>30</v>
      </c>
      <c r="F110" s="100">
        <v>550</v>
      </c>
      <c r="G110" s="101">
        <f t="shared" si="54"/>
        <v>16500</v>
      </c>
      <c r="H110" s="26">
        <v>2</v>
      </c>
      <c r="I110" s="102">
        <v>4</v>
      </c>
      <c r="J110" s="103">
        <v>3600</v>
      </c>
      <c r="K110" s="104">
        <f t="shared" si="56"/>
        <v>900</v>
      </c>
      <c r="L110" s="105">
        <v>4</v>
      </c>
      <c r="M110" s="103">
        <f t="shared" si="55"/>
        <v>3288.7537785870522</v>
      </c>
      <c r="N110" s="104">
        <f t="shared" si="48"/>
        <v>822.18844464676306</v>
      </c>
      <c r="O110" s="106">
        <f t="shared" si="49"/>
        <v>0</v>
      </c>
      <c r="P110" s="107">
        <f t="shared" si="50"/>
        <v>-77.81155535323694</v>
      </c>
      <c r="Q110" s="108">
        <f t="shared" si="51"/>
        <v>0.91354271627418115</v>
      </c>
      <c r="R110" s="308"/>
      <c r="S110" s="46">
        <v>0.77708333333333313</v>
      </c>
      <c r="T110" s="47">
        <v>0.78405092592592573</v>
      </c>
      <c r="U110" s="109">
        <v>13.133333333333201</v>
      </c>
      <c r="V110" s="110">
        <v>10.034195996934072</v>
      </c>
      <c r="W110" s="111"/>
      <c r="X110" s="114"/>
      <c r="Y110" s="299"/>
      <c r="Z110" s="300"/>
      <c r="AA110" s="115">
        <f t="shared" si="52"/>
        <v>-311.24622141294776</v>
      </c>
      <c r="AB110" s="108">
        <f t="shared" si="53"/>
        <v>0.91354271627418115</v>
      </c>
      <c r="AC110" s="313"/>
    </row>
    <row r="111" spans="1:29" ht="15.75" customHeight="1">
      <c r="A111" s="316"/>
      <c r="B111" s="98" t="s">
        <v>118</v>
      </c>
      <c r="C111" s="297" t="s">
        <v>146</v>
      </c>
      <c r="D111" s="298"/>
      <c r="E111" s="99">
        <v>25.03</v>
      </c>
      <c r="F111" s="100">
        <v>346</v>
      </c>
      <c r="G111" s="101">
        <f t="shared" si="54"/>
        <v>8660.380000000001</v>
      </c>
      <c r="H111" s="26">
        <v>2</v>
      </c>
      <c r="I111" s="102">
        <v>5</v>
      </c>
      <c r="J111" s="103">
        <v>3600</v>
      </c>
      <c r="K111" s="104">
        <f t="shared" si="56"/>
        <v>720</v>
      </c>
      <c r="L111" s="105">
        <v>5</v>
      </c>
      <c r="M111" s="103">
        <f t="shared" si="55"/>
        <v>3286.2438857107941</v>
      </c>
      <c r="N111" s="104">
        <f t="shared" si="48"/>
        <v>657.24877714215881</v>
      </c>
      <c r="O111" s="106">
        <f t="shared" si="49"/>
        <v>0</v>
      </c>
      <c r="P111" s="107">
        <f t="shared" si="50"/>
        <v>-62.751222857841185</v>
      </c>
      <c r="Q111" s="108">
        <f t="shared" si="51"/>
        <v>0.91284552380855388</v>
      </c>
      <c r="R111" s="308"/>
      <c r="S111" s="46">
        <v>0.79374999999999973</v>
      </c>
      <c r="T111" s="47">
        <v>0.79813657407407379</v>
      </c>
      <c r="U111" s="109">
        <v>13.966666666666558</v>
      </c>
      <c r="V111" s="110">
        <v>6.3172426399234638</v>
      </c>
      <c r="W111" s="111"/>
      <c r="X111" s="114"/>
      <c r="Y111" s="299"/>
      <c r="Z111" s="300"/>
      <c r="AA111" s="115">
        <f t="shared" si="52"/>
        <v>-313.75611428920593</v>
      </c>
      <c r="AB111" s="108">
        <f t="shared" si="53"/>
        <v>0.91284552380855388</v>
      </c>
      <c r="AC111" s="313"/>
    </row>
    <row r="112" spans="1:29" ht="15.75" customHeight="1">
      <c r="A112" s="316"/>
      <c r="B112" s="98" t="s">
        <v>118</v>
      </c>
      <c r="C112" s="297" t="s">
        <v>139</v>
      </c>
      <c r="D112" s="298"/>
      <c r="E112" s="99">
        <v>14.03</v>
      </c>
      <c r="F112" s="100">
        <v>1778</v>
      </c>
      <c r="G112" s="119">
        <f t="shared" si="54"/>
        <v>24945.34</v>
      </c>
      <c r="H112" s="26">
        <v>2</v>
      </c>
      <c r="I112" s="102">
        <v>3</v>
      </c>
      <c r="J112" s="103">
        <v>3000</v>
      </c>
      <c r="K112" s="104">
        <f t="shared" si="56"/>
        <v>1000</v>
      </c>
      <c r="L112" s="105">
        <v>3</v>
      </c>
      <c r="M112" s="103">
        <f t="shared" si="55"/>
        <v>2805.1382829214331</v>
      </c>
      <c r="N112" s="104">
        <f t="shared" si="48"/>
        <v>935.04609430714436</v>
      </c>
      <c r="O112" s="106">
        <f t="shared" si="49"/>
        <v>0</v>
      </c>
      <c r="P112" s="107">
        <f t="shared" si="50"/>
        <v>-64.953905692855642</v>
      </c>
      <c r="Q112" s="108">
        <f t="shared" si="51"/>
        <v>0.93504609430714436</v>
      </c>
      <c r="R112" s="308"/>
      <c r="S112" s="46">
        <v>0.80763888888888857</v>
      </c>
      <c r="T112" s="118">
        <v>0.83403935185185152</v>
      </c>
      <c r="U112" s="109">
        <v>13.683333333333287</v>
      </c>
      <c r="V112" s="110">
        <v>38.030210720627032</v>
      </c>
      <c r="W112" s="111"/>
      <c r="X112" s="114"/>
      <c r="Y112" s="299"/>
      <c r="Z112" s="300"/>
      <c r="AA112" s="115">
        <f t="shared" si="52"/>
        <v>-194.86171707856693</v>
      </c>
      <c r="AB112" s="108">
        <f t="shared" si="53"/>
        <v>0.93504609430714436</v>
      </c>
      <c r="AC112" s="313"/>
    </row>
    <row r="113" spans="1:29" ht="15.75" customHeight="1">
      <c r="A113" s="316"/>
      <c r="B113" s="98" t="s">
        <v>118</v>
      </c>
      <c r="C113" s="297" t="s">
        <v>137</v>
      </c>
      <c r="D113" s="298"/>
      <c r="E113" s="99">
        <v>16.66</v>
      </c>
      <c r="F113" s="100">
        <v>1858</v>
      </c>
      <c r="G113" s="119">
        <f t="shared" si="54"/>
        <v>30954.28</v>
      </c>
      <c r="H113" s="26">
        <v>2</v>
      </c>
      <c r="I113" s="102">
        <v>5</v>
      </c>
      <c r="J113" s="103">
        <v>3600</v>
      </c>
      <c r="K113" s="104">
        <f t="shared" si="56"/>
        <v>720</v>
      </c>
      <c r="L113" s="105">
        <v>5</v>
      </c>
      <c r="M113" s="103">
        <f t="shared" si="55"/>
        <v>3289.205740768411</v>
      </c>
      <c r="N113" s="104">
        <f t="shared" si="48"/>
        <v>657.84114815368218</v>
      </c>
      <c r="O113" s="121">
        <f t="shared" si="49"/>
        <v>0</v>
      </c>
      <c r="P113" s="122">
        <f t="shared" si="50"/>
        <v>-62.158851846317816</v>
      </c>
      <c r="Q113" s="123">
        <f t="shared" si="51"/>
        <v>0.91366826132455858</v>
      </c>
      <c r="R113" s="308"/>
      <c r="S113" s="46">
        <v>0.84374999999999967</v>
      </c>
      <c r="T113" s="118">
        <v>0.86728009259259231</v>
      </c>
      <c r="U113" s="109">
        <v>13.983333333333334</v>
      </c>
      <c r="V113" s="110">
        <v>33.892680721746672</v>
      </c>
      <c r="W113" s="111"/>
      <c r="X113" s="114"/>
      <c r="Y113" s="299"/>
      <c r="Z113" s="300"/>
      <c r="AA113" s="115">
        <f t="shared" si="52"/>
        <v>-310.79425923158897</v>
      </c>
      <c r="AB113" s="108">
        <f t="shared" si="53"/>
        <v>0.91366826132455858</v>
      </c>
      <c r="AC113" s="313"/>
    </row>
    <row r="114" spans="1:29" ht="15.75" customHeight="1">
      <c r="A114" s="316"/>
      <c r="B114" s="98" t="s">
        <v>118</v>
      </c>
      <c r="C114" s="297" t="s">
        <v>140</v>
      </c>
      <c r="D114" s="298"/>
      <c r="E114" s="99">
        <v>18.18</v>
      </c>
      <c r="F114" s="100">
        <v>679</v>
      </c>
      <c r="G114" s="119">
        <f t="shared" si="54"/>
        <v>12344.22</v>
      </c>
      <c r="H114" s="26"/>
      <c r="I114" s="102">
        <v>3</v>
      </c>
      <c r="J114" s="103">
        <v>3000</v>
      </c>
      <c r="K114" s="104">
        <f t="shared" si="56"/>
        <v>1000</v>
      </c>
      <c r="L114" s="116">
        <v>3</v>
      </c>
      <c r="M114" s="103">
        <f t="shared" si="55"/>
        <v>2801.1874183060404</v>
      </c>
      <c r="N114" s="104">
        <f t="shared" si="48"/>
        <v>933.72913943534684</v>
      </c>
      <c r="O114" s="121">
        <f t="shared" si="49"/>
        <v>0</v>
      </c>
      <c r="P114" s="122">
        <f t="shared" si="50"/>
        <v>-66.270860564653162</v>
      </c>
      <c r="Q114" s="123">
        <f t="shared" si="51"/>
        <v>0.93372913943534686</v>
      </c>
      <c r="R114" s="308"/>
      <c r="S114" s="46">
        <v>0.87638888888888855</v>
      </c>
      <c r="T114" s="118">
        <v>0.88648148148148109</v>
      </c>
      <c r="U114" s="109">
        <v>13.116666666666585</v>
      </c>
      <c r="V114" s="110">
        <v>14.543832281181908</v>
      </c>
      <c r="W114" s="111"/>
      <c r="X114" s="114"/>
      <c r="Y114" s="299"/>
      <c r="Z114" s="300"/>
      <c r="AA114" s="115">
        <f t="shared" si="52"/>
        <v>-198.8125816939596</v>
      </c>
      <c r="AB114" s="108">
        <f t="shared" si="53"/>
        <v>0.93372913943534674</v>
      </c>
      <c r="AC114" s="313"/>
    </row>
    <row r="115" spans="1:29" ht="15.75" customHeight="1">
      <c r="A115" s="316"/>
      <c r="B115" s="98" t="s">
        <v>118</v>
      </c>
      <c r="C115" s="297" t="s">
        <v>144</v>
      </c>
      <c r="D115" s="298"/>
      <c r="E115" s="99">
        <v>18.18</v>
      </c>
      <c r="F115" s="100">
        <v>404</v>
      </c>
      <c r="G115" s="119">
        <f t="shared" si="54"/>
        <v>7344.72</v>
      </c>
      <c r="H115" s="26"/>
      <c r="I115" s="102">
        <v>3</v>
      </c>
      <c r="J115" s="103">
        <v>3600</v>
      </c>
      <c r="K115" s="104">
        <f t="shared" si="56"/>
        <v>1200</v>
      </c>
      <c r="L115" s="116">
        <v>3</v>
      </c>
      <c r="M115" s="103">
        <f t="shared" si="55"/>
        <v>3287.8653450014599</v>
      </c>
      <c r="N115" s="104">
        <f t="shared" si="48"/>
        <v>1095.9551150004866</v>
      </c>
      <c r="O115" s="121">
        <f t="shared" si="49"/>
        <v>0</v>
      </c>
      <c r="P115" s="122">
        <f t="shared" si="50"/>
        <v>-104.04488499951344</v>
      </c>
      <c r="Q115" s="123">
        <f t="shared" si="51"/>
        <v>0.91329592916707214</v>
      </c>
      <c r="R115" s="308"/>
      <c r="S115" s="46">
        <v>0.89513888888888848</v>
      </c>
      <c r="T115" s="118">
        <v>0.90025462962962921</v>
      </c>
      <c r="U115" s="109">
        <v>12.466666666666644</v>
      </c>
      <c r="V115" s="110">
        <v>7.3725647058058694</v>
      </c>
      <c r="W115" s="111"/>
      <c r="X115" s="114"/>
      <c r="Y115" s="299"/>
      <c r="Z115" s="300"/>
      <c r="AA115" s="115">
        <f t="shared" si="52"/>
        <v>-312.1346549985401</v>
      </c>
      <c r="AB115" s="108">
        <f t="shared" si="53"/>
        <v>0.91329592916707214</v>
      </c>
      <c r="AC115" s="313"/>
    </row>
    <row r="116" spans="1:29" ht="15.75" customHeight="1">
      <c r="A116" s="316"/>
      <c r="B116" s="98" t="s">
        <v>118</v>
      </c>
      <c r="C116" s="297" t="s">
        <v>133</v>
      </c>
      <c r="D116" s="298"/>
      <c r="E116" s="99">
        <v>16.7</v>
      </c>
      <c r="F116" s="100">
        <v>1072</v>
      </c>
      <c r="G116" s="119">
        <f t="shared" si="54"/>
        <v>17902.399999999998</v>
      </c>
      <c r="H116" s="26"/>
      <c r="I116" s="102">
        <v>3</v>
      </c>
      <c r="J116" s="103">
        <v>3600</v>
      </c>
      <c r="K116" s="104">
        <f t="shared" si="56"/>
        <v>1200</v>
      </c>
      <c r="L116" s="116">
        <v>3</v>
      </c>
      <c r="M116" s="103">
        <f t="shared" si="55"/>
        <v>3287.232030784568</v>
      </c>
      <c r="N116" s="104">
        <f t="shared" si="48"/>
        <v>1095.7440102615226</v>
      </c>
      <c r="O116" s="121">
        <f t="shared" si="49"/>
        <v>0</v>
      </c>
      <c r="P116" s="122">
        <f t="shared" si="50"/>
        <v>-104.25598973847741</v>
      </c>
      <c r="Q116" s="123">
        <f t="shared" si="51"/>
        <v>0.91312000855126885</v>
      </c>
      <c r="R116" s="308"/>
      <c r="S116" s="46">
        <v>0.90972222222222177</v>
      </c>
      <c r="T116" s="118">
        <v>0.92329861111111067</v>
      </c>
      <c r="U116" s="109">
        <v>13.63333333333328</v>
      </c>
      <c r="V116" s="110">
        <v>19.566613916404513</v>
      </c>
      <c r="W116" s="111"/>
      <c r="X116" s="114"/>
      <c r="Y116" s="299"/>
      <c r="Z116" s="300"/>
      <c r="AA116" s="115">
        <f t="shared" si="52"/>
        <v>-312.767969215432</v>
      </c>
      <c r="AB116" s="108">
        <f t="shared" si="53"/>
        <v>0.91312000855126885</v>
      </c>
      <c r="AC116" s="313"/>
    </row>
    <row r="117" spans="1:29" ht="15.75" customHeight="1">
      <c r="A117" s="316"/>
      <c r="B117" s="98" t="s">
        <v>118</v>
      </c>
      <c r="C117" s="297" t="s">
        <v>193</v>
      </c>
      <c r="D117" s="298"/>
      <c r="E117" s="99">
        <v>30</v>
      </c>
      <c r="F117" s="100">
        <v>770</v>
      </c>
      <c r="G117" s="119">
        <f t="shared" si="54"/>
        <v>23100</v>
      </c>
      <c r="H117" s="60"/>
      <c r="I117" s="102">
        <v>4</v>
      </c>
      <c r="J117" s="103">
        <v>3600</v>
      </c>
      <c r="K117" s="104">
        <f t="shared" si="56"/>
        <v>900</v>
      </c>
      <c r="L117" s="116">
        <v>4</v>
      </c>
      <c r="M117" s="103">
        <f t="shared" si="55"/>
        <v>3288.7537785870522</v>
      </c>
      <c r="N117" s="104">
        <f t="shared" si="48"/>
        <v>822.18844464676306</v>
      </c>
      <c r="O117" s="121">
        <f t="shared" si="49"/>
        <v>0</v>
      </c>
      <c r="P117" s="122">
        <f t="shared" si="50"/>
        <v>-77.81155535323694</v>
      </c>
      <c r="Q117" s="123">
        <f t="shared" si="51"/>
        <v>0.91354271627418115</v>
      </c>
      <c r="R117" s="308"/>
      <c r="S117" s="46">
        <v>0.93194444444444391</v>
      </c>
      <c r="T117" s="118">
        <v>0.94168981481481429</v>
      </c>
      <c r="U117" s="109">
        <v>12.449999999999868</v>
      </c>
      <c r="V117" s="110">
        <v>14.0478743957077</v>
      </c>
      <c r="W117" s="124"/>
      <c r="X117" s="125"/>
      <c r="Y117" s="299"/>
      <c r="Z117" s="300"/>
      <c r="AA117" s="115">
        <f t="shared" si="52"/>
        <v>-311.24622141294776</v>
      </c>
      <c r="AB117" s="108">
        <f t="shared" si="53"/>
        <v>0.91354271627418115</v>
      </c>
      <c r="AC117" s="313"/>
    </row>
    <row r="118" spans="1:29" ht="15.75" customHeight="1">
      <c r="A118" s="316"/>
      <c r="B118" s="98" t="s">
        <v>118</v>
      </c>
      <c r="C118" s="297" t="s">
        <v>146</v>
      </c>
      <c r="D118" s="298"/>
      <c r="E118" s="99">
        <v>25.03</v>
      </c>
      <c r="F118" s="100">
        <v>390</v>
      </c>
      <c r="G118" s="119">
        <f t="shared" si="54"/>
        <v>9761.7000000000007</v>
      </c>
      <c r="H118" s="60"/>
      <c r="I118" s="102">
        <v>5</v>
      </c>
      <c r="J118" s="103">
        <v>3600</v>
      </c>
      <c r="K118" s="104">
        <f t="shared" si="56"/>
        <v>720</v>
      </c>
      <c r="L118" s="116">
        <v>5</v>
      </c>
      <c r="M118" s="103">
        <f t="shared" si="55"/>
        <v>3286.2438857107945</v>
      </c>
      <c r="N118" s="104">
        <f t="shared" si="48"/>
        <v>657.24877714215893</v>
      </c>
      <c r="O118" s="121">
        <f t="shared" si="49"/>
        <v>0</v>
      </c>
      <c r="P118" s="122">
        <f t="shared" si="50"/>
        <v>-62.751222857841071</v>
      </c>
      <c r="Q118" s="123">
        <f t="shared" si="51"/>
        <v>0.9128455238085541</v>
      </c>
      <c r="R118" s="308"/>
      <c r="S118" s="46">
        <v>0.95138888888888828</v>
      </c>
      <c r="T118" s="118">
        <v>0.95633101851851787</v>
      </c>
      <c r="U118" s="109">
        <v>13.966666666666558</v>
      </c>
      <c r="V118" s="110">
        <v>7.1205914149426324</v>
      </c>
      <c r="W118" s="124"/>
      <c r="X118" s="125"/>
      <c r="Y118" s="299"/>
      <c r="Z118" s="300"/>
      <c r="AA118" s="115">
        <f t="shared" si="52"/>
        <v>-313.75611428920547</v>
      </c>
      <c r="AB118" s="108">
        <f t="shared" si="53"/>
        <v>0.91284552380855399</v>
      </c>
      <c r="AC118" s="313"/>
    </row>
    <row r="119" spans="1:29" ht="15.75" customHeight="1">
      <c r="A119" s="316"/>
      <c r="B119" s="98" t="s">
        <v>118</v>
      </c>
      <c r="C119" s="297" t="s">
        <v>139</v>
      </c>
      <c r="D119" s="298"/>
      <c r="E119" s="99">
        <v>14.03</v>
      </c>
      <c r="F119" s="100">
        <v>2801</v>
      </c>
      <c r="G119" s="119">
        <f t="shared" si="54"/>
        <v>39298.03</v>
      </c>
      <c r="H119" s="60"/>
      <c r="I119" s="102">
        <v>3</v>
      </c>
      <c r="J119" s="103">
        <v>3000</v>
      </c>
      <c r="K119" s="104">
        <f t="shared" si="56"/>
        <v>1000</v>
      </c>
      <c r="L119" s="116">
        <v>3</v>
      </c>
      <c r="M119" s="103">
        <f t="shared" si="55"/>
        <v>2805.1382829214335</v>
      </c>
      <c r="N119" s="104">
        <f t="shared" si="48"/>
        <v>935.04609430714447</v>
      </c>
      <c r="O119" s="121">
        <f t="shared" si="49"/>
        <v>0</v>
      </c>
      <c r="P119" s="122">
        <f t="shared" si="50"/>
        <v>-64.953905692855528</v>
      </c>
      <c r="Q119" s="123">
        <f t="shared" si="51"/>
        <v>0.93504609430714447</v>
      </c>
      <c r="R119" s="308"/>
      <c r="S119" s="46">
        <v>0.96527777777777712</v>
      </c>
      <c r="T119" s="118">
        <v>1.0068749999999993</v>
      </c>
      <c r="U119" s="109">
        <v>12.883333333333322</v>
      </c>
      <c r="V119" s="110">
        <v>59.91148494290006</v>
      </c>
      <c r="W119" s="124"/>
      <c r="X119" s="125"/>
      <c r="Y119" s="299"/>
      <c r="Z119" s="300"/>
      <c r="AA119" s="115">
        <f t="shared" si="52"/>
        <v>-194.86171707856647</v>
      </c>
      <c r="AB119" s="108">
        <f t="shared" si="53"/>
        <v>0.93504609430714447</v>
      </c>
      <c r="AC119" s="313"/>
    </row>
    <row r="120" spans="1:29" ht="15.75" customHeight="1">
      <c r="A120" s="316"/>
      <c r="B120" s="98" t="s">
        <v>118</v>
      </c>
      <c r="C120" s="297" t="s">
        <v>137</v>
      </c>
      <c r="D120" s="298"/>
      <c r="E120" s="99">
        <v>16.66</v>
      </c>
      <c r="F120" s="100">
        <v>3018</v>
      </c>
      <c r="G120" s="119">
        <f t="shared" si="54"/>
        <v>50279.88</v>
      </c>
      <c r="H120" s="60"/>
      <c r="I120" s="102">
        <v>5</v>
      </c>
      <c r="J120" s="103">
        <v>3600</v>
      </c>
      <c r="K120" s="104">
        <f t="shared" si="56"/>
        <v>720</v>
      </c>
      <c r="L120" s="116">
        <v>5</v>
      </c>
      <c r="M120" s="103">
        <f t="shared" si="55"/>
        <v>3289.205740768411</v>
      </c>
      <c r="N120" s="104">
        <f t="shared" si="48"/>
        <v>657.84114815368218</v>
      </c>
      <c r="O120" s="121">
        <f t="shared" si="49"/>
        <v>0</v>
      </c>
      <c r="P120" s="122">
        <f t="shared" si="50"/>
        <v>-62.158851846317816</v>
      </c>
      <c r="Q120" s="123">
        <f t="shared" si="51"/>
        <v>0.91366826132455858</v>
      </c>
      <c r="R120" s="308"/>
      <c r="S120" s="46">
        <v>1.0159722222222216</v>
      </c>
      <c r="T120" s="118">
        <v>1.0542013888888884</v>
      </c>
      <c r="U120" s="109">
        <v>13.100000000000129</v>
      </c>
      <c r="V120" s="110">
        <v>55.052804315517463</v>
      </c>
      <c r="W120" s="124"/>
      <c r="X120" s="125"/>
      <c r="Y120" s="299"/>
      <c r="Z120" s="300"/>
      <c r="AA120" s="115">
        <f t="shared" si="52"/>
        <v>-310.79425923158897</v>
      </c>
      <c r="AB120" s="108">
        <f t="shared" si="53"/>
        <v>0.91366826132455858</v>
      </c>
      <c r="AC120" s="313"/>
    </row>
    <row r="121" spans="1:29" ht="15.75" customHeight="1">
      <c r="A121" s="316"/>
      <c r="B121" s="98"/>
      <c r="C121" s="297"/>
      <c r="D121" s="298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8"/>
      <c r="S121" s="46"/>
      <c r="T121" s="118"/>
      <c r="U121" s="109"/>
      <c r="V121" s="110"/>
      <c r="W121" s="124"/>
      <c r="X121" s="125"/>
      <c r="Y121" s="299"/>
      <c r="Z121" s="300"/>
      <c r="AA121" s="115"/>
      <c r="AB121" s="108"/>
      <c r="AC121" s="313"/>
    </row>
    <row r="122" spans="1:29" ht="15.75" customHeight="1">
      <c r="A122" s="316"/>
      <c r="B122" s="98"/>
      <c r="C122" s="297"/>
      <c r="D122" s="298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8"/>
      <c r="S122" s="117"/>
      <c r="T122" s="118"/>
      <c r="U122" s="128"/>
      <c r="V122" s="129"/>
      <c r="W122" s="124"/>
      <c r="X122" s="125"/>
      <c r="Y122" s="299"/>
      <c r="Z122" s="300"/>
      <c r="AA122" s="163"/>
      <c r="AB122" s="123"/>
      <c r="AC122" s="313"/>
    </row>
    <row r="123" spans="1:29" ht="15.75" customHeight="1" thickBot="1">
      <c r="A123" s="317"/>
      <c r="B123" s="131" t="s">
        <v>115</v>
      </c>
      <c r="C123" s="294"/>
      <c r="D123" s="294"/>
      <c r="E123" s="132"/>
      <c r="F123" s="97"/>
      <c r="G123" s="133"/>
      <c r="H123" s="67"/>
      <c r="I123" s="134">
        <f t="shared" ref="I123:J123" si="57">AVERAGE(I107:I122)</f>
        <v>3.7142857142857144</v>
      </c>
      <c r="J123" s="135">
        <f t="shared" si="57"/>
        <v>3428.5714285714284</v>
      </c>
      <c r="K123" s="136">
        <f t="shared" ref="K123" si="58">J123/I123</f>
        <v>923.07692307692298</v>
      </c>
      <c r="L123" s="134">
        <f t="shared" ref="L123:M123" si="59">AVERAGE(L107:L122)</f>
        <v>3.7142857142857144</v>
      </c>
      <c r="M123" s="135">
        <f t="shared" si="59"/>
        <v>3149.3752117256799</v>
      </c>
      <c r="N123" s="136">
        <f t="shared" ref="N123:N137" si="60">M123/L123</f>
        <v>847.90871084922151</v>
      </c>
      <c r="O123" s="137">
        <f t="shared" ref="O123:O137" si="61">L123-I123</f>
        <v>0</v>
      </c>
      <c r="P123" s="138">
        <f t="shared" ref="P123:P137" si="62">N123-K123</f>
        <v>-75.168212227701474</v>
      </c>
      <c r="Q123" s="139">
        <f t="shared" ref="Q123:Q137" si="63">N123/K123</f>
        <v>0.91856777008665669</v>
      </c>
      <c r="R123" s="309"/>
      <c r="S123" s="140">
        <v>0.73055555555555551</v>
      </c>
      <c r="T123" s="141">
        <v>1.0542013888888884</v>
      </c>
      <c r="U123" s="142"/>
      <c r="V123" s="164"/>
      <c r="W123" s="97"/>
      <c r="X123" s="67"/>
      <c r="Y123" s="295"/>
      <c r="Z123" s="296"/>
      <c r="AA123" s="166">
        <f t="shared" ref="AA123:AA137" si="64">M123-J123</f>
        <v>-279.19621684574849</v>
      </c>
      <c r="AB123" s="139">
        <f t="shared" ref="AB123:AB137" si="65">M123/J123</f>
        <v>0.91856777008665669</v>
      </c>
      <c r="AC123" s="314"/>
    </row>
    <row r="124" spans="1:29" ht="15.75" customHeight="1">
      <c r="A124" s="301" t="s">
        <v>142</v>
      </c>
      <c r="B124" s="112" t="s">
        <v>118</v>
      </c>
      <c r="C124" s="305" t="s">
        <v>217</v>
      </c>
      <c r="D124" s="306"/>
      <c r="E124" s="145">
        <v>23.8</v>
      </c>
      <c r="F124" s="95">
        <v>188</v>
      </c>
      <c r="G124" s="146">
        <f t="shared" ref="G124:G137" si="66">E124*F124</f>
        <v>4474.4000000000005</v>
      </c>
      <c r="H124" s="147">
        <v>2</v>
      </c>
      <c r="I124" s="148">
        <v>4</v>
      </c>
      <c r="J124" s="149">
        <v>3600</v>
      </c>
      <c r="K124" s="150">
        <f>J124/I124</f>
        <v>900</v>
      </c>
      <c r="L124" s="151">
        <v>4</v>
      </c>
      <c r="M124" s="149">
        <f t="shared" ref="M124:M137" si="67">F124/V124*60</f>
        <v>3287.2784763995414</v>
      </c>
      <c r="N124" s="150">
        <f t="shared" si="60"/>
        <v>821.81961909988536</v>
      </c>
      <c r="O124" s="152">
        <f t="shared" si="61"/>
        <v>0</v>
      </c>
      <c r="P124" s="153">
        <f t="shared" si="62"/>
        <v>-78.180380900114642</v>
      </c>
      <c r="Q124" s="154">
        <f t="shared" si="63"/>
        <v>0.91313291011098374</v>
      </c>
      <c r="R124" s="307">
        <f>Q140</f>
        <v>0.9130480681916372</v>
      </c>
      <c r="S124" s="155">
        <v>0.72986111111111107</v>
      </c>
      <c r="T124" s="156">
        <v>0.73223379629629626</v>
      </c>
      <c r="U124" s="157"/>
      <c r="V124" s="158">
        <v>3.4314099279944941</v>
      </c>
      <c r="W124" s="156"/>
      <c r="X124" s="167"/>
      <c r="Y124" s="310"/>
      <c r="Z124" s="311"/>
      <c r="AA124" s="169">
        <f t="shared" si="64"/>
        <v>-312.72152360045857</v>
      </c>
      <c r="AB124" s="154">
        <f t="shared" si="65"/>
        <v>0.91313291011098374</v>
      </c>
      <c r="AC124" s="312">
        <f>AB140</f>
        <v>0.9130480681916372</v>
      </c>
    </row>
    <row r="125" spans="1:29" ht="15.75" customHeight="1">
      <c r="A125" s="302"/>
      <c r="B125" s="98" t="s">
        <v>118</v>
      </c>
      <c r="C125" s="297" t="s">
        <v>145</v>
      </c>
      <c r="D125" s="298"/>
      <c r="E125" s="99">
        <v>24.82</v>
      </c>
      <c r="F125" s="100">
        <v>578</v>
      </c>
      <c r="G125" s="101">
        <f t="shared" si="66"/>
        <v>14345.960000000001</v>
      </c>
      <c r="H125" s="26">
        <v>2</v>
      </c>
      <c r="I125" s="102">
        <v>5</v>
      </c>
      <c r="J125" s="103">
        <v>3600</v>
      </c>
      <c r="K125" s="104">
        <f t="shared" si="56"/>
        <v>720</v>
      </c>
      <c r="L125" s="105">
        <v>5</v>
      </c>
      <c r="M125" s="103">
        <f t="shared" si="67"/>
        <v>3286.6451855282294</v>
      </c>
      <c r="N125" s="104">
        <f t="shared" si="60"/>
        <v>657.32903710564585</v>
      </c>
      <c r="O125" s="106">
        <f t="shared" si="61"/>
        <v>0</v>
      </c>
      <c r="P125" s="107">
        <f t="shared" si="62"/>
        <v>-62.670962894354147</v>
      </c>
      <c r="Q125" s="108">
        <f t="shared" si="63"/>
        <v>0.91295699598006363</v>
      </c>
      <c r="R125" s="308"/>
      <c r="S125" s="46">
        <v>0.74166666666666659</v>
      </c>
      <c r="T125" s="47">
        <v>0.74899305555555551</v>
      </c>
      <c r="U125" s="109">
        <v>13.583333333333272</v>
      </c>
      <c r="V125" s="110">
        <v>10.551793102797689</v>
      </c>
      <c r="W125" s="111"/>
      <c r="X125" s="13"/>
      <c r="Y125" s="299"/>
      <c r="Z125" s="300"/>
      <c r="AA125" s="170">
        <f t="shared" si="64"/>
        <v>-313.35481447177062</v>
      </c>
      <c r="AB125" s="108">
        <f t="shared" si="65"/>
        <v>0.91295699598006375</v>
      </c>
      <c r="AC125" s="313"/>
    </row>
    <row r="126" spans="1:29" ht="15.75" customHeight="1">
      <c r="A126" s="302"/>
      <c r="B126" s="98" t="s">
        <v>118</v>
      </c>
      <c r="C126" s="297" t="s">
        <v>216</v>
      </c>
      <c r="D126" s="298"/>
      <c r="E126" s="99">
        <v>24.76</v>
      </c>
      <c r="F126" s="100">
        <v>301</v>
      </c>
      <c r="G126" s="101">
        <f t="shared" si="66"/>
        <v>7452.76</v>
      </c>
      <c r="H126" s="26">
        <v>2</v>
      </c>
      <c r="I126" s="102">
        <v>4</v>
      </c>
      <c r="J126" s="103">
        <v>3600</v>
      </c>
      <c r="K126" s="104">
        <f t="shared" si="56"/>
        <v>900</v>
      </c>
      <c r="L126" s="105">
        <v>4</v>
      </c>
      <c r="M126" s="103">
        <f t="shared" si="67"/>
        <v>3288.2598108928901</v>
      </c>
      <c r="N126" s="104">
        <f t="shared" si="60"/>
        <v>822.06495272322252</v>
      </c>
      <c r="O126" s="106">
        <f t="shared" si="61"/>
        <v>0</v>
      </c>
      <c r="P126" s="107">
        <f t="shared" si="62"/>
        <v>-77.935047276777482</v>
      </c>
      <c r="Q126" s="108">
        <f t="shared" si="63"/>
        <v>0.91340550302580281</v>
      </c>
      <c r="R126" s="308"/>
      <c r="S126" s="46">
        <v>0.75833333333333319</v>
      </c>
      <c r="T126" s="47">
        <v>0.76214120370370353</v>
      </c>
      <c r="U126" s="109">
        <v>13.449999999999864</v>
      </c>
      <c r="V126" s="110">
        <v>5.4922667424798197</v>
      </c>
      <c r="W126" s="111"/>
      <c r="X126" s="13"/>
      <c r="Y126" s="299"/>
      <c r="Z126" s="300"/>
      <c r="AA126" s="170">
        <f t="shared" si="64"/>
        <v>-311.74018910710993</v>
      </c>
      <c r="AB126" s="108">
        <f t="shared" si="65"/>
        <v>0.91340550302580281</v>
      </c>
      <c r="AC126" s="313"/>
    </row>
    <row r="127" spans="1:29" ht="15.75" customHeight="1">
      <c r="A127" s="302"/>
      <c r="B127" s="98" t="s">
        <v>118</v>
      </c>
      <c r="C127" s="297" t="s">
        <v>212</v>
      </c>
      <c r="D127" s="298"/>
      <c r="E127" s="99">
        <v>22.32</v>
      </c>
      <c r="F127" s="100">
        <v>569</v>
      </c>
      <c r="G127" s="101">
        <f t="shared" si="66"/>
        <v>12700.08</v>
      </c>
      <c r="H127" s="26">
        <v>2</v>
      </c>
      <c r="I127" s="102">
        <v>5</v>
      </c>
      <c r="J127" s="103">
        <v>3600</v>
      </c>
      <c r="K127" s="104">
        <f t="shared" si="56"/>
        <v>720</v>
      </c>
      <c r="L127" s="105">
        <v>5</v>
      </c>
      <c r="M127" s="103">
        <f t="shared" si="67"/>
        <v>3285.5644353918947</v>
      </c>
      <c r="N127" s="104">
        <f t="shared" si="60"/>
        <v>657.11288707837889</v>
      </c>
      <c r="O127" s="106">
        <f t="shared" si="61"/>
        <v>0</v>
      </c>
      <c r="P127" s="107">
        <f t="shared" si="62"/>
        <v>-62.88711292162111</v>
      </c>
      <c r="Q127" s="108">
        <f t="shared" si="63"/>
        <v>0.9126567876088596</v>
      </c>
      <c r="R127" s="308"/>
      <c r="S127" s="46">
        <v>0.77083333333333315</v>
      </c>
      <c r="T127" s="47">
        <v>0.77804398148148135</v>
      </c>
      <c r="U127" s="109">
        <v>12.516666666666652</v>
      </c>
      <c r="V127" s="110">
        <v>10.3909086768307</v>
      </c>
      <c r="W127" s="111"/>
      <c r="X127" s="13"/>
      <c r="Y127" s="299"/>
      <c r="Z127" s="300"/>
      <c r="AA127" s="170">
        <f t="shared" si="64"/>
        <v>-314.43556460810532</v>
      </c>
      <c r="AB127" s="108">
        <f t="shared" si="65"/>
        <v>0.9126567876088596</v>
      </c>
      <c r="AC127" s="313"/>
    </row>
    <row r="128" spans="1:29" ht="15.75" customHeight="1">
      <c r="A128" s="303"/>
      <c r="B128" s="98" t="s">
        <v>118</v>
      </c>
      <c r="C128" s="297" t="s">
        <v>143</v>
      </c>
      <c r="D128" s="298"/>
      <c r="E128" s="99">
        <v>18.18</v>
      </c>
      <c r="F128" s="100">
        <v>823</v>
      </c>
      <c r="G128" s="101">
        <f t="shared" si="66"/>
        <v>14962.14</v>
      </c>
      <c r="H128" s="26">
        <v>2</v>
      </c>
      <c r="I128" s="102">
        <v>3</v>
      </c>
      <c r="J128" s="103">
        <v>3600</v>
      </c>
      <c r="K128" s="104">
        <f t="shared" si="56"/>
        <v>1200</v>
      </c>
      <c r="L128" s="105">
        <v>3</v>
      </c>
      <c r="M128" s="103">
        <f t="shared" si="67"/>
        <v>3285.426461599066</v>
      </c>
      <c r="N128" s="104">
        <f t="shared" si="60"/>
        <v>1095.1421538663553</v>
      </c>
      <c r="O128" s="106">
        <f t="shared" si="61"/>
        <v>0</v>
      </c>
      <c r="P128" s="107">
        <f t="shared" si="62"/>
        <v>-104.85784613364467</v>
      </c>
      <c r="Q128" s="108">
        <f t="shared" si="63"/>
        <v>0.91261846155529613</v>
      </c>
      <c r="R128" s="308"/>
      <c r="S128" s="46">
        <v>0.78749999999999976</v>
      </c>
      <c r="T128" s="47">
        <v>0.79792824074074054</v>
      </c>
      <c r="U128" s="109">
        <v>13.616666666666504</v>
      </c>
      <c r="V128" s="110">
        <v>15.0300122608637</v>
      </c>
      <c r="W128" s="111"/>
      <c r="X128" s="114"/>
      <c r="Y128" s="299"/>
      <c r="Z128" s="300"/>
      <c r="AA128" s="170">
        <f t="shared" si="64"/>
        <v>-314.57353840093401</v>
      </c>
      <c r="AB128" s="108">
        <f t="shared" si="65"/>
        <v>0.91261846155529613</v>
      </c>
      <c r="AC128" s="313"/>
    </row>
    <row r="129" spans="1:29" ht="15.75" customHeight="1">
      <c r="A129" s="303"/>
      <c r="B129" s="98" t="s">
        <v>118</v>
      </c>
      <c r="C129" s="297" t="s">
        <v>136</v>
      </c>
      <c r="D129" s="298"/>
      <c r="E129" s="99">
        <v>17.89</v>
      </c>
      <c r="F129" s="100">
        <v>1250</v>
      </c>
      <c r="G129" s="119">
        <f t="shared" si="66"/>
        <v>22362.5</v>
      </c>
      <c r="H129" s="26">
        <v>2</v>
      </c>
      <c r="I129" s="102">
        <v>4</v>
      </c>
      <c r="J129" s="103">
        <v>3600</v>
      </c>
      <c r="K129" s="104">
        <f t="shared" si="56"/>
        <v>900</v>
      </c>
      <c r="L129" s="105">
        <v>4</v>
      </c>
      <c r="M129" s="103">
        <f t="shared" si="67"/>
        <v>3287.025138956893</v>
      </c>
      <c r="N129" s="104">
        <f t="shared" si="60"/>
        <v>821.75628473922325</v>
      </c>
      <c r="O129" s="106">
        <f t="shared" si="61"/>
        <v>0</v>
      </c>
      <c r="P129" s="107">
        <f t="shared" si="62"/>
        <v>-78.243715260776753</v>
      </c>
      <c r="Q129" s="108">
        <f t="shared" si="63"/>
        <v>0.91306253859913689</v>
      </c>
      <c r="R129" s="308"/>
      <c r="S129" s="46">
        <v>0.80694444444444413</v>
      </c>
      <c r="T129" s="118">
        <v>0.82278935185185154</v>
      </c>
      <c r="U129" s="109">
        <v>12.983333333333178</v>
      </c>
      <c r="V129" s="110">
        <v>22.816983999033411</v>
      </c>
      <c r="W129" s="111"/>
      <c r="X129" s="49"/>
      <c r="Y129" s="299"/>
      <c r="Z129" s="300"/>
      <c r="AA129" s="170">
        <f t="shared" si="64"/>
        <v>-312.97486104310701</v>
      </c>
      <c r="AB129" s="108">
        <f t="shared" si="65"/>
        <v>0.91306253859913689</v>
      </c>
      <c r="AC129" s="313"/>
    </row>
    <row r="130" spans="1:29" ht="15.75" customHeight="1">
      <c r="A130" s="303"/>
      <c r="B130" s="98" t="s">
        <v>118</v>
      </c>
      <c r="C130" s="297" t="s">
        <v>141</v>
      </c>
      <c r="D130" s="298"/>
      <c r="E130" s="99">
        <v>14.28</v>
      </c>
      <c r="F130" s="100">
        <v>2180</v>
      </c>
      <c r="G130" s="119">
        <f t="shared" si="66"/>
        <v>31130.399999999998</v>
      </c>
      <c r="H130" s="26">
        <v>2</v>
      </c>
      <c r="I130" s="102">
        <v>3</v>
      </c>
      <c r="J130" s="103">
        <v>3600</v>
      </c>
      <c r="K130" s="104">
        <f t="shared" si="56"/>
        <v>1200</v>
      </c>
      <c r="L130" s="105">
        <v>3</v>
      </c>
      <c r="M130" s="103">
        <f t="shared" si="67"/>
        <v>3288.64451426494</v>
      </c>
      <c r="N130" s="104">
        <f t="shared" si="60"/>
        <v>1096.2148380883134</v>
      </c>
      <c r="O130" s="121">
        <f t="shared" si="61"/>
        <v>0</v>
      </c>
      <c r="P130" s="122">
        <f t="shared" si="62"/>
        <v>-103.7851619116866</v>
      </c>
      <c r="Q130" s="123">
        <f t="shared" si="63"/>
        <v>0.91351236507359446</v>
      </c>
      <c r="R130" s="308"/>
      <c r="S130" s="46">
        <v>0.8312499999999996</v>
      </c>
      <c r="T130" s="118">
        <v>0.85886574074074029</v>
      </c>
      <c r="U130" s="109">
        <v>12.183333333333213</v>
      </c>
      <c r="V130" s="110">
        <v>39.773225544031085</v>
      </c>
      <c r="W130" s="111"/>
      <c r="X130" s="114"/>
      <c r="Y130" s="299"/>
      <c r="Z130" s="300"/>
      <c r="AA130" s="170">
        <f t="shared" si="64"/>
        <v>-311.35548573506003</v>
      </c>
      <c r="AB130" s="108">
        <f t="shared" si="65"/>
        <v>0.91351236507359446</v>
      </c>
      <c r="AC130" s="313"/>
    </row>
    <row r="131" spans="1:29" ht="15.75" customHeight="1">
      <c r="A131" s="303"/>
      <c r="B131" s="98" t="s">
        <v>118</v>
      </c>
      <c r="C131" s="297" t="s">
        <v>217</v>
      </c>
      <c r="D131" s="298"/>
      <c r="E131" s="99">
        <v>23.8</v>
      </c>
      <c r="F131" s="100">
        <v>198</v>
      </c>
      <c r="G131" s="119">
        <f t="shared" si="66"/>
        <v>4712.4000000000005</v>
      </c>
      <c r="H131" s="26"/>
      <c r="I131" s="102">
        <v>4</v>
      </c>
      <c r="J131" s="103">
        <v>3600</v>
      </c>
      <c r="K131" s="104">
        <f t="shared" si="56"/>
        <v>900</v>
      </c>
      <c r="L131" s="116">
        <v>4</v>
      </c>
      <c r="M131" s="103">
        <f t="shared" si="67"/>
        <v>3287.2784763995414</v>
      </c>
      <c r="N131" s="104">
        <f t="shared" si="60"/>
        <v>821.81961909988536</v>
      </c>
      <c r="O131" s="121">
        <f t="shared" si="61"/>
        <v>0</v>
      </c>
      <c r="P131" s="122">
        <f t="shared" si="62"/>
        <v>-78.180380900114642</v>
      </c>
      <c r="Q131" s="123">
        <f t="shared" si="63"/>
        <v>0.91313291011098374</v>
      </c>
      <c r="R131" s="308"/>
      <c r="S131" s="46">
        <v>0.86736111111111069</v>
      </c>
      <c r="T131" s="118">
        <v>0.86986111111111064</v>
      </c>
      <c r="U131" s="109">
        <v>12.23333333333338</v>
      </c>
      <c r="V131" s="110">
        <v>3.6139317326750522</v>
      </c>
      <c r="W131" s="111"/>
      <c r="X131" s="114"/>
      <c r="Y131" s="299"/>
      <c r="Z131" s="300"/>
      <c r="AA131" s="170">
        <f t="shared" si="64"/>
        <v>-312.72152360045857</v>
      </c>
      <c r="AB131" s="108">
        <f t="shared" si="65"/>
        <v>0.91313291011098374</v>
      </c>
      <c r="AC131" s="313"/>
    </row>
    <row r="132" spans="1:29" ht="15.75" customHeight="1">
      <c r="A132" s="303"/>
      <c r="B132" s="98" t="s">
        <v>118</v>
      </c>
      <c r="C132" s="297" t="s">
        <v>145</v>
      </c>
      <c r="D132" s="298"/>
      <c r="E132" s="99">
        <v>24.82</v>
      </c>
      <c r="F132" s="100">
        <v>725</v>
      </c>
      <c r="G132" s="119">
        <f t="shared" si="66"/>
        <v>17994.5</v>
      </c>
      <c r="H132" s="26"/>
      <c r="I132" s="102">
        <v>5</v>
      </c>
      <c r="J132" s="103">
        <v>3600</v>
      </c>
      <c r="K132" s="104">
        <f t="shared" si="56"/>
        <v>720</v>
      </c>
      <c r="L132" s="116">
        <v>5</v>
      </c>
      <c r="M132" s="103">
        <f t="shared" si="67"/>
        <v>3286.6451855282294</v>
      </c>
      <c r="N132" s="104">
        <f t="shared" si="60"/>
        <v>657.32903710564585</v>
      </c>
      <c r="O132" s="121">
        <f t="shared" si="61"/>
        <v>0</v>
      </c>
      <c r="P132" s="122">
        <f t="shared" si="62"/>
        <v>-62.670962894354147</v>
      </c>
      <c r="Q132" s="123">
        <f t="shared" si="63"/>
        <v>0.91295699598006363</v>
      </c>
      <c r="R132" s="308"/>
      <c r="S132" s="46">
        <v>0.87916666666666621</v>
      </c>
      <c r="T132" s="118">
        <v>0.88835648148148105</v>
      </c>
      <c r="U132" s="109">
        <v>13.400000000000016</v>
      </c>
      <c r="V132" s="110">
        <v>13.235380622021323</v>
      </c>
      <c r="W132" s="124"/>
      <c r="X132" s="125"/>
      <c r="Y132" s="299"/>
      <c r="Z132" s="300"/>
      <c r="AA132" s="170">
        <f t="shared" si="64"/>
        <v>-313.35481447177062</v>
      </c>
      <c r="AB132" s="108">
        <f t="shared" si="65"/>
        <v>0.91295699598006375</v>
      </c>
      <c r="AC132" s="313"/>
    </row>
    <row r="133" spans="1:29" ht="15.75" customHeight="1">
      <c r="A133" s="303"/>
      <c r="B133" s="98" t="s">
        <v>118</v>
      </c>
      <c r="C133" s="297" t="s">
        <v>216</v>
      </c>
      <c r="D133" s="298"/>
      <c r="E133" s="99">
        <v>24.76</v>
      </c>
      <c r="F133" s="100">
        <v>443</v>
      </c>
      <c r="G133" s="119">
        <f t="shared" si="66"/>
        <v>10968.68</v>
      </c>
      <c r="H133" s="26"/>
      <c r="I133" s="102">
        <v>4</v>
      </c>
      <c r="J133" s="103">
        <v>3600</v>
      </c>
      <c r="K133" s="104">
        <f t="shared" si="56"/>
        <v>900</v>
      </c>
      <c r="L133" s="116">
        <v>4</v>
      </c>
      <c r="M133" s="103">
        <f t="shared" si="67"/>
        <v>3288.2598108928905</v>
      </c>
      <c r="N133" s="104">
        <f t="shared" si="60"/>
        <v>822.06495272322263</v>
      </c>
      <c r="O133" s="121">
        <f t="shared" si="61"/>
        <v>0</v>
      </c>
      <c r="P133" s="122">
        <f t="shared" si="62"/>
        <v>-77.935047276777368</v>
      </c>
      <c r="Q133" s="123">
        <f t="shared" si="63"/>
        <v>0.91340550302580292</v>
      </c>
      <c r="R133" s="308"/>
      <c r="S133" s="46">
        <v>0.89791666666666614</v>
      </c>
      <c r="T133" s="118">
        <v>0.90351851851851794</v>
      </c>
      <c r="U133" s="109">
        <v>13.766666666666527</v>
      </c>
      <c r="V133" s="110">
        <v>8.0833028801281053</v>
      </c>
      <c r="W133" s="124"/>
      <c r="X133" s="125"/>
      <c r="Y133" s="299"/>
      <c r="Z133" s="300"/>
      <c r="AA133" s="170">
        <f t="shared" si="64"/>
        <v>-311.74018910710947</v>
      </c>
      <c r="AB133" s="108">
        <f t="shared" si="65"/>
        <v>0.91340550302580292</v>
      </c>
      <c r="AC133" s="313"/>
    </row>
    <row r="134" spans="1:29" ht="15.75" customHeight="1">
      <c r="A134" s="303"/>
      <c r="B134" s="98" t="s">
        <v>118</v>
      </c>
      <c r="C134" s="297" t="s">
        <v>212</v>
      </c>
      <c r="D134" s="298"/>
      <c r="E134" s="99">
        <v>22.32</v>
      </c>
      <c r="F134" s="100">
        <v>975</v>
      </c>
      <c r="G134" s="119">
        <f t="shared" si="66"/>
        <v>21762</v>
      </c>
      <c r="H134" s="60"/>
      <c r="I134" s="102">
        <v>5</v>
      </c>
      <c r="J134" s="103">
        <v>3600</v>
      </c>
      <c r="K134" s="104">
        <f t="shared" si="56"/>
        <v>720</v>
      </c>
      <c r="L134" s="116">
        <v>5</v>
      </c>
      <c r="M134" s="103">
        <f t="shared" si="67"/>
        <v>3285.5384913042503</v>
      </c>
      <c r="N134" s="104">
        <f t="shared" si="60"/>
        <v>657.10769826085004</v>
      </c>
      <c r="O134" s="121">
        <f t="shared" si="61"/>
        <v>0</v>
      </c>
      <c r="P134" s="122">
        <f t="shared" si="62"/>
        <v>-62.892301739149957</v>
      </c>
      <c r="Q134" s="123">
        <f t="shared" si="63"/>
        <v>0.91264958091784731</v>
      </c>
      <c r="R134" s="308"/>
      <c r="S134" s="46">
        <v>0.91319444444444386</v>
      </c>
      <c r="T134" s="118">
        <v>0.92555555555555502</v>
      </c>
      <c r="U134" s="109">
        <v>13.933333333333326</v>
      </c>
      <c r="V134" s="110">
        <v>17.805300456783701</v>
      </c>
      <c r="W134" s="124"/>
      <c r="X134" s="125"/>
      <c r="Y134" s="299"/>
      <c r="Z134" s="300"/>
      <c r="AA134" s="170">
        <f t="shared" si="64"/>
        <v>-314.46150869574967</v>
      </c>
      <c r="AB134" s="108">
        <f t="shared" si="65"/>
        <v>0.91264958091784731</v>
      </c>
      <c r="AC134" s="313"/>
    </row>
    <row r="135" spans="1:29" ht="15.75" customHeight="1">
      <c r="A135" s="303"/>
      <c r="B135" s="98" t="s">
        <v>118</v>
      </c>
      <c r="C135" s="297" t="s">
        <v>143</v>
      </c>
      <c r="D135" s="298"/>
      <c r="E135" s="99">
        <v>18.18</v>
      </c>
      <c r="F135" s="100">
        <v>1357</v>
      </c>
      <c r="G135" s="119">
        <f t="shared" si="66"/>
        <v>24670.26</v>
      </c>
      <c r="H135" s="60"/>
      <c r="I135" s="102">
        <v>3</v>
      </c>
      <c r="J135" s="103">
        <v>3600</v>
      </c>
      <c r="K135" s="104">
        <f t="shared" si="56"/>
        <v>1200</v>
      </c>
      <c r="L135" s="116">
        <v>3</v>
      </c>
      <c r="M135" s="103">
        <f t="shared" si="67"/>
        <v>3285.3869964783235</v>
      </c>
      <c r="N135" s="104">
        <f t="shared" si="60"/>
        <v>1095.1289988261078</v>
      </c>
      <c r="O135" s="121">
        <f t="shared" si="61"/>
        <v>0</v>
      </c>
      <c r="P135" s="122">
        <f t="shared" si="62"/>
        <v>-104.87100117389218</v>
      </c>
      <c r="Q135" s="123">
        <f t="shared" si="63"/>
        <v>0.91260749902175653</v>
      </c>
      <c r="R135" s="308"/>
      <c r="S135" s="46">
        <v>0.93472222222222157</v>
      </c>
      <c r="T135" s="118">
        <v>0.95192129629629563</v>
      </c>
      <c r="U135" s="109">
        <v>13.199999999999825</v>
      </c>
      <c r="V135" s="110">
        <v>24.7824685759321</v>
      </c>
      <c r="W135" s="124"/>
      <c r="X135" s="125"/>
      <c r="Y135" s="299"/>
      <c r="Z135" s="300"/>
      <c r="AA135" s="170">
        <f t="shared" si="64"/>
        <v>-314.61300352167655</v>
      </c>
      <c r="AB135" s="108">
        <f t="shared" si="65"/>
        <v>0.91260749902175653</v>
      </c>
      <c r="AC135" s="313"/>
    </row>
    <row r="136" spans="1:29" ht="15.75" customHeight="1">
      <c r="A136" s="303"/>
      <c r="B136" s="98" t="s">
        <v>118</v>
      </c>
      <c r="C136" s="297" t="s">
        <v>136</v>
      </c>
      <c r="D136" s="298"/>
      <c r="E136" s="99">
        <v>17.89</v>
      </c>
      <c r="F136" s="100">
        <v>2068</v>
      </c>
      <c r="G136" s="119">
        <f t="shared" si="66"/>
        <v>36996.520000000004</v>
      </c>
      <c r="H136" s="60"/>
      <c r="I136" s="102">
        <v>4</v>
      </c>
      <c r="J136" s="103">
        <v>3600</v>
      </c>
      <c r="K136" s="104">
        <f t="shared" si="56"/>
        <v>900</v>
      </c>
      <c r="L136" s="116">
        <v>4</v>
      </c>
      <c r="M136" s="103">
        <f t="shared" si="67"/>
        <v>3287.025138956893</v>
      </c>
      <c r="N136" s="104">
        <f t="shared" si="60"/>
        <v>821.75628473922325</v>
      </c>
      <c r="O136" s="121">
        <f t="shared" si="61"/>
        <v>0</v>
      </c>
      <c r="P136" s="122">
        <f t="shared" si="62"/>
        <v>-78.243715260776753</v>
      </c>
      <c r="Q136" s="123">
        <f t="shared" si="63"/>
        <v>0.91306253859913689</v>
      </c>
      <c r="R136" s="308"/>
      <c r="S136" s="46">
        <v>0.96041666666666603</v>
      </c>
      <c r="T136" s="118">
        <v>0.98662037037036976</v>
      </c>
      <c r="U136" s="109">
        <v>12.23333333333338</v>
      </c>
      <c r="V136" s="110">
        <v>37.748418328000874</v>
      </c>
      <c r="W136" s="124"/>
      <c r="X136" s="125"/>
      <c r="Y136" s="299"/>
      <c r="Z136" s="300"/>
      <c r="AA136" s="170">
        <f t="shared" si="64"/>
        <v>-312.97486104310701</v>
      </c>
      <c r="AB136" s="108">
        <f t="shared" si="65"/>
        <v>0.91306253859913689</v>
      </c>
      <c r="AC136" s="313"/>
    </row>
    <row r="137" spans="1:29" ht="15.75" customHeight="1">
      <c r="A137" s="303"/>
      <c r="B137" s="98" t="s">
        <v>118</v>
      </c>
      <c r="C137" s="297" t="s">
        <v>141</v>
      </c>
      <c r="D137" s="298"/>
      <c r="E137" s="99">
        <v>14.28</v>
      </c>
      <c r="F137" s="100">
        <v>3863</v>
      </c>
      <c r="G137" s="119">
        <f t="shared" si="66"/>
        <v>55163.64</v>
      </c>
      <c r="H137" s="60"/>
      <c r="I137" s="102">
        <v>3</v>
      </c>
      <c r="J137" s="103">
        <v>3600</v>
      </c>
      <c r="K137" s="104">
        <f t="shared" si="56"/>
        <v>1200</v>
      </c>
      <c r="L137" s="116">
        <v>3</v>
      </c>
      <c r="M137" s="103">
        <f t="shared" si="67"/>
        <v>3288.6445142649391</v>
      </c>
      <c r="N137" s="104">
        <f t="shared" si="60"/>
        <v>1096.2148380883129</v>
      </c>
      <c r="O137" s="121">
        <f t="shared" si="61"/>
        <v>0</v>
      </c>
      <c r="P137" s="122">
        <f t="shared" si="62"/>
        <v>-103.78516191168706</v>
      </c>
      <c r="Q137" s="123">
        <f t="shared" si="63"/>
        <v>0.91351236507359412</v>
      </c>
      <c r="R137" s="308"/>
      <c r="S137" s="46">
        <v>0.99583333333333268</v>
      </c>
      <c r="T137" s="118">
        <v>1.0447685185185178</v>
      </c>
      <c r="U137" s="109">
        <v>13.266666666666609</v>
      </c>
      <c r="V137" s="110">
        <v>70.47888544797803</v>
      </c>
      <c r="W137" s="111"/>
      <c r="X137" s="114"/>
      <c r="Y137" s="299"/>
      <c r="Z137" s="300"/>
      <c r="AA137" s="170">
        <f t="shared" si="64"/>
        <v>-311.35548573506094</v>
      </c>
      <c r="AB137" s="108">
        <f t="shared" si="65"/>
        <v>0.91351236507359423</v>
      </c>
      <c r="AC137" s="313"/>
    </row>
    <row r="138" spans="1:29" ht="15.75" customHeight="1">
      <c r="A138" s="303"/>
      <c r="B138" s="98"/>
      <c r="C138" s="297"/>
      <c r="D138" s="298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8"/>
      <c r="S138" s="46"/>
      <c r="T138" s="118"/>
      <c r="U138" s="109"/>
      <c r="V138" s="110"/>
      <c r="W138" s="124"/>
      <c r="X138" s="125"/>
      <c r="Y138" s="299"/>
      <c r="Z138" s="300"/>
      <c r="AA138" s="170"/>
      <c r="AB138" s="108"/>
      <c r="AC138" s="313"/>
    </row>
    <row r="139" spans="1:29" ht="15.75" customHeight="1">
      <c r="A139" s="303"/>
      <c r="B139" s="98"/>
      <c r="C139" s="297"/>
      <c r="D139" s="298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8"/>
      <c r="S139" s="117"/>
      <c r="T139" s="118"/>
      <c r="U139" s="128"/>
      <c r="V139" s="129"/>
      <c r="W139" s="124"/>
      <c r="X139" s="125"/>
      <c r="Y139" s="299"/>
      <c r="Z139" s="300"/>
      <c r="AA139" s="171"/>
      <c r="AB139" s="123"/>
      <c r="AC139" s="313"/>
    </row>
    <row r="140" spans="1:29" ht="15.75" customHeight="1" thickBot="1">
      <c r="A140" s="304"/>
      <c r="B140" s="131" t="s">
        <v>115</v>
      </c>
      <c r="C140" s="294"/>
      <c r="D140" s="294"/>
      <c r="E140" s="132"/>
      <c r="F140" s="165"/>
      <c r="G140" s="133"/>
      <c r="H140" s="67"/>
      <c r="I140" s="134">
        <f t="shared" ref="I140:J140" si="68">AVERAGE(I124:I139)</f>
        <v>4</v>
      </c>
      <c r="J140" s="135">
        <f t="shared" si="68"/>
        <v>3600</v>
      </c>
      <c r="K140" s="136">
        <f t="shared" ref="K140" si="69">J140/I140</f>
        <v>900</v>
      </c>
      <c r="L140" s="134">
        <f t="shared" ref="L140:M140" si="70">AVERAGE(L124:L139)</f>
        <v>4</v>
      </c>
      <c r="M140" s="135">
        <f t="shared" si="70"/>
        <v>3286.973045489894</v>
      </c>
      <c r="N140" s="136">
        <f>M140/L140</f>
        <v>821.74326137247351</v>
      </c>
      <c r="O140" s="137">
        <f>L140-I140</f>
        <v>0</v>
      </c>
      <c r="P140" s="138">
        <f>N140-K140</f>
        <v>-78.256738627526488</v>
      </c>
      <c r="Q140" s="139">
        <f>N140/K140</f>
        <v>0.9130480681916372</v>
      </c>
      <c r="R140" s="309"/>
      <c r="S140" s="140">
        <v>0.72986111111111107</v>
      </c>
      <c r="T140" s="141">
        <v>1.0447685185185178</v>
      </c>
      <c r="U140" s="142"/>
      <c r="V140" s="164"/>
      <c r="W140" s="165"/>
      <c r="X140" s="136"/>
      <c r="Y140" s="295"/>
      <c r="Z140" s="296"/>
      <c r="AA140" s="172">
        <f>M140-J140</f>
        <v>-313.02695451010595</v>
      </c>
      <c r="AB140" s="139">
        <f>M140/J140</f>
        <v>0.9130480681916372</v>
      </c>
      <c r="AC140" s="314"/>
    </row>
    <row r="142" spans="1:29">
      <c r="Y142" s="293" t="s">
        <v>147</v>
      </c>
      <c r="Z142" s="293"/>
    </row>
    <row r="143" spans="1:29">
      <c r="Y143" s="293" t="s">
        <v>148</v>
      </c>
      <c r="Z143" s="293"/>
    </row>
    <row r="144" spans="1:29">
      <c r="Y144" s="293" t="s">
        <v>149</v>
      </c>
      <c r="Z144" s="293"/>
    </row>
    <row r="145" spans="25:26">
      <c r="Y145" s="293" t="s">
        <v>150</v>
      </c>
      <c r="Z145" s="293"/>
    </row>
    <row r="146" spans="25:26">
      <c r="Y146" s="293" t="s">
        <v>151</v>
      </c>
      <c r="Z146" s="293"/>
    </row>
    <row r="147" spans="25:26">
      <c r="Y147" s="293" t="s">
        <v>152</v>
      </c>
      <c r="Z147" s="293"/>
    </row>
    <row r="148" spans="25:26">
      <c r="Y148" s="293" t="s">
        <v>153</v>
      </c>
      <c r="Z148" s="293"/>
    </row>
    <row r="149" spans="25:26">
      <c r="Y149" s="293" t="s">
        <v>154</v>
      </c>
      <c r="Z149" s="293"/>
    </row>
    <row r="150" spans="25:26">
      <c r="Y150" s="293" t="s">
        <v>155</v>
      </c>
      <c r="Z150" s="293"/>
    </row>
    <row r="151" spans="25:26">
      <c r="Y151" s="293" t="s">
        <v>156</v>
      </c>
      <c r="Z151" s="293"/>
    </row>
    <row r="152" spans="25:26">
      <c r="Y152" s="293" t="s">
        <v>157</v>
      </c>
      <c r="Z152" s="293"/>
    </row>
    <row r="153" spans="25:26">
      <c r="Y153" s="293" t="s">
        <v>158</v>
      </c>
      <c r="Z153" s="293"/>
    </row>
    <row r="154" spans="25:26">
      <c r="Y154" s="293" t="s">
        <v>159</v>
      </c>
      <c r="Z154" s="293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Y128:Z128"/>
    <mergeCell ref="C129:D129"/>
    <mergeCell ref="Y129:Z129"/>
    <mergeCell ref="C130:D130"/>
    <mergeCell ref="Y130:Z130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182" priority="1" operator="greaterThan">
      <formula>0</formula>
    </cfRule>
  </conditionalFormatting>
  <conditionalFormatting sqref="P5:P140 AA5:AA140">
    <cfRule type="cellIs" dxfId="181" priority="4" operator="lessThan">
      <formula>0</formula>
    </cfRule>
  </conditionalFormatting>
  <conditionalFormatting sqref="Q5:Q140 AB5:AB140">
    <cfRule type="cellIs" dxfId="180" priority="2" operator="greaterThan">
      <formula>1</formula>
    </cfRule>
    <cfRule type="cellIs" dxfId="179" priority="3" operator="lessThan">
      <formula>0.8</formula>
    </cfRule>
  </conditionalFormatting>
  <conditionalFormatting sqref="AC5:AC6 R5:R140 AC73:AC78">
    <cfRule type="cellIs" dxfId="178" priority="5" operator="lessThan">
      <formula>0.8</formula>
    </cfRule>
  </conditionalFormatting>
  <conditionalFormatting sqref="AC12:AC20">
    <cfRule type="cellIs" dxfId="177" priority="12" operator="lessThan">
      <formula>0.8</formula>
    </cfRule>
  </conditionalFormatting>
  <conditionalFormatting sqref="AC22">
    <cfRule type="cellIs" dxfId="176" priority="11" operator="lessThan">
      <formula>0.8</formula>
    </cfRule>
  </conditionalFormatting>
  <conditionalFormatting sqref="AC39">
    <cfRule type="cellIs" dxfId="175" priority="7" operator="lessThan">
      <formula>0.8</formula>
    </cfRule>
  </conditionalFormatting>
  <conditionalFormatting sqref="AC56:AC61">
    <cfRule type="cellIs" dxfId="174" priority="6" operator="lessThan">
      <formula>0.8</formula>
    </cfRule>
  </conditionalFormatting>
  <conditionalFormatting sqref="AC90">
    <cfRule type="cellIs" dxfId="173" priority="10" operator="lessThan">
      <formula>0.8</formula>
    </cfRule>
  </conditionalFormatting>
  <conditionalFormatting sqref="AC107">
    <cfRule type="cellIs" dxfId="172" priority="9" operator="lessThan">
      <formula>0.8</formula>
    </cfRule>
  </conditionalFormatting>
  <conditionalFormatting sqref="AC124:AC129">
    <cfRule type="cellIs" dxfId="171" priority="8" operator="lessThan">
      <formula>0.8</formula>
    </cfRule>
  </conditionalFormatting>
  <dataValidations count="1">
    <dataValidation type="list" allowBlank="1" showInputMessage="1" showErrorMessage="1" sqref="Y5:Z140" xr:uid="{4E532447-3835-4031-80F2-4259C59D8AF1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2B969-8119-428F-A5E0-3C32C8F7C4F5}">
  <sheetPr>
    <tabColor theme="8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R5" sqref="R5:R21"/>
      <selection pane="bottomLeft" activeCell="R5" sqref="R5:R21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SUM(F5:F123)</f>
        <v>52352</v>
      </c>
      <c r="E1" s="86" t="s">
        <v>3</v>
      </c>
      <c r="F1" s="87">
        <f>SUM(G5:G123)</f>
        <v>2239403.2200000002</v>
      </c>
      <c r="G1" s="88" t="s">
        <v>84</v>
      </c>
      <c r="H1" s="89">
        <f>L21+L38+L55+L72+L89+L106+L123</f>
        <v>117.13095238095239</v>
      </c>
      <c r="I1" s="359" t="s">
        <v>85</v>
      </c>
      <c r="J1" s="360"/>
      <c r="K1" s="361"/>
      <c r="L1" s="365" t="s">
        <v>86</v>
      </c>
      <c r="M1" s="366"/>
      <c r="N1" s="367"/>
      <c r="O1" s="360" t="s">
        <v>87</v>
      </c>
      <c r="P1" s="360"/>
      <c r="Q1" s="360"/>
      <c r="R1" s="371"/>
      <c r="S1" s="359" t="s">
        <v>88</v>
      </c>
      <c r="T1" s="360"/>
      <c r="U1" s="360"/>
      <c r="V1" s="360"/>
      <c r="W1" s="360"/>
      <c r="X1" s="371"/>
      <c r="Y1" s="190" t="s">
        <v>183</v>
      </c>
      <c r="Z1" s="190" t="s">
        <v>184</v>
      </c>
      <c r="AA1" s="391" t="s">
        <v>161</v>
      </c>
      <c r="AB1" s="392"/>
      <c r="AC1" s="174" t="s">
        <v>19</v>
      </c>
      <c r="AD1" s="175" t="s">
        <v>160</v>
      </c>
      <c r="AE1" s="359" t="s">
        <v>90</v>
      </c>
      <c r="AF1" s="374"/>
      <c r="AG1" s="375"/>
    </row>
    <row r="2" spans="1:33" ht="26.25" customHeight="1" thickBot="1">
      <c r="A2" s="352">
        <v>46303</v>
      </c>
      <c r="B2" s="353"/>
      <c r="C2" s="90" t="s">
        <v>40</v>
      </c>
      <c r="D2" s="91">
        <f>AVERAGE(N21,N38,N55,N72,N89,N106,N123)</f>
        <v>219.66189447799616</v>
      </c>
      <c r="E2" s="91" t="s">
        <v>91</v>
      </c>
      <c r="F2" s="92">
        <f>F1/D1</f>
        <v>42.775886690097806</v>
      </c>
      <c r="G2" s="93" t="s">
        <v>92</v>
      </c>
      <c r="H2" s="94">
        <f>COUNT(H5:H123)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1">
        <f>SUM(Y21,Y38,Y55,Y72,Y89,Y106,Y123)</f>
        <v>0</v>
      </c>
      <c r="Z2" s="191">
        <f>SUM(Z21,Z38,Z55,Z72,Z89,Z106,Z123)</f>
        <v>0</v>
      </c>
      <c r="AA2" s="393"/>
      <c r="AB2" s="394"/>
      <c r="AC2" s="199">
        <f>SUM(AC21,AC38,AC55,AC72,AC89,AC106,AC123)</f>
        <v>0</v>
      </c>
      <c r="AD2" s="200">
        <f>SUM(AD21,AD38,AD55,AD72,AD89,AD106,AD123)</f>
        <v>0</v>
      </c>
      <c r="AE2" s="376"/>
      <c r="AF2" s="377"/>
      <c r="AG2" s="378"/>
    </row>
    <row r="3" spans="1:33" ht="23.25" customHeight="1">
      <c r="A3" s="354" t="s">
        <v>93</v>
      </c>
      <c r="B3" s="356" t="s">
        <v>94</v>
      </c>
      <c r="C3" s="326" t="s">
        <v>95</v>
      </c>
      <c r="D3" s="326"/>
      <c r="E3" s="346" t="s">
        <v>96</v>
      </c>
      <c r="F3" s="326" t="s">
        <v>97</v>
      </c>
      <c r="G3" s="346" t="s">
        <v>98</v>
      </c>
      <c r="H3" s="348" t="s">
        <v>99</v>
      </c>
      <c r="I3" s="338" t="s">
        <v>100</v>
      </c>
      <c r="J3" s="334" t="s">
        <v>101</v>
      </c>
      <c r="K3" s="336" t="s">
        <v>40</v>
      </c>
      <c r="L3" s="350" t="s">
        <v>100</v>
      </c>
      <c r="M3" s="334" t="s">
        <v>101</v>
      </c>
      <c r="N3" s="336" t="s">
        <v>40</v>
      </c>
      <c r="O3" s="338" t="s">
        <v>100</v>
      </c>
      <c r="P3" s="340" t="s">
        <v>40</v>
      </c>
      <c r="Q3" s="342" t="s">
        <v>102</v>
      </c>
      <c r="R3" s="344" t="s">
        <v>103</v>
      </c>
      <c r="S3" s="322" t="s">
        <v>104</v>
      </c>
      <c r="T3" s="323"/>
      <c r="U3" s="324" t="s">
        <v>105</v>
      </c>
      <c r="V3" s="324" t="s">
        <v>106</v>
      </c>
      <c r="W3" s="326" t="s">
        <v>107</v>
      </c>
      <c r="X3" s="327"/>
      <c r="Y3" s="383" t="s">
        <v>185</v>
      </c>
      <c r="Z3" s="384"/>
      <c r="AA3" s="387" t="s">
        <v>108</v>
      </c>
      <c r="AB3" s="388"/>
      <c r="AC3" s="383" t="s">
        <v>186</v>
      </c>
      <c r="AD3" s="384"/>
      <c r="AE3" s="332" t="s">
        <v>101</v>
      </c>
      <c r="AF3" s="318" t="s">
        <v>102</v>
      </c>
      <c r="AG3" s="320" t="s">
        <v>109</v>
      </c>
    </row>
    <row r="4" spans="1:33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201" t="s">
        <v>110</v>
      </c>
      <c r="T4" s="202" t="s">
        <v>111</v>
      </c>
      <c r="U4" s="325"/>
      <c r="V4" s="325"/>
      <c r="W4" s="97" t="s">
        <v>112</v>
      </c>
      <c r="X4" s="67" t="s">
        <v>113</v>
      </c>
      <c r="Y4" s="192" t="s">
        <v>49</v>
      </c>
      <c r="Z4" s="193" t="s">
        <v>50</v>
      </c>
      <c r="AA4" s="389"/>
      <c r="AB4" s="390"/>
      <c r="AC4" s="192" t="s">
        <v>162</v>
      </c>
      <c r="AD4" s="193" t="s">
        <v>163</v>
      </c>
      <c r="AE4" s="333"/>
      <c r="AF4" s="319"/>
      <c r="AG4" s="321"/>
    </row>
    <row r="5" spans="1:33" ht="15.75" customHeight="1">
      <c r="A5" s="315" t="s">
        <v>168</v>
      </c>
      <c r="B5" s="112" t="s">
        <v>164</v>
      </c>
      <c r="C5" s="385" t="s">
        <v>165</v>
      </c>
      <c r="D5" s="385"/>
      <c r="E5" s="145">
        <v>19.7</v>
      </c>
      <c r="F5" s="149">
        <v>4302</v>
      </c>
      <c r="G5" s="146">
        <f t="shared" ref="G5:G7" si="0">E5*F5</f>
        <v>84749.4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1085.1272881768487</v>
      </c>
      <c r="N5" s="150">
        <f>M5/L5</f>
        <v>83.471329859757589</v>
      </c>
      <c r="O5" s="152">
        <f>L5-I5</f>
        <v>0</v>
      </c>
      <c r="P5" s="153">
        <f>N5-K5</f>
        <v>-8.836362447934718</v>
      </c>
      <c r="Q5" s="154">
        <f>N5/K5</f>
        <v>0.90427274014737391</v>
      </c>
      <c r="R5" s="307">
        <f>Q21</f>
        <v>0.90275236514235679</v>
      </c>
      <c r="S5" s="155">
        <v>0.25</v>
      </c>
      <c r="T5" s="156">
        <v>0.41518518518518521</v>
      </c>
      <c r="U5" s="157"/>
      <c r="V5" s="158">
        <v>237.87071140167743</v>
      </c>
      <c r="W5" s="179"/>
      <c r="X5" s="150"/>
      <c r="Y5" s="12"/>
      <c r="Z5" s="196"/>
      <c r="AA5" s="310"/>
      <c r="AB5" s="311"/>
      <c r="AC5" s="12"/>
      <c r="AD5" s="196"/>
      <c r="AE5" s="176">
        <f>M5-J5</f>
        <v>-114.87271182315135</v>
      </c>
      <c r="AF5" s="130">
        <f>M5/J5</f>
        <v>0.90427274014737391</v>
      </c>
      <c r="AG5" s="386">
        <f>AF21</f>
        <v>0.90275236514235691</v>
      </c>
    </row>
    <row r="6" spans="1:33" ht="15.75" customHeight="1">
      <c r="A6" s="316"/>
      <c r="B6" s="98" t="s">
        <v>169</v>
      </c>
      <c r="C6" s="382" t="s">
        <v>170</v>
      </c>
      <c r="D6" s="382"/>
      <c r="E6" s="99">
        <v>56.43</v>
      </c>
      <c r="F6" s="100">
        <v>2796</v>
      </c>
      <c r="G6" s="101">
        <f t="shared" si="0"/>
        <v>157778.28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1801.5548219448442</v>
      </c>
      <c r="N6" s="104">
        <f>M6/L6</f>
        <v>75.064784247701837</v>
      </c>
      <c r="O6" s="106">
        <f>L6-I6</f>
        <v>0</v>
      </c>
      <c r="P6" s="107">
        <f>N6-K6</f>
        <v>-8.2685490856314914</v>
      </c>
      <c r="Q6" s="108">
        <f>N6/K6</f>
        <v>0.90077741097242214</v>
      </c>
      <c r="R6" s="308"/>
      <c r="S6" s="46">
        <v>0.41874999999999996</v>
      </c>
      <c r="T6" s="47">
        <v>0.48341435185185178</v>
      </c>
      <c r="U6" s="109">
        <v>5.1333333333332298</v>
      </c>
      <c r="V6" s="110">
        <v>93.119564254446033</v>
      </c>
      <c r="W6" s="111">
        <v>0.48341435185185178</v>
      </c>
      <c r="X6" s="114">
        <v>0.52222222222222214</v>
      </c>
      <c r="Y6" s="12"/>
      <c r="Z6" s="196"/>
      <c r="AA6" s="299"/>
      <c r="AB6" s="300"/>
      <c r="AC6" s="12"/>
      <c r="AD6" s="196"/>
      <c r="AE6" s="115">
        <f>M6-J6</f>
        <v>-198.44517805515579</v>
      </c>
      <c r="AF6" s="108">
        <f>M6/J6</f>
        <v>0.90077741097242214</v>
      </c>
      <c r="AG6" s="380"/>
    </row>
    <row r="7" spans="1:33" ht="15.75" customHeight="1">
      <c r="A7" s="316"/>
      <c r="B7" s="98" t="s">
        <v>171</v>
      </c>
      <c r="C7" s="382" t="s">
        <v>173</v>
      </c>
      <c r="D7" s="382"/>
      <c r="E7" s="99">
        <v>59.52</v>
      </c>
      <c r="F7" s="100">
        <v>3209</v>
      </c>
      <c r="G7" s="101">
        <f t="shared" si="0"/>
        <v>190999.68000000002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1807.6301886185631</v>
      </c>
      <c r="N7" s="104">
        <f>M7/L7</f>
        <v>75.317924525773464</v>
      </c>
      <c r="O7" s="106">
        <f>L7-I7</f>
        <v>0</v>
      </c>
      <c r="P7" s="107">
        <f>N7-K7</f>
        <v>-8.0154088075598651</v>
      </c>
      <c r="Q7" s="108">
        <f>N7/K7</f>
        <v>0.90381509430928164</v>
      </c>
      <c r="R7" s="308"/>
      <c r="S7" s="46">
        <v>0.52222222222222214</v>
      </c>
      <c r="T7" s="47">
        <v>0.59618055555555549</v>
      </c>
      <c r="U7" s="109">
        <v>55.883333333333326</v>
      </c>
      <c r="V7" s="110">
        <v>106.51514962092105</v>
      </c>
      <c r="W7" s="111"/>
      <c r="X7" s="114"/>
      <c r="Y7" s="12"/>
      <c r="Z7" s="196"/>
      <c r="AA7" s="299"/>
      <c r="AB7" s="300"/>
      <c r="AC7" s="12"/>
      <c r="AD7" s="196"/>
      <c r="AE7" s="115">
        <f>M7-J7</f>
        <v>-192.36981138143688</v>
      </c>
      <c r="AF7" s="108">
        <f>M7/J7</f>
        <v>0.90381509430928153</v>
      </c>
      <c r="AG7" s="380"/>
    </row>
    <row r="8" spans="1:33" ht="15.75" customHeight="1">
      <c r="A8" s="316"/>
      <c r="B8" s="98"/>
      <c r="C8" s="382"/>
      <c r="D8" s="382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8"/>
      <c r="S8" s="46"/>
      <c r="T8" s="47"/>
      <c r="U8" s="109"/>
      <c r="V8" s="110"/>
      <c r="W8" s="111"/>
      <c r="X8" s="114"/>
      <c r="Y8" s="12"/>
      <c r="Z8" s="196"/>
      <c r="AA8" s="299"/>
      <c r="AB8" s="300"/>
      <c r="AC8" s="12"/>
      <c r="AD8" s="196"/>
      <c r="AE8" s="115"/>
      <c r="AF8" s="108"/>
      <c r="AG8" s="380"/>
    </row>
    <row r="9" spans="1:33" ht="15.75" customHeight="1">
      <c r="A9" s="316"/>
      <c r="B9" s="98"/>
      <c r="C9" s="382"/>
      <c r="D9" s="382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8"/>
      <c r="S9" s="46"/>
      <c r="T9" s="47"/>
      <c r="U9" s="109"/>
      <c r="V9" s="110"/>
      <c r="W9" s="111"/>
      <c r="X9" s="114"/>
      <c r="Y9" s="12"/>
      <c r="Z9" s="196"/>
      <c r="AA9" s="299"/>
      <c r="AB9" s="300"/>
      <c r="AC9" s="12"/>
      <c r="AD9" s="196"/>
      <c r="AE9" s="115"/>
      <c r="AF9" s="108"/>
      <c r="AG9" s="380"/>
    </row>
    <row r="10" spans="1:33" ht="15.75" customHeight="1">
      <c r="A10" s="316"/>
      <c r="B10" s="98"/>
      <c r="C10" s="382"/>
      <c r="D10" s="382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8"/>
      <c r="S10" s="46"/>
      <c r="T10" s="118"/>
      <c r="U10" s="109"/>
      <c r="V10" s="110"/>
      <c r="W10" s="111"/>
      <c r="X10" s="114"/>
      <c r="Y10" s="12"/>
      <c r="Z10" s="196"/>
      <c r="AA10" s="299"/>
      <c r="AB10" s="300"/>
      <c r="AC10" s="12"/>
      <c r="AD10" s="196"/>
      <c r="AE10" s="115"/>
      <c r="AF10" s="108"/>
      <c r="AG10" s="380"/>
    </row>
    <row r="11" spans="1:33" ht="15.75" customHeight="1">
      <c r="A11" s="316"/>
      <c r="B11" s="98"/>
      <c r="C11" s="382"/>
      <c r="D11" s="382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8"/>
      <c r="S11" s="46"/>
      <c r="T11" s="118"/>
      <c r="U11" s="109"/>
      <c r="V11" s="110"/>
      <c r="W11" s="111"/>
      <c r="X11" s="114"/>
      <c r="Y11" s="12"/>
      <c r="Z11" s="196"/>
      <c r="AA11" s="299"/>
      <c r="AB11" s="300"/>
      <c r="AC11" s="12"/>
      <c r="AD11" s="196"/>
      <c r="AE11" s="115"/>
      <c r="AF11" s="108"/>
      <c r="AG11" s="380"/>
    </row>
    <row r="12" spans="1:33" ht="15.75" customHeight="1">
      <c r="A12" s="316"/>
      <c r="B12" s="98"/>
      <c r="C12" s="382"/>
      <c r="D12" s="382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8"/>
      <c r="S12" s="46"/>
      <c r="T12" s="118"/>
      <c r="U12" s="109"/>
      <c r="V12" s="110"/>
      <c r="W12" s="111"/>
      <c r="X12" s="114"/>
      <c r="Y12" s="12"/>
      <c r="Z12" s="196"/>
      <c r="AA12" s="299"/>
      <c r="AB12" s="300"/>
      <c r="AC12" s="12"/>
      <c r="AD12" s="196"/>
      <c r="AE12" s="115"/>
      <c r="AF12" s="108"/>
      <c r="AG12" s="380"/>
    </row>
    <row r="13" spans="1:33" ht="15.75" customHeight="1">
      <c r="A13" s="316"/>
      <c r="B13" s="98"/>
      <c r="C13" s="382"/>
      <c r="D13" s="382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8"/>
      <c r="S13" s="46"/>
      <c r="T13" s="118"/>
      <c r="U13" s="109"/>
      <c r="V13" s="110"/>
      <c r="W13" s="111"/>
      <c r="X13" s="114"/>
      <c r="Y13" s="12"/>
      <c r="Z13" s="196"/>
      <c r="AA13" s="299"/>
      <c r="AB13" s="300"/>
      <c r="AC13" s="12"/>
      <c r="AD13" s="196"/>
      <c r="AE13" s="115"/>
      <c r="AF13" s="108"/>
      <c r="AG13" s="380"/>
    </row>
    <row r="14" spans="1:33" ht="15.75" customHeight="1">
      <c r="A14" s="316"/>
      <c r="B14" s="98"/>
      <c r="C14" s="382"/>
      <c r="D14" s="382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8"/>
      <c r="S14" s="46"/>
      <c r="T14" s="118"/>
      <c r="U14" s="109"/>
      <c r="V14" s="110"/>
      <c r="W14" s="111"/>
      <c r="X14" s="114"/>
      <c r="Y14" s="12"/>
      <c r="Z14" s="196"/>
      <c r="AA14" s="299"/>
      <c r="AB14" s="300"/>
      <c r="AC14" s="12"/>
      <c r="AD14" s="196"/>
      <c r="AE14" s="115"/>
      <c r="AF14" s="108"/>
      <c r="AG14" s="380"/>
    </row>
    <row r="15" spans="1:33" ht="15.75" customHeight="1">
      <c r="A15" s="316"/>
      <c r="B15" s="98"/>
      <c r="C15" s="382"/>
      <c r="D15" s="382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8"/>
      <c r="S15" s="46"/>
      <c r="T15" s="118"/>
      <c r="U15" s="109"/>
      <c r="V15" s="110"/>
      <c r="W15" s="111"/>
      <c r="X15" s="114"/>
      <c r="Y15" s="12"/>
      <c r="Z15" s="196"/>
      <c r="AA15" s="299"/>
      <c r="AB15" s="300"/>
      <c r="AC15" s="12"/>
      <c r="AD15" s="196"/>
      <c r="AE15" s="115"/>
      <c r="AF15" s="108"/>
      <c r="AG15" s="380"/>
    </row>
    <row r="16" spans="1:33" ht="15.75" customHeight="1">
      <c r="A16" s="316"/>
      <c r="B16" s="98"/>
      <c r="C16" s="382"/>
      <c r="D16" s="382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8"/>
      <c r="S16" s="46"/>
      <c r="T16" s="118"/>
      <c r="U16" s="109"/>
      <c r="V16" s="110"/>
      <c r="W16" s="111"/>
      <c r="X16" s="114"/>
      <c r="Y16" s="12"/>
      <c r="Z16" s="196"/>
      <c r="AA16" s="299"/>
      <c r="AB16" s="300"/>
      <c r="AC16" s="12"/>
      <c r="AD16" s="196"/>
      <c r="AE16" s="115"/>
      <c r="AF16" s="108"/>
      <c r="AG16" s="380"/>
    </row>
    <row r="17" spans="1:33" ht="15.75" customHeight="1">
      <c r="A17" s="316"/>
      <c r="B17" s="98"/>
      <c r="C17" s="382"/>
      <c r="D17" s="382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8"/>
      <c r="S17" s="46"/>
      <c r="T17" s="118"/>
      <c r="U17" s="109"/>
      <c r="V17" s="110"/>
      <c r="W17" s="111"/>
      <c r="X17" s="114"/>
      <c r="Y17" s="12"/>
      <c r="Z17" s="196"/>
      <c r="AA17" s="299"/>
      <c r="AB17" s="300"/>
      <c r="AC17" s="12"/>
      <c r="AD17" s="196"/>
      <c r="AE17" s="115"/>
      <c r="AF17" s="108"/>
      <c r="AG17" s="380"/>
    </row>
    <row r="18" spans="1:33" ht="15.75" customHeight="1">
      <c r="A18" s="316"/>
      <c r="B18" s="98"/>
      <c r="C18" s="382"/>
      <c r="D18" s="382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8"/>
      <c r="S18" s="46"/>
      <c r="T18" s="118"/>
      <c r="U18" s="109"/>
      <c r="V18" s="110"/>
      <c r="W18" s="111"/>
      <c r="X18" s="114"/>
      <c r="Y18" s="12"/>
      <c r="Z18" s="196"/>
      <c r="AA18" s="299"/>
      <c r="AB18" s="300"/>
      <c r="AC18" s="12"/>
      <c r="AD18" s="196"/>
      <c r="AE18" s="115"/>
      <c r="AF18" s="108"/>
      <c r="AG18" s="380"/>
    </row>
    <row r="19" spans="1:33" ht="15.75" customHeight="1">
      <c r="A19" s="316"/>
      <c r="B19" s="98"/>
      <c r="C19" s="382"/>
      <c r="D19" s="382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8"/>
      <c r="S19" s="46"/>
      <c r="T19" s="118"/>
      <c r="U19" s="109"/>
      <c r="V19" s="110"/>
      <c r="W19" s="111"/>
      <c r="X19" s="114"/>
      <c r="Y19" s="12"/>
      <c r="Z19" s="196"/>
      <c r="AA19" s="299"/>
      <c r="AB19" s="300"/>
      <c r="AC19" s="12"/>
      <c r="AD19" s="196"/>
      <c r="AE19" s="115"/>
      <c r="AF19" s="108"/>
      <c r="AG19" s="380"/>
    </row>
    <row r="20" spans="1:33" ht="15.75" customHeight="1">
      <c r="A20" s="316"/>
      <c r="B20" s="98"/>
      <c r="C20" s="382"/>
      <c r="D20" s="382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8"/>
      <c r="S20" s="46"/>
      <c r="T20" s="118"/>
      <c r="U20" s="128"/>
      <c r="V20" s="110"/>
      <c r="W20" s="111"/>
      <c r="X20" s="114"/>
      <c r="Y20" s="12"/>
      <c r="Z20" s="196"/>
      <c r="AA20" s="299"/>
      <c r="AB20" s="300"/>
      <c r="AC20" s="12"/>
      <c r="AD20" s="196"/>
      <c r="AE20" s="115"/>
      <c r="AF20" s="108"/>
      <c r="AG20" s="380"/>
    </row>
    <row r="21" spans="1:33" ht="15.75" customHeight="1" thickBot="1">
      <c r="A21" s="317"/>
      <c r="B21" s="131" t="s">
        <v>115</v>
      </c>
      <c r="C21" s="294"/>
      <c r="D21" s="294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1564.7707662467519</v>
      </c>
      <c r="N21" s="136">
        <f t="shared" ref="N21:N28" si="5">M21/L21</f>
        <v>76.95593932361075</v>
      </c>
      <c r="O21" s="137">
        <f t="shared" ref="O21:O28" si="6">L21-I21</f>
        <v>0</v>
      </c>
      <c r="P21" s="138">
        <f t="shared" ref="P21:P28" si="7">N21-K21</f>
        <v>-8.2899623157335185</v>
      </c>
      <c r="Q21" s="139">
        <f t="shared" ref="Q21:Q28" si="8">N21/K21</f>
        <v>0.90275236514235679</v>
      </c>
      <c r="R21" s="309"/>
      <c r="S21" s="140">
        <v>0.25</v>
      </c>
      <c r="T21" s="141">
        <v>0.59618055555555549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5"/>
      <c r="AB21" s="296"/>
      <c r="AC21" s="177">
        <f>SUM(AC5:AC20)</f>
        <v>0</v>
      </c>
      <c r="AD21" s="178">
        <f>SUM(AD5:AD20)</f>
        <v>0</v>
      </c>
      <c r="AE21" s="166">
        <f t="shared" ref="AE21:AE28" si="9">M21-J21</f>
        <v>-168.56256708658134</v>
      </c>
      <c r="AF21" s="139">
        <f t="shared" ref="AF21:AF28" si="10">M21/J21</f>
        <v>0.90275236514235691</v>
      </c>
      <c r="AG21" s="381"/>
    </row>
    <row r="22" spans="1:33" ht="15.75" customHeight="1">
      <c r="A22" s="301" t="s">
        <v>174</v>
      </c>
      <c r="B22" s="144" t="s">
        <v>194</v>
      </c>
      <c r="C22" s="305" t="s">
        <v>195</v>
      </c>
      <c r="D22" s="306"/>
      <c r="E22" s="145">
        <v>28.86</v>
      </c>
      <c r="F22" s="157">
        <v>1232</v>
      </c>
      <c r="G22" s="146">
        <f t="shared" ref="G22:G28" si="11">E22*F22</f>
        <v>35555.519999999997</v>
      </c>
      <c r="H22" s="147"/>
      <c r="I22" s="151">
        <v>18</v>
      </c>
      <c r="J22" s="149">
        <v>3600</v>
      </c>
      <c r="K22" s="150">
        <f>J22/I22</f>
        <v>200</v>
      </c>
      <c r="L22" s="105">
        <v>18</v>
      </c>
      <c r="M22" s="149">
        <f t="shared" ref="M22:M28" si="12">F22/V22*60</f>
        <v>3191.7477202368773</v>
      </c>
      <c r="N22" s="150">
        <f t="shared" si="5"/>
        <v>177.31931779093762</v>
      </c>
      <c r="O22" s="152">
        <f t="shared" si="6"/>
        <v>0</v>
      </c>
      <c r="P22" s="153">
        <f t="shared" si="7"/>
        <v>-22.680682209062383</v>
      </c>
      <c r="Q22" s="154">
        <f t="shared" si="8"/>
        <v>0.88659658895468807</v>
      </c>
      <c r="R22" s="307">
        <f>Q38</f>
        <v>0.89404026717643348</v>
      </c>
      <c r="S22" s="155">
        <v>0.25</v>
      </c>
      <c r="T22" s="156">
        <v>0.2660763888888889</v>
      </c>
      <c r="U22" s="157"/>
      <c r="V22" s="158">
        <v>23.159725166033482</v>
      </c>
      <c r="W22" s="95"/>
      <c r="X22" s="96"/>
      <c r="Y22" s="12"/>
      <c r="Z22" s="196"/>
      <c r="AA22" s="310"/>
      <c r="AB22" s="311"/>
      <c r="AC22" s="12"/>
      <c r="AD22" s="196"/>
      <c r="AE22" s="113">
        <f t="shared" si="9"/>
        <v>-408.25227976312271</v>
      </c>
      <c r="AF22" s="154">
        <f t="shared" si="10"/>
        <v>0.88659658895468818</v>
      </c>
      <c r="AG22" s="379">
        <f>AF38</f>
        <v>0.91292844183509059</v>
      </c>
    </row>
    <row r="23" spans="1:33" ht="15.75" customHeight="1">
      <c r="A23" s="302"/>
      <c r="B23" s="161" t="s">
        <v>194</v>
      </c>
      <c r="C23" s="297" t="s">
        <v>210</v>
      </c>
      <c r="D23" s="298"/>
      <c r="E23" s="99">
        <v>36.729999999999997</v>
      </c>
      <c r="F23" s="109">
        <v>1457</v>
      </c>
      <c r="G23" s="101">
        <f t="shared" si="11"/>
        <v>53515.609999999993</v>
      </c>
      <c r="H23" s="26"/>
      <c r="I23" s="105">
        <v>21</v>
      </c>
      <c r="J23" s="103">
        <v>3600</v>
      </c>
      <c r="K23" s="104">
        <f t="shared" si="1"/>
        <v>171.42857142857142</v>
      </c>
      <c r="L23" s="105">
        <v>21</v>
      </c>
      <c r="M23" s="103">
        <f t="shared" si="12"/>
        <v>3194.0781534831913</v>
      </c>
      <c r="N23" s="104">
        <f t="shared" si="5"/>
        <v>152.09895968967578</v>
      </c>
      <c r="O23" s="106">
        <f t="shared" si="6"/>
        <v>0</v>
      </c>
      <c r="P23" s="107">
        <f t="shared" si="7"/>
        <v>-19.329611738895636</v>
      </c>
      <c r="Q23" s="108">
        <f t="shared" si="8"/>
        <v>0.88724393152310876</v>
      </c>
      <c r="R23" s="308"/>
      <c r="S23" s="46">
        <v>0.26944444444444443</v>
      </c>
      <c r="T23" s="47">
        <v>0.28844907407407405</v>
      </c>
      <c r="U23" s="109">
        <v>4.8499999999999588</v>
      </c>
      <c r="V23" s="110">
        <v>27.369399181628399</v>
      </c>
      <c r="W23" s="111"/>
      <c r="X23" s="114"/>
      <c r="Y23" s="12"/>
      <c r="Z23" s="196"/>
      <c r="AA23" s="299"/>
      <c r="AB23" s="300"/>
      <c r="AC23" s="12"/>
      <c r="AD23" s="196"/>
      <c r="AE23" s="115">
        <f t="shared" si="9"/>
        <v>-405.92184651680873</v>
      </c>
      <c r="AF23" s="108">
        <f t="shared" si="10"/>
        <v>0.88724393152310865</v>
      </c>
      <c r="AG23" s="380"/>
    </row>
    <row r="24" spans="1:33" ht="15.75" customHeight="1">
      <c r="A24" s="302"/>
      <c r="B24" s="161" t="s">
        <v>188</v>
      </c>
      <c r="C24" s="297" t="s">
        <v>204</v>
      </c>
      <c r="D24" s="298"/>
      <c r="E24" s="99">
        <v>36.450000000000003</v>
      </c>
      <c r="F24" s="109">
        <v>1628</v>
      </c>
      <c r="G24" s="101">
        <f t="shared" si="11"/>
        <v>59340.600000000006</v>
      </c>
      <c r="H24" s="26"/>
      <c r="I24" s="105">
        <v>20</v>
      </c>
      <c r="J24" s="103">
        <v>2100</v>
      </c>
      <c r="K24" s="104">
        <f t="shared" si="1"/>
        <v>105</v>
      </c>
      <c r="L24" s="105">
        <v>20</v>
      </c>
      <c r="M24" s="103">
        <f t="shared" si="12"/>
        <v>1890.1283422375</v>
      </c>
      <c r="N24" s="104">
        <f t="shared" si="5"/>
        <v>94.506417111874995</v>
      </c>
      <c r="O24" s="106">
        <f t="shared" si="6"/>
        <v>0</v>
      </c>
      <c r="P24" s="107">
        <f t="shared" si="7"/>
        <v>-10.493582888125005</v>
      </c>
      <c r="Q24" s="108">
        <f t="shared" si="8"/>
        <v>0.90006111535119038</v>
      </c>
      <c r="R24" s="308"/>
      <c r="S24" s="46">
        <v>0.29166666666666663</v>
      </c>
      <c r="T24" s="47">
        <v>0.32754629629629628</v>
      </c>
      <c r="U24" s="109">
        <v>4.6333333333333115</v>
      </c>
      <c r="V24" s="110">
        <v>51.679030369106137</v>
      </c>
      <c r="W24" s="111"/>
      <c r="X24" s="114"/>
      <c r="Y24" s="12"/>
      <c r="Z24" s="196"/>
      <c r="AA24" s="299"/>
      <c r="AB24" s="300"/>
      <c r="AC24" s="12"/>
      <c r="AD24" s="196"/>
      <c r="AE24" s="115">
        <f t="shared" si="9"/>
        <v>-209.87165776250004</v>
      </c>
      <c r="AF24" s="108">
        <f t="shared" si="10"/>
        <v>0.90006111535119049</v>
      </c>
      <c r="AG24" s="380"/>
    </row>
    <row r="25" spans="1:33" ht="15.75" customHeight="1">
      <c r="A25" s="302"/>
      <c r="B25" s="161" t="s">
        <v>166</v>
      </c>
      <c r="C25" s="297" t="s">
        <v>221</v>
      </c>
      <c r="D25" s="298"/>
      <c r="E25" s="99">
        <v>24.35</v>
      </c>
      <c r="F25" s="109">
        <v>1902</v>
      </c>
      <c r="G25" s="101">
        <f t="shared" si="11"/>
        <v>46313.700000000004</v>
      </c>
      <c r="H25" s="26"/>
      <c r="I25" s="105">
        <v>21</v>
      </c>
      <c r="J25" s="103">
        <v>2790</v>
      </c>
      <c r="K25" s="104">
        <f t="shared" si="1"/>
        <v>132.85714285714286</v>
      </c>
      <c r="L25" s="105">
        <v>22</v>
      </c>
      <c r="M25" s="103">
        <f t="shared" si="12"/>
        <v>2626.6346153846152</v>
      </c>
      <c r="N25" s="104">
        <f t="shared" si="5"/>
        <v>119.39248251748251</v>
      </c>
      <c r="O25" s="106">
        <f t="shared" si="6"/>
        <v>1</v>
      </c>
      <c r="P25" s="107">
        <f t="shared" si="7"/>
        <v>-13.464660339660355</v>
      </c>
      <c r="Q25" s="108">
        <f t="shared" si="8"/>
        <v>0.89865309421761019</v>
      </c>
      <c r="R25" s="308"/>
      <c r="S25" s="46">
        <v>0.33124999999999993</v>
      </c>
      <c r="T25" s="47">
        <v>0.36141203703703695</v>
      </c>
      <c r="U25" s="109">
        <v>5.3333333333332611</v>
      </c>
      <c r="V25" s="110">
        <v>43.447230662224989</v>
      </c>
      <c r="W25" s="111"/>
      <c r="X25" s="114"/>
      <c r="Y25" s="12"/>
      <c r="Z25" s="196"/>
      <c r="AA25" s="299"/>
      <c r="AB25" s="300"/>
      <c r="AC25" s="12"/>
      <c r="AD25" s="196"/>
      <c r="AE25" s="115">
        <f t="shared" si="9"/>
        <v>-163.36538461538476</v>
      </c>
      <c r="AF25" s="108">
        <f t="shared" si="10"/>
        <v>0.94144609870416318</v>
      </c>
      <c r="AG25" s="380"/>
    </row>
    <row r="26" spans="1:33" ht="15.75" customHeight="1">
      <c r="A26" s="303"/>
      <c r="B26" s="161" t="s">
        <v>166</v>
      </c>
      <c r="C26" s="297" t="s">
        <v>223</v>
      </c>
      <c r="D26" s="298"/>
      <c r="E26" s="99">
        <v>29.87</v>
      </c>
      <c r="F26" s="109">
        <v>2930</v>
      </c>
      <c r="G26" s="101">
        <f t="shared" si="11"/>
        <v>87519.1</v>
      </c>
      <c r="H26" s="13"/>
      <c r="I26" s="116">
        <v>21</v>
      </c>
      <c r="J26" s="103">
        <v>2790</v>
      </c>
      <c r="K26" s="104">
        <f t="shared" si="1"/>
        <v>132.85714285714286</v>
      </c>
      <c r="L26" s="105">
        <v>22</v>
      </c>
      <c r="M26" s="103">
        <f t="shared" si="12"/>
        <v>2626.6346153846152</v>
      </c>
      <c r="N26" s="104">
        <f t="shared" si="5"/>
        <v>119.39248251748251</v>
      </c>
      <c r="O26" s="106">
        <f t="shared" si="6"/>
        <v>1</v>
      </c>
      <c r="P26" s="107">
        <f t="shared" si="7"/>
        <v>-13.464660339660355</v>
      </c>
      <c r="Q26" s="108">
        <f t="shared" si="8"/>
        <v>0.89865309421761019</v>
      </c>
      <c r="R26" s="308"/>
      <c r="S26" s="46">
        <v>0.3652777777777777</v>
      </c>
      <c r="T26" s="47">
        <v>0.41174768518518512</v>
      </c>
      <c r="U26" s="109">
        <v>5.5666666666666842</v>
      </c>
      <c r="V26" s="110">
        <v>66.929750704689383</v>
      </c>
      <c r="W26" s="111"/>
      <c r="X26" s="114"/>
      <c r="Y26" s="12"/>
      <c r="Z26" s="196"/>
      <c r="AA26" s="299"/>
      <c r="AB26" s="300"/>
      <c r="AC26" s="12"/>
      <c r="AD26" s="196"/>
      <c r="AE26" s="115">
        <f t="shared" si="9"/>
        <v>-163.36538461538476</v>
      </c>
      <c r="AF26" s="108">
        <f t="shared" si="10"/>
        <v>0.94144609870416318</v>
      </c>
      <c r="AG26" s="380"/>
    </row>
    <row r="27" spans="1:33" ht="15.75" customHeight="1">
      <c r="A27" s="303"/>
      <c r="B27" s="161" t="s">
        <v>166</v>
      </c>
      <c r="C27" s="297" t="s">
        <v>167</v>
      </c>
      <c r="D27" s="298"/>
      <c r="E27" s="99">
        <v>29.97</v>
      </c>
      <c r="F27" s="109">
        <v>2141</v>
      </c>
      <c r="G27" s="119">
        <f t="shared" si="11"/>
        <v>64165.77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2626.6346153846152</v>
      </c>
      <c r="N27" s="104">
        <f t="shared" si="5"/>
        <v>119.39248251748251</v>
      </c>
      <c r="O27" s="106">
        <f t="shared" si="6"/>
        <v>1</v>
      </c>
      <c r="P27" s="107">
        <f t="shared" si="7"/>
        <v>-13.464660339660355</v>
      </c>
      <c r="Q27" s="108">
        <f t="shared" si="8"/>
        <v>0.89865309421761019</v>
      </c>
      <c r="R27" s="308"/>
      <c r="S27" s="46">
        <v>0.41458333333333325</v>
      </c>
      <c r="T27" s="118">
        <v>0.44854166666666656</v>
      </c>
      <c r="U27" s="109">
        <v>5</v>
      </c>
      <c r="V27" s="110">
        <v>48.906688142914675</v>
      </c>
      <c r="W27" s="111">
        <v>0.44854166666666656</v>
      </c>
      <c r="X27" s="114">
        <v>0.48749999999999988</v>
      </c>
      <c r="Y27" s="12"/>
      <c r="Z27" s="196"/>
      <c r="AA27" s="299"/>
      <c r="AB27" s="300"/>
      <c r="AC27" s="12"/>
      <c r="AD27" s="196"/>
      <c r="AE27" s="115">
        <f t="shared" si="9"/>
        <v>-163.36538461538476</v>
      </c>
      <c r="AF27" s="108">
        <f t="shared" si="10"/>
        <v>0.94144609870416318</v>
      </c>
      <c r="AG27" s="380"/>
    </row>
    <row r="28" spans="1:33" ht="15.75" customHeight="1">
      <c r="A28" s="303"/>
      <c r="B28" s="161" t="s">
        <v>171</v>
      </c>
      <c r="C28" s="297" t="s">
        <v>177</v>
      </c>
      <c r="D28" s="298"/>
      <c r="E28" s="99">
        <v>53.76</v>
      </c>
      <c r="F28" s="109">
        <v>2113</v>
      </c>
      <c r="G28" s="119">
        <f t="shared" si="11"/>
        <v>113594.87999999999</v>
      </c>
      <c r="H28" s="60"/>
      <c r="I28" s="116">
        <v>20</v>
      </c>
      <c r="J28" s="103">
        <v>2000</v>
      </c>
      <c r="K28" s="104">
        <f t="shared" si="1"/>
        <v>100</v>
      </c>
      <c r="L28" s="105">
        <v>20</v>
      </c>
      <c r="M28" s="103">
        <f t="shared" si="12"/>
        <v>1801.4443887848195</v>
      </c>
      <c r="N28" s="104">
        <f t="shared" si="5"/>
        <v>90.072219439240968</v>
      </c>
      <c r="O28" s="121">
        <f t="shared" si="6"/>
        <v>0</v>
      </c>
      <c r="P28" s="122">
        <f t="shared" si="7"/>
        <v>-9.9277805607590324</v>
      </c>
      <c r="Q28" s="123">
        <f t="shared" si="8"/>
        <v>0.90072219439240964</v>
      </c>
      <c r="R28" s="308"/>
      <c r="S28" s="46">
        <v>0.48749999999999988</v>
      </c>
      <c r="T28" s="118">
        <v>0.53636574074074062</v>
      </c>
      <c r="U28" s="109">
        <v>56.09999999999998</v>
      </c>
      <c r="V28" s="110">
        <v>70.376860251301224</v>
      </c>
      <c r="W28" s="111"/>
      <c r="X28" s="114"/>
      <c r="Y28" s="12"/>
      <c r="Z28" s="196"/>
      <c r="AA28" s="299"/>
      <c r="AB28" s="300"/>
      <c r="AC28" s="12"/>
      <c r="AD28" s="196"/>
      <c r="AE28" s="115">
        <f t="shared" si="9"/>
        <v>-198.55561121518053</v>
      </c>
      <c r="AF28" s="108">
        <f t="shared" si="10"/>
        <v>0.90072219439240975</v>
      </c>
      <c r="AG28" s="380"/>
    </row>
    <row r="29" spans="1:33" ht="15.75" customHeight="1">
      <c r="A29" s="303"/>
      <c r="B29" s="161"/>
      <c r="C29" s="297"/>
      <c r="D29" s="298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8"/>
      <c r="S29" s="46"/>
      <c r="T29" s="118"/>
      <c r="U29" s="109"/>
      <c r="V29" s="110"/>
      <c r="W29" s="111"/>
      <c r="X29" s="114"/>
      <c r="Y29" s="12"/>
      <c r="Z29" s="196"/>
      <c r="AA29" s="299"/>
      <c r="AB29" s="300"/>
      <c r="AC29" s="12"/>
      <c r="AD29" s="196"/>
      <c r="AE29" s="115"/>
      <c r="AF29" s="108"/>
      <c r="AG29" s="380"/>
    </row>
    <row r="30" spans="1:33" ht="15.75" customHeight="1">
      <c r="A30" s="303"/>
      <c r="B30" s="161"/>
      <c r="C30" s="297"/>
      <c r="D30" s="298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8"/>
      <c r="S30" s="46"/>
      <c r="T30" s="118"/>
      <c r="U30" s="109"/>
      <c r="V30" s="110"/>
      <c r="W30" s="111"/>
      <c r="X30" s="114"/>
      <c r="Y30" s="12"/>
      <c r="Z30" s="196"/>
      <c r="AA30" s="299"/>
      <c r="AB30" s="300"/>
      <c r="AC30" s="12"/>
      <c r="AD30" s="196"/>
      <c r="AE30" s="115"/>
      <c r="AF30" s="108"/>
      <c r="AG30" s="380"/>
    </row>
    <row r="31" spans="1:33" ht="15.75" customHeight="1">
      <c r="A31" s="303"/>
      <c r="B31" s="161"/>
      <c r="C31" s="297"/>
      <c r="D31" s="298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8"/>
      <c r="S31" s="46"/>
      <c r="T31" s="118"/>
      <c r="U31" s="109"/>
      <c r="V31" s="110"/>
      <c r="W31" s="111"/>
      <c r="X31" s="114"/>
      <c r="Y31" s="12"/>
      <c r="Z31" s="196"/>
      <c r="AA31" s="299"/>
      <c r="AB31" s="300"/>
      <c r="AC31" s="12"/>
      <c r="AD31" s="196"/>
      <c r="AE31" s="115"/>
      <c r="AF31" s="108"/>
      <c r="AG31" s="380"/>
    </row>
    <row r="32" spans="1:33" ht="15.75" customHeight="1">
      <c r="A32" s="303"/>
      <c r="B32" s="161"/>
      <c r="C32" s="297"/>
      <c r="D32" s="298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8"/>
      <c r="S32" s="46"/>
      <c r="T32" s="118"/>
      <c r="U32" s="109"/>
      <c r="V32" s="110"/>
      <c r="W32" s="111"/>
      <c r="X32" s="114"/>
      <c r="Y32" s="12"/>
      <c r="Z32" s="196"/>
      <c r="AA32" s="299"/>
      <c r="AB32" s="300"/>
      <c r="AC32" s="12"/>
      <c r="AD32" s="196"/>
      <c r="AE32" s="115"/>
      <c r="AF32" s="108"/>
      <c r="AG32" s="380"/>
    </row>
    <row r="33" spans="1:33" ht="15.75" customHeight="1">
      <c r="A33" s="303"/>
      <c r="B33" s="161"/>
      <c r="C33" s="297"/>
      <c r="D33" s="298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8"/>
      <c r="S33" s="46"/>
      <c r="T33" s="118"/>
      <c r="U33" s="109"/>
      <c r="V33" s="110"/>
      <c r="W33" s="111"/>
      <c r="X33" s="114"/>
      <c r="Y33" s="12"/>
      <c r="Z33" s="196"/>
      <c r="AA33" s="299"/>
      <c r="AB33" s="300"/>
      <c r="AC33" s="12"/>
      <c r="AD33" s="196"/>
      <c r="AE33" s="115"/>
      <c r="AF33" s="108"/>
      <c r="AG33" s="380"/>
    </row>
    <row r="34" spans="1:33" ht="15.75" customHeight="1">
      <c r="A34" s="303"/>
      <c r="B34" s="161"/>
      <c r="C34" s="297"/>
      <c r="D34" s="298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8"/>
      <c r="S34" s="46"/>
      <c r="T34" s="118"/>
      <c r="U34" s="109"/>
      <c r="V34" s="110"/>
      <c r="W34" s="111"/>
      <c r="X34" s="114"/>
      <c r="Y34" s="12"/>
      <c r="Z34" s="196"/>
      <c r="AA34" s="299"/>
      <c r="AB34" s="300"/>
      <c r="AC34" s="12"/>
      <c r="AD34" s="196"/>
      <c r="AE34" s="115"/>
      <c r="AF34" s="108"/>
      <c r="AG34" s="380"/>
    </row>
    <row r="35" spans="1:33" ht="15.75" customHeight="1">
      <c r="A35" s="303"/>
      <c r="B35" s="161"/>
      <c r="C35" s="297"/>
      <c r="D35" s="298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8"/>
      <c r="S35" s="46"/>
      <c r="T35" s="118"/>
      <c r="U35" s="109"/>
      <c r="V35" s="110"/>
      <c r="W35" s="181"/>
      <c r="X35" s="182"/>
      <c r="Y35" s="12"/>
      <c r="Z35" s="196"/>
      <c r="AA35" s="299"/>
      <c r="AB35" s="300"/>
      <c r="AC35" s="12"/>
      <c r="AD35" s="196"/>
      <c r="AE35" s="115"/>
      <c r="AF35" s="108"/>
      <c r="AG35" s="380"/>
    </row>
    <row r="36" spans="1:33" ht="15.75" customHeight="1">
      <c r="A36" s="303"/>
      <c r="B36" s="161"/>
      <c r="C36" s="297"/>
      <c r="D36" s="298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8"/>
      <c r="S36" s="46"/>
      <c r="T36" s="118"/>
      <c r="U36" s="109"/>
      <c r="V36" s="110"/>
      <c r="W36" s="183"/>
      <c r="X36" s="184"/>
      <c r="Y36" s="12"/>
      <c r="Z36" s="196"/>
      <c r="AA36" s="299"/>
      <c r="AB36" s="300"/>
      <c r="AC36" s="12"/>
      <c r="AD36" s="196"/>
      <c r="AE36" s="115"/>
      <c r="AF36" s="108"/>
      <c r="AG36" s="380"/>
    </row>
    <row r="37" spans="1:33" ht="15.75" customHeight="1">
      <c r="A37" s="303"/>
      <c r="B37" s="98"/>
      <c r="C37" s="297"/>
      <c r="D37" s="298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8"/>
      <c r="S37" s="46"/>
      <c r="T37" s="118"/>
      <c r="U37" s="128"/>
      <c r="V37" s="110"/>
      <c r="W37" s="183"/>
      <c r="X37" s="184"/>
      <c r="Y37" s="12"/>
      <c r="Z37" s="196"/>
      <c r="AA37" s="299"/>
      <c r="AB37" s="300"/>
      <c r="AC37" s="12"/>
      <c r="AD37" s="196"/>
      <c r="AE37" s="115"/>
      <c r="AF37" s="108"/>
      <c r="AG37" s="380"/>
    </row>
    <row r="38" spans="1:33" ht="15.75" customHeight="1" thickBot="1">
      <c r="A38" s="304"/>
      <c r="B38" s="131" t="s">
        <v>115</v>
      </c>
      <c r="C38" s="294"/>
      <c r="D38" s="294"/>
      <c r="E38" s="132"/>
      <c r="F38" s="165"/>
      <c r="G38" s="133"/>
      <c r="H38" s="67"/>
      <c r="I38" s="134">
        <f t="shared" ref="I38:J38" si="13">AVERAGE(I22:I37)</f>
        <v>20.285714285714285</v>
      </c>
      <c r="J38" s="135">
        <f t="shared" si="13"/>
        <v>2810</v>
      </c>
      <c r="K38" s="136">
        <f t="shared" ref="K38" si="14">J38/I38</f>
        <v>138.52112676056339</v>
      </c>
      <c r="L38" s="134">
        <f t="shared" ref="L38:M38" si="15">AVERAGE(L22:L37)</f>
        <v>20.714285714285715</v>
      </c>
      <c r="M38" s="135">
        <f t="shared" si="15"/>
        <v>2565.3289215566047</v>
      </c>
      <c r="N38" s="136">
        <f t="shared" ref="N38:N44" si="16">M38/L38</f>
        <v>123.8434651785947</v>
      </c>
      <c r="O38" s="137">
        <f t="shared" ref="O38:O44" si="17">L38-I38</f>
        <v>0.4285714285714306</v>
      </c>
      <c r="P38" s="138">
        <f t="shared" ref="P38:P44" si="18">N38-K38</f>
        <v>-14.677661581968692</v>
      </c>
      <c r="Q38" s="139">
        <f t="shared" ref="Q38:Q44" si="19">N38/K38</f>
        <v>0.89404026717643348</v>
      </c>
      <c r="R38" s="309"/>
      <c r="S38" s="140">
        <v>0.25</v>
      </c>
      <c r="T38" s="141">
        <v>0.53636574074074062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5"/>
      <c r="AB38" s="296"/>
      <c r="AC38" s="177">
        <f>SUM(AC22:AC37)</f>
        <v>0</v>
      </c>
      <c r="AD38" s="178">
        <f>SUM(AD22:AD37)</f>
        <v>0</v>
      </c>
      <c r="AE38" s="166">
        <f t="shared" ref="AE38:AE44" si="20">M38-J38</f>
        <v>-244.67107844339534</v>
      </c>
      <c r="AF38" s="139">
        <f t="shared" ref="AF38:AF44" si="21">M38/J38</f>
        <v>0.91292844183509059</v>
      </c>
      <c r="AG38" s="381"/>
    </row>
    <row r="39" spans="1:33" ht="15.75" customHeight="1">
      <c r="A39" s="315" t="s">
        <v>175</v>
      </c>
      <c r="B39" s="144" t="s">
        <v>171</v>
      </c>
      <c r="C39" s="305" t="s">
        <v>178</v>
      </c>
      <c r="D39" s="306"/>
      <c r="E39" s="145">
        <v>71.55</v>
      </c>
      <c r="F39" s="95">
        <v>2505</v>
      </c>
      <c r="G39" s="146">
        <f t="shared" ref="G39:G44" si="22">E39*F39</f>
        <v>179232.75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3">F39/V39*60</f>
        <v>1808.4185926713999</v>
      </c>
      <c r="N39" s="150">
        <f t="shared" si="16"/>
        <v>82.200845121427264</v>
      </c>
      <c r="O39" s="152">
        <f t="shared" si="17"/>
        <v>0</v>
      </c>
      <c r="P39" s="153">
        <f t="shared" si="18"/>
        <v>-8.7082457876636425</v>
      </c>
      <c r="Q39" s="154">
        <f t="shared" si="19"/>
        <v>0.90420929633569991</v>
      </c>
      <c r="R39" s="307">
        <f>Q55</f>
        <v>0.90295155308831299</v>
      </c>
      <c r="S39" s="155">
        <v>0.25</v>
      </c>
      <c r="T39" s="156">
        <v>0.30770833333333336</v>
      </c>
      <c r="U39" s="157"/>
      <c r="V39" s="158">
        <v>83.111288840476092</v>
      </c>
      <c r="W39" s="156"/>
      <c r="X39" s="167"/>
      <c r="Y39" s="12"/>
      <c r="Z39" s="196"/>
      <c r="AA39" s="310"/>
      <c r="AB39" s="311"/>
      <c r="AC39" s="12"/>
      <c r="AD39" s="196"/>
      <c r="AE39" s="113">
        <f t="shared" si="20"/>
        <v>-191.58140732860011</v>
      </c>
      <c r="AF39" s="154">
        <f t="shared" si="21"/>
        <v>0.90420929633569991</v>
      </c>
      <c r="AG39" s="312">
        <f>AF55</f>
        <v>0.9029515530883131</v>
      </c>
    </row>
    <row r="40" spans="1:33" ht="15.75" customHeight="1">
      <c r="A40" s="316"/>
      <c r="B40" s="161" t="s">
        <v>171</v>
      </c>
      <c r="C40" s="297" t="s">
        <v>176</v>
      </c>
      <c r="D40" s="298"/>
      <c r="E40" s="99">
        <v>59.54</v>
      </c>
      <c r="F40" s="100">
        <v>1834</v>
      </c>
      <c r="G40" s="101">
        <f t="shared" si="22"/>
        <v>109196.36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3"/>
        <v>1806.6273887531586</v>
      </c>
      <c r="N40" s="104">
        <f t="shared" si="16"/>
        <v>78.549016902311237</v>
      </c>
      <c r="O40" s="106">
        <f t="shared" si="17"/>
        <v>0</v>
      </c>
      <c r="P40" s="107">
        <f t="shared" si="18"/>
        <v>-8.4075048368192</v>
      </c>
      <c r="Q40" s="108">
        <f t="shared" si="19"/>
        <v>0.90331369437657916</v>
      </c>
      <c r="R40" s="308"/>
      <c r="S40" s="46">
        <v>0.31180555555555556</v>
      </c>
      <c r="T40" s="47">
        <v>0.35409722222222223</v>
      </c>
      <c r="U40" s="109">
        <v>5.8999999999999631</v>
      </c>
      <c r="V40" s="110">
        <v>60.909073273788877</v>
      </c>
      <c r="W40" s="111"/>
      <c r="X40" s="114"/>
      <c r="Y40" s="12"/>
      <c r="Z40" s="196"/>
      <c r="AA40" s="299"/>
      <c r="AB40" s="300"/>
      <c r="AC40" s="12"/>
      <c r="AD40" s="196"/>
      <c r="AE40" s="115">
        <f t="shared" si="20"/>
        <v>-193.37261124684142</v>
      </c>
      <c r="AF40" s="108">
        <f t="shared" si="21"/>
        <v>0.90331369437657927</v>
      </c>
      <c r="AG40" s="313"/>
    </row>
    <row r="41" spans="1:33" ht="15.75" customHeight="1">
      <c r="A41" s="316"/>
      <c r="B41" s="161" t="s">
        <v>171</v>
      </c>
      <c r="C41" s="297" t="s">
        <v>172</v>
      </c>
      <c r="D41" s="298"/>
      <c r="E41" s="99">
        <v>58.67</v>
      </c>
      <c r="F41" s="100">
        <v>2612</v>
      </c>
      <c r="G41" s="101">
        <f t="shared" si="22"/>
        <v>153246.04</v>
      </c>
      <c r="H41" s="26"/>
      <c r="I41" s="102">
        <v>23</v>
      </c>
      <c r="J41" s="103">
        <v>2000</v>
      </c>
      <c r="K41" s="104">
        <f t="shared" si="1"/>
        <v>86.956521739130437</v>
      </c>
      <c r="L41" s="105">
        <v>23</v>
      </c>
      <c r="M41" s="103">
        <f t="shared" si="23"/>
        <v>1802.3093623021282</v>
      </c>
      <c r="N41" s="104">
        <f t="shared" si="16"/>
        <v>78.361276621831664</v>
      </c>
      <c r="O41" s="106">
        <f t="shared" si="17"/>
        <v>0</v>
      </c>
      <c r="P41" s="107">
        <f t="shared" si="18"/>
        <v>-8.5952451172987736</v>
      </c>
      <c r="Q41" s="108">
        <f t="shared" si="19"/>
        <v>0.90115468115106412</v>
      </c>
      <c r="R41" s="308"/>
      <c r="S41" s="46">
        <v>0.35694444444444445</v>
      </c>
      <c r="T41" s="47">
        <v>0.4173263888888889</v>
      </c>
      <c r="U41" s="109">
        <v>5</v>
      </c>
      <c r="V41" s="110">
        <v>86.955105087962366</v>
      </c>
      <c r="W41" s="111"/>
      <c r="X41" s="114"/>
      <c r="Y41" s="12"/>
      <c r="Z41" s="196"/>
      <c r="AA41" s="299"/>
      <c r="AB41" s="300"/>
      <c r="AC41" s="12"/>
      <c r="AD41" s="196"/>
      <c r="AE41" s="115">
        <f t="shared" si="20"/>
        <v>-197.69063769787181</v>
      </c>
      <c r="AF41" s="108">
        <f t="shared" si="21"/>
        <v>0.90115468115106412</v>
      </c>
      <c r="AG41" s="313"/>
    </row>
    <row r="42" spans="1:33" ht="15.75" customHeight="1">
      <c r="A42" s="316"/>
      <c r="B42" s="161" t="s">
        <v>171</v>
      </c>
      <c r="C42" s="297" t="s">
        <v>211</v>
      </c>
      <c r="D42" s="298"/>
      <c r="E42" s="99">
        <v>69.260000000000005</v>
      </c>
      <c r="F42" s="100">
        <v>455</v>
      </c>
      <c r="G42" s="101">
        <f t="shared" si="22"/>
        <v>31513.300000000003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3"/>
        <v>1802.715193559789</v>
      </c>
      <c r="N42" s="104">
        <f t="shared" si="16"/>
        <v>75.113133064991203</v>
      </c>
      <c r="O42" s="106">
        <f t="shared" si="17"/>
        <v>0</v>
      </c>
      <c r="P42" s="107">
        <f t="shared" si="18"/>
        <v>-8.2202002683421256</v>
      </c>
      <c r="Q42" s="108">
        <f t="shared" si="19"/>
        <v>0.90135759677989447</v>
      </c>
      <c r="R42" s="308"/>
      <c r="S42" s="46">
        <v>0.4201388888888889</v>
      </c>
      <c r="T42" s="47">
        <v>0.43064814814814817</v>
      </c>
      <c r="U42" s="109">
        <v>5</v>
      </c>
      <c r="V42" s="110">
        <v>15.14382310501926</v>
      </c>
      <c r="W42" s="111"/>
      <c r="X42" s="114"/>
      <c r="Y42" s="12"/>
      <c r="Z42" s="196"/>
      <c r="AA42" s="299"/>
      <c r="AB42" s="300"/>
      <c r="AC42" s="12"/>
      <c r="AD42" s="196"/>
      <c r="AE42" s="115">
        <f t="shared" si="20"/>
        <v>-197.28480644021101</v>
      </c>
      <c r="AF42" s="108">
        <f t="shared" si="21"/>
        <v>0.90135759677989447</v>
      </c>
      <c r="AG42" s="313"/>
    </row>
    <row r="43" spans="1:33" ht="15.75" customHeight="1">
      <c r="A43" s="316"/>
      <c r="B43" s="161" t="s">
        <v>171</v>
      </c>
      <c r="C43" s="297" t="s">
        <v>206</v>
      </c>
      <c r="D43" s="298"/>
      <c r="E43" s="99">
        <v>63.92</v>
      </c>
      <c r="F43" s="100">
        <v>1445</v>
      </c>
      <c r="G43" s="101">
        <f t="shared" si="22"/>
        <v>92364.400000000009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 t="shared" si="23"/>
        <v>1809.9054383674854</v>
      </c>
      <c r="N43" s="104">
        <f t="shared" si="16"/>
        <v>75.412726598645222</v>
      </c>
      <c r="O43" s="106">
        <f t="shared" si="17"/>
        <v>0</v>
      </c>
      <c r="P43" s="107">
        <f t="shared" si="18"/>
        <v>-7.9206067346881071</v>
      </c>
      <c r="Q43" s="108">
        <f t="shared" si="19"/>
        <v>0.90495271918374276</v>
      </c>
      <c r="R43" s="308"/>
      <c r="S43" s="46">
        <v>0.43472222222222223</v>
      </c>
      <c r="T43" s="47">
        <v>0.4679861111111111</v>
      </c>
      <c r="U43" s="109">
        <v>5.8666666666666512</v>
      </c>
      <c r="V43" s="110">
        <v>47.903055133202116</v>
      </c>
      <c r="W43" s="111">
        <v>0.4679861111111111</v>
      </c>
      <c r="X43" s="114">
        <v>0.50694444444444442</v>
      </c>
      <c r="Y43" s="12"/>
      <c r="Z43" s="196"/>
      <c r="AA43" s="299"/>
      <c r="AB43" s="300"/>
      <c r="AC43" s="12"/>
      <c r="AD43" s="196"/>
      <c r="AE43" s="115">
        <f t="shared" si="20"/>
        <v>-190.09456163251457</v>
      </c>
      <c r="AF43" s="108">
        <f t="shared" si="21"/>
        <v>0.90495271918374276</v>
      </c>
      <c r="AG43" s="313"/>
    </row>
    <row r="44" spans="1:33" ht="15.75" customHeight="1">
      <c r="A44" s="316"/>
      <c r="B44" s="161" t="s">
        <v>171</v>
      </c>
      <c r="C44" s="297" t="s">
        <v>200</v>
      </c>
      <c r="D44" s="298"/>
      <c r="E44" s="99">
        <v>61.09</v>
      </c>
      <c r="F44" s="100">
        <v>1936</v>
      </c>
      <c r="G44" s="119">
        <f t="shared" si="22"/>
        <v>118270.24</v>
      </c>
      <c r="H44" s="120"/>
      <c r="I44" s="102">
        <v>20</v>
      </c>
      <c r="J44" s="103">
        <v>2000</v>
      </c>
      <c r="K44" s="104">
        <f t="shared" si="1"/>
        <v>100</v>
      </c>
      <c r="L44" s="105">
        <v>20</v>
      </c>
      <c r="M44" s="103">
        <f t="shared" si="23"/>
        <v>1805.4426614057966</v>
      </c>
      <c r="N44" s="104">
        <f t="shared" si="16"/>
        <v>90.272133070289826</v>
      </c>
      <c r="O44" s="106">
        <f t="shared" si="17"/>
        <v>0</v>
      </c>
      <c r="P44" s="107">
        <f t="shared" si="18"/>
        <v>-9.7278669297101743</v>
      </c>
      <c r="Q44" s="108">
        <f t="shared" si="19"/>
        <v>0.90272133070289828</v>
      </c>
      <c r="R44" s="308"/>
      <c r="S44" s="46">
        <v>0.50694444444444442</v>
      </c>
      <c r="T44" s="118">
        <v>0.55162037037037037</v>
      </c>
      <c r="U44" s="109">
        <v>56.09999999999998</v>
      </c>
      <c r="V44" s="110">
        <v>64.338792077480178</v>
      </c>
      <c r="W44" s="111"/>
      <c r="X44" s="114"/>
      <c r="Y44" s="12"/>
      <c r="Z44" s="196"/>
      <c r="AA44" s="299"/>
      <c r="AB44" s="300"/>
      <c r="AC44" s="12"/>
      <c r="AD44" s="196"/>
      <c r="AE44" s="115">
        <f t="shared" si="20"/>
        <v>-194.55733859420343</v>
      </c>
      <c r="AF44" s="108">
        <f t="shared" si="21"/>
        <v>0.90272133070289828</v>
      </c>
      <c r="AG44" s="313"/>
    </row>
    <row r="45" spans="1:33" ht="15.75" customHeight="1">
      <c r="A45" s="316"/>
      <c r="B45" s="161"/>
      <c r="C45" s="297"/>
      <c r="D45" s="298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8"/>
      <c r="S45" s="117"/>
      <c r="T45" s="118"/>
      <c r="U45" s="109"/>
      <c r="V45" s="110"/>
      <c r="W45" s="118"/>
      <c r="X45" s="187"/>
      <c r="Y45" s="12"/>
      <c r="Z45" s="196"/>
      <c r="AA45" s="299"/>
      <c r="AB45" s="300"/>
      <c r="AC45" s="12"/>
      <c r="AD45" s="196"/>
      <c r="AE45" s="115"/>
      <c r="AF45" s="108"/>
      <c r="AG45" s="313"/>
    </row>
    <row r="46" spans="1:33" ht="15.75" customHeight="1">
      <c r="A46" s="316"/>
      <c r="B46" s="161"/>
      <c r="C46" s="297"/>
      <c r="D46" s="298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8"/>
      <c r="S46" s="117"/>
      <c r="T46" s="118"/>
      <c r="U46" s="109"/>
      <c r="V46" s="110"/>
      <c r="W46" s="118"/>
      <c r="X46" s="187"/>
      <c r="Y46" s="12"/>
      <c r="Z46" s="196"/>
      <c r="AA46" s="299"/>
      <c r="AB46" s="300"/>
      <c r="AC46" s="12"/>
      <c r="AD46" s="196"/>
      <c r="AE46" s="115"/>
      <c r="AF46" s="108"/>
      <c r="AG46" s="313"/>
    </row>
    <row r="47" spans="1:33" ht="15.75" customHeight="1">
      <c r="A47" s="316"/>
      <c r="B47" s="161"/>
      <c r="C47" s="297"/>
      <c r="D47" s="298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8"/>
      <c r="S47" s="117"/>
      <c r="T47" s="118"/>
      <c r="U47" s="109"/>
      <c r="V47" s="110"/>
      <c r="W47" s="118"/>
      <c r="X47" s="187"/>
      <c r="Y47" s="12"/>
      <c r="Z47" s="196"/>
      <c r="AA47" s="299"/>
      <c r="AB47" s="300"/>
      <c r="AC47" s="12"/>
      <c r="AD47" s="196"/>
      <c r="AE47" s="115"/>
      <c r="AF47" s="108"/>
      <c r="AG47" s="313"/>
    </row>
    <row r="48" spans="1:33" ht="15.75" customHeight="1">
      <c r="A48" s="316"/>
      <c r="B48" s="161"/>
      <c r="C48" s="297"/>
      <c r="D48" s="298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8"/>
      <c r="S48" s="117"/>
      <c r="T48" s="118"/>
      <c r="U48" s="109"/>
      <c r="V48" s="110"/>
      <c r="W48" s="118"/>
      <c r="X48" s="187"/>
      <c r="Y48" s="12"/>
      <c r="Z48" s="196"/>
      <c r="AA48" s="299"/>
      <c r="AB48" s="300"/>
      <c r="AC48" s="12"/>
      <c r="AD48" s="196"/>
      <c r="AE48" s="115"/>
      <c r="AF48" s="108"/>
      <c r="AG48" s="313"/>
    </row>
    <row r="49" spans="1:33" ht="15.75" customHeight="1">
      <c r="A49" s="316"/>
      <c r="B49" s="161"/>
      <c r="C49" s="297"/>
      <c r="D49" s="298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8"/>
      <c r="S49" s="117"/>
      <c r="T49" s="118"/>
      <c r="U49" s="109"/>
      <c r="V49" s="110"/>
      <c r="W49" s="118"/>
      <c r="X49" s="187"/>
      <c r="Y49" s="12"/>
      <c r="Z49" s="196"/>
      <c r="AA49" s="299"/>
      <c r="AB49" s="300"/>
      <c r="AC49" s="12"/>
      <c r="AD49" s="196"/>
      <c r="AE49" s="115"/>
      <c r="AF49" s="108"/>
      <c r="AG49" s="313"/>
    </row>
    <row r="50" spans="1:33" ht="15.75" customHeight="1">
      <c r="A50" s="316"/>
      <c r="B50" s="161"/>
      <c r="C50" s="297"/>
      <c r="D50" s="298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8"/>
      <c r="S50" s="117"/>
      <c r="T50" s="118"/>
      <c r="U50" s="109"/>
      <c r="V50" s="110"/>
      <c r="W50" s="118"/>
      <c r="X50" s="187"/>
      <c r="Y50" s="12"/>
      <c r="Z50" s="196"/>
      <c r="AA50" s="299"/>
      <c r="AB50" s="300"/>
      <c r="AC50" s="12"/>
      <c r="AD50" s="196"/>
      <c r="AE50" s="115"/>
      <c r="AF50" s="108"/>
      <c r="AG50" s="313"/>
    </row>
    <row r="51" spans="1:33" ht="15.75" customHeight="1">
      <c r="A51" s="316"/>
      <c r="B51" s="161"/>
      <c r="C51" s="297"/>
      <c r="D51" s="298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8"/>
      <c r="S51" s="117"/>
      <c r="T51" s="118"/>
      <c r="U51" s="109"/>
      <c r="V51" s="110"/>
      <c r="W51" s="118"/>
      <c r="X51" s="187"/>
      <c r="Y51" s="12"/>
      <c r="Z51" s="196"/>
      <c r="AA51" s="299"/>
      <c r="AB51" s="300"/>
      <c r="AC51" s="12"/>
      <c r="AD51" s="196"/>
      <c r="AE51" s="115"/>
      <c r="AF51" s="108"/>
      <c r="AG51" s="313"/>
    </row>
    <row r="52" spans="1:33" ht="15.75" customHeight="1">
      <c r="A52" s="316"/>
      <c r="B52" s="161"/>
      <c r="C52" s="297"/>
      <c r="D52" s="298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8"/>
      <c r="S52" s="117"/>
      <c r="T52" s="118"/>
      <c r="U52" s="109"/>
      <c r="V52" s="110"/>
      <c r="W52" s="118"/>
      <c r="X52" s="187"/>
      <c r="Y52" s="12"/>
      <c r="Z52" s="196"/>
      <c r="AA52" s="299"/>
      <c r="AB52" s="300"/>
      <c r="AC52" s="12"/>
      <c r="AD52" s="196"/>
      <c r="AE52" s="115"/>
      <c r="AF52" s="108"/>
      <c r="AG52" s="313"/>
    </row>
    <row r="53" spans="1:33" ht="15.75" customHeight="1">
      <c r="A53" s="316"/>
      <c r="B53" s="161"/>
      <c r="C53" s="297"/>
      <c r="D53" s="298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8"/>
      <c r="S53" s="117"/>
      <c r="T53" s="118"/>
      <c r="U53" s="109"/>
      <c r="V53" s="110"/>
      <c r="W53" s="118"/>
      <c r="X53" s="187"/>
      <c r="Y53" s="12"/>
      <c r="Z53" s="196"/>
      <c r="AA53" s="299"/>
      <c r="AB53" s="300"/>
      <c r="AC53" s="12"/>
      <c r="AD53" s="196"/>
      <c r="AE53" s="115"/>
      <c r="AF53" s="108"/>
      <c r="AG53" s="313"/>
    </row>
    <row r="54" spans="1:33" ht="15.75" customHeight="1">
      <c r="A54" s="316"/>
      <c r="B54" s="161"/>
      <c r="C54" s="297"/>
      <c r="D54" s="298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8"/>
      <c r="S54" s="117"/>
      <c r="T54" s="118"/>
      <c r="U54" s="128"/>
      <c r="V54" s="129"/>
      <c r="W54" s="124"/>
      <c r="X54" s="125"/>
      <c r="Y54" s="12"/>
      <c r="Z54" s="196"/>
      <c r="AA54" s="299"/>
      <c r="AB54" s="300"/>
      <c r="AC54" s="12"/>
      <c r="AD54" s="196"/>
      <c r="AE54" s="163"/>
      <c r="AF54" s="123"/>
      <c r="AG54" s="313"/>
    </row>
    <row r="55" spans="1:33" ht="15.75" customHeight="1" thickBot="1">
      <c r="A55" s="317"/>
      <c r="B55" s="131" t="s">
        <v>115</v>
      </c>
      <c r="C55" s="294"/>
      <c r="D55" s="294"/>
      <c r="E55" s="132"/>
      <c r="F55" s="165"/>
      <c r="G55" s="133"/>
      <c r="H55" s="67"/>
      <c r="I55" s="134">
        <f t="shared" ref="I55:J55" si="24">AVERAGE(I39:I54)</f>
        <v>22.666666666666668</v>
      </c>
      <c r="J55" s="135">
        <f t="shared" si="24"/>
        <v>2000</v>
      </c>
      <c r="K55" s="136">
        <f t="shared" ref="K55:K59" si="25">J55/I55</f>
        <v>88.235294117647058</v>
      </c>
      <c r="L55" s="134">
        <f t="shared" ref="L55:M55" si="26">AVERAGE(L39:L54)</f>
        <v>22.666666666666668</v>
      </c>
      <c r="M55" s="135">
        <f t="shared" si="26"/>
        <v>1805.9031061766261</v>
      </c>
      <c r="N55" s="136">
        <f>M55/L55</f>
        <v>79.672195860733495</v>
      </c>
      <c r="O55" s="137">
        <f>L55-I55</f>
        <v>0</v>
      </c>
      <c r="P55" s="138">
        <f>N55-K55</f>
        <v>-8.5630982569135625</v>
      </c>
      <c r="Q55" s="139">
        <f>N55/K55</f>
        <v>0.90295155308831299</v>
      </c>
      <c r="R55" s="309"/>
      <c r="S55" s="140">
        <v>0.25</v>
      </c>
      <c r="T55" s="141">
        <v>0.55162037037037037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5"/>
      <c r="AB55" s="296"/>
      <c r="AC55" s="177">
        <f>SUM(AC39:AC54)</f>
        <v>0</v>
      </c>
      <c r="AD55" s="189">
        <f>SUM(AD39:AD54)</f>
        <v>0</v>
      </c>
      <c r="AE55" s="166">
        <f>M55-J55</f>
        <v>-194.09689382337388</v>
      </c>
      <c r="AF55" s="139">
        <f>M55/J55</f>
        <v>0.9029515530883131</v>
      </c>
      <c r="AG55" s="314"/>
    </row>
    <row r="56" spans="1:33" ht="15.75" customHeight="1">
      <c r="A56" s="301" t="s">
        <v>116</v>
      </c>
      <c r="B56" s="98" t="s">
        <v>188</v>
      </c>
      <c r="C56" s="297" t="s">
        <v>222</v>
      </c>
      <c r="D56" s="298"/>
      <c r="E56" s="99">
        <v>22.83</v>
      </c>
      <c r="F56" s="100">
        <v>985</v>
      </c>
      <c r="G56" s="119">
        <f t="shared" ref="G56:G59" si="27">E56*F56</f>
        <v>22487.55</v>
      </c>
      <c r="H56" s="60"/>
      <c r="I56" s="102">
        <v>6</v>
      </c>
      <c r="J56" s="103">
        <v>2500</v>
      </c>
      <c r="K56" s="104">
        <f t="shared" si="25"/>
        <v>416.66666666666669</v>
      </c>
      <c r="L56" s="105">
        <v>6</v>
      </c>
      <c r="M56" s="103">
        <f>F56/V56*60</f>
        <v>2265.0449247448337</v>
      </c>
      <c r="N56" s="104">
        <f>M56/L56</f>
        <v>377.50748745747228</v>
      </c>
      <c r="O56" s="121">
        <f>L56-I56</f>
        <v>0</v>
      </c>
      <c r="P56" s="122">
        <f>N56-K56</f>
        <v>-39.159179209194406</v>
      </c>
      <c r="Q56" s="123">
        <f>N56/K56</f>
        <v>0.90601796989793348</v>
      </c>
      <c r="R56" s="307">
        <f>Q72</f>
        <v>0.89220683590011218</v>
      </c>
      <c r="S56" s="46">
        <v>0.35624999999999984</v>
      </c>
      <c r="T56" s="118">
        <v>0.37436342592592575</v>
      </c>
      <c r="U56" s="109">
        <v>4.9666666666665904</v>
      </c>
      <c r="V56" s="110">
        <v>26.092197710673595</v>
      </c>
      <c r="W56" s="111"/>
      <c r="X56" s="114"/>
      <c r="Y56" s="12"/>
      <c r="Z56" s="196"/>
      <c r="AA56" s="310"/>
      <c r="AB56" s="311"/>
      <c r="AC56" s="12"/>
      <c r="AD56" s="196"/>
      <c r="AE56" s="113">
        <f>M56-J56</f>
        <v>-234.95507525516632</v>
      </c>
      <c r="AF56" s="154">
        <f>M56/J56</f>
        <v>0.90601796989793348</v>
      </c>
      <c r="AG56" s="312">
        <f>AF72</f>
        <v>0.89220683590011218</v>
      </c>
    </row>
    <row r="57" spans="1:33" ht="15.75" customHeight="1">
      <c r="A57" s="302"/>
      <c r="B57" s="98" t="s">
        <v>188</v>
      </c>
      <c r="C57" s="297" t="s">
        <v>214</v>
      </c>
      <c r="D57" s="298"/>
      <c r="E57" s="99">
        <v>23.19</v>
      </c>
      <c r="F57" s="100">
        <v>499</v>
      </c>
      <c r="G57" s="119">
        <f t="shared" si="27"/>
        <v>11571.810000000001</v>
      </c>
      <c r="H57" s="60"/>
      <c r="I57" s="102">
        <v>6</v>
      </c>
      <c r="J57" s="103">
        <v>2500</v>
      </c>
      <c r="K57" s="104">
        <f t="shared" si="25"/>
        <v>416.66666666666669</v>
      </c>
      <c r="L57" s="116">
        <v>6</v>
      </c>
      <c r="M57" s="103">
        <f>F57/V57*60</f>
        <v>2265.838525943926</v>
      </c>
      <c r="N57" s="104">
        <f>M57/L57</f>
        <v>377.63975432398769</v>
      </c>
      <c r="O57" s="121">
        <f>L57-I57</f>
        <v>0</v>
      </c>
      <c r="P57" s="122">
        <f>N57-K57</f>
        <v>-39.026912342678997</v>
      </c>
      <c r="Q57" s="123">
        <f>N57/K57</f>
        <v>0.90633541037757037</v>
      </c>
      <c r="R57" s="308"/>
      <c r="S57" s="46">
        <v>0.37847222222222204</v>
      </c>
      <c r="T57" s="118">
        <v>0.3876388888888887</v>
      </c>
      <c r="U57" s="109">
        <v>5.916666666666659</v>
      </c>
      <c r="V57" s="110">
        <v>13.213651218825177</v>
      </c>
      <c r="W57" s="111"/>
      <c r="X57" s="114"/>
      <c r="Y57" s="12"/>
      <c r="Z57" s="196"/>
      <c r="AA57" s="299"/>
      <c r="AB57" s="300"/>
      <c r="AC57" s="12"/>
      <c r="AD57" s="196"/>
      <c r="AE57" s="115">
        <f>M57-J57</f>
        <v>-234.16147405607398</v>
      </c>
      <c r="AF57" s="108">
        <f>M57/J57</f>
        <v>0.90633541037757037</v>
      </c>
      <c r="AG57" s="313"/>
    </row>
    <row r="58" spans="1:33" ht="15.75" customHeight="1">
      <c r="A58" s="302"/>
      <c r="B58" s="98" t="s">
        <v>188</v>
      </c>
      <c r="C58" s="297" t="s">
        <v>215</v>
      </c>
      <c r="D58" s="298"/>
      <c r="E58" s="99">
        <v>35.89</v>
      </c>
      <c r="F58" s="100">
        <v>1348</v>
      </c>
      <c r="G58" s="119">
        <f t="shared" si="27"/>
        <v>48379.72</v>
      </c>
      <c r="H58" s="60"/>
      <c r="I58" s="102">
        <v>5</v>
      </c>
      <c r="J58" s="103">
        <v>3273</v>
      </c>
      <c r="K58" s="104">
        <f t="shared" si="25"/>
        <v>654.6</v>
      </c>
      <c r="L58" s="116">
        <v>5</v>
      </c>
      <c r="M58" s="103">
        <f>F58/V58*60</f>
        <v>2958.596339187297</v>
      </c>
      <c r="N58" s="104">
        <f>M58/L58</f>
        <v>591.71926783745937</v>
      </c>
      <c r="O58" s="121">
        <f>L58-I58</f>
        <v>0</v>
      </c>
      <c r="P58" s="122">
        <f>N58-K58</f>
        <v>-62.880732162540653</v>
      </c>
      <c r="Q58" s="123">
        <f>N58/K58</f>
        <v>0.90394021973336292</v>
      </c>
      <c r="R58" s="308"/>
      <c r="S58" s="46">
        <v>0.39097222222222205</v>
      </c>
      <c r="T58" s="118">
        <v>0.40995370370370354</v>
      </c>
      <c r="U58" s="109">
        <v>4.8000000000000309</v>
      </c>
      <c r="V58" s="110">
        <v>27.337287932363594</v>
      </c>
      <c r="W58" s="111"/>
      <c r="X58" s="125"/>
      <c r="Y58" s="12"/>
      <c r="Z58" s="196"/>
      <c r="AA58" s="299"/>
      <c r="AB58" s="300"/>
      <c r="AC58" s="12"/>
      <c r="AD58" s="196"/>
      <c r="AE58" s="115">
        <f>M58-J58</f>
        <v>-314.40366081270304</v>
      </c>
      <c r="AF58" s="108">
        <f>M58/J58</f>
        <v>0.90394021973336292</v>
      </c>
      <c r="AG58" s="313"/>
    </row>
    <row r="59" spans="1:33" ht="15.75" customHeight="1">
      <c r="A59" s="302"/>
      <c r="B59" s="98" t="s">
        <v>188</v>
      </c>
      <c r="C59" s="297" t="s">
        <v>233</v>
      </c>
      <c r="D59" s="298"/>
      <c r="E59" s="99">
        <v>30.84</v>
      </c>
      <c r="F59" s="100">
        <v>4187</v>
      </c>
      <c r="G59" s="119">
        <f t="shared" si="27"/>
        <v>129127.08</v>
      </c>
      <c r="H59" s="60"/>
      <c r="I59" s="102">
        <v>6</v>
      </c>
      <c r="J59" s="103">
        <v>3273</v>
      </c>
      <c r="K59" s="104">
        <f t="shared" si="25"/>
        <v>545.5</v>
      </c>
      <c r="L59" s="116">
        <v>6</v>
      </c>
      <c r="M59" s="103">
        <f>F59/V59*60</f>
        <v>2811.9403374266394</v>
      </c>
      <c r="N59" s="104">
        <f>M59/L59</f>
        <v>468.6567229044399</v>
      </c>
      <c r="O59" s="121">
        <f>L59-I59</f>
        <v>0</v>
      </c>
      <c r="P59" s="122">
        <f>N59-K59</f>
        <v>-76.843277095560097</v>
      </c>
      <c r="Q59" s="123">
        <f>N59/K59</f>
        <v>0.85913239762500437</v>
      </c>
      <c r="R59" s="308"/>
      <c r="S59" s="46">
        <v>0.4138888888888887</v>
      </c>
      <c r="T59" s="118">
        <v>0.47592592592592575</v>
      </c>
      <c r="U59" s="109">
        <v>5.6666666666666199</v>
      </c>
      <c r="V59" s="110">
        <v>89.340444623339764</v>
      </c>
      <c r="W59" s="111"/>
      <c r="X59" s="125"/>
      <c r="Y59" s="12"/>
      <c r="Z59" s="196"/>
      <c r="AA59" s="299"/>
      <c r="AB59" s="300"/>
      <c r="AC59" s="12"/>
      <c r="AD59" s="196"/>
      <c r="AE59" s="115">
        <f>M59-J59</f>
        <v>-461.05966257336058</v>
      </c>
      <c r="AF59" s="108">
        <f>M59/J59</f>
        <v>0.85913239762500437</v>
      </c>
      <c r="AG59" s="313"/>
    </row>
    <row r="60" spans="1:33" ht="15.75" customHeight="1">
      <c r="A60" s="303"/>
      <c r="B60" s="98"/>
      <c r="C60" s="297"/>
      <c r="D60" s="298"/>
      <c r="E60" s="99"/>
      <c r="F60" s="100"/>
      <c r="G60" s="101"/>
      <c r="H60" s="13"/>
      <c r="I60" s="102"/>
      <c r="J60" s="103"/>
      <c r="K60" s="104"/>
      <c r="L60" s="105"/>
      <c r="M60" s="103"/>
      <c r="N60" s="104"/>
      <c r="O60" s="106"/>
      <c r="P60" s="107"/>
      <c r="Q60" s="108"/>
      <c r="R60" s="308"/>
      <c r="S60" s="46"/>
      <c r="T60" s="47"/>
      <c r="U60" s="109"/>
      <c r="V60" s="110"/>
      <c r="W60" s="111"/>
      <c r="X60" s="114"/>
      <c r="Y60" s="12"/>
      <c r="Z60" s="196"/>
      <c r="AA60" s="299"/>
      <c r="AB60" s="300"/>
      <c r="AC60" s="12"/>
      <c r="AD60" s="196"/>
      <c r="AE60" s="115"/>
      <c r="AF60" s="108"/>
      <c r="AG60" s="313"/>
    </row>
    <row r="61" spans="1:33" ht="15.75" customHeight="1">
      <c r="A61" s="303"/>
      <c r="B61" s="98"/>
      <c r="C61" s="297"/>
      <c r="D61" s="298"/>
      <c r="E61" s="99"/>
      <c r="F61" s="100"/>
      <c r="G61" s="119"/>
      <c r="H61" s="120"/>
      <c r="I61" s="102"/>
      <c r="J61" s="103"/>
      <c r="K61" s="104"/>
      <c r="L61" s="105"/>
      <c r="M61" s="103"/>
      <c r="N61" s="104"/>
      <c r="O61" s="106"/>
      <c r="P61" s="107"/>
      <c r="Q61" s="108"/>
      <c r="R61" s="308"/>
      <c r="S61" s="46"/>
      <c r="T61" s="118"/>
      <c r="U61" s="109"/>
      <c r="V61" s="110"/>
      <c r="W61" s="111"/>
      <c r="X61" s="114"/>
      <c r="Y61" s="12"/>
      <c r="Z61" s="196"/>
      <c r="AA61" s="299"/>
      <c r="AB61" s="300"/>
      <c r="AC61" s="12"/>
      <c r="AD61" s="196"/>
      <c r="AE61" s="115"/>
      <c r="AF61" s="108"/>
      <c r="AG61" s="313"/>
    </row>
    <row r="62" spans="1:33" ht="15.75" customHeight="1">
      <c r="A62" s="303"/>
      <c r="B62" s="98"/>
      <c r="C62" s="297"/>
      <c r="D62" s="298"/>
      <c r="E62" s="99"/>
      <c r="F62" s="100"/>
      <c r="G62" s="119"/>
      <c r="H62" s="60"/>
      <c r="I62" s="102"/>
      <c r="J62" s="103"/>
      <c r="K62" s="104"/>
      <c r="L62" s="105"/>
      <c r="M62" s="103"/>
      <c r="N62" s="104"/>
      <c r="O62" s="121"/>
      <c r="P62" s="122"/>
      <c r="Q62" s="123"/>
      <c r="R62" s="308"/>
      <c r="S62" s="46"/>
      <c r="T62" s="118"/>
      <c r="U62" s="109"/>
      <c r="V62" s="110"/>
      <c r="W62" s="111"/>
      <c r="X62" s="114"/>
      <c r="Y62" s="12"/>
      <c r="Z62" s="196"/>
      <c r="AA62" s="299"/>
      <c r="AB62" s="300"/>
      <c r="AC62" s="12"/>
      <c r="AD62" s="196"/>
      <c r="AE62" s="115"/>
      <c r="AF62" s="108"/>
      <c r="AG62" s="313"/>
    </row>
    <row r="63" spans="1:33" ht="15.75" customHeight="1">
      <c r="A63" s="303"/>
      <c r="B63" s="98"/>
      <c r="C63" s="297"/>
      <c r="D63" s="298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08"/>
      <c r="S63" s="46"/>
      <c r="T63" s="118"/>
      <c r="U63" s="109"/>
      <c r="V63" s="110"/>
      <c r="W63" s="111"/>
      <c r="X63" s="114"/>
      <c r="Y63" s="12"/>
      <c r="Z63" s="196"/>
      <c r="AA63" s="299"/>
      <c r="AB63" s="300"/>
      <c r="AC63" s="12"/>
      <c r="AD63" s="196"/>
      <c r="AE63" s="115"/>
      <c r="AF63" s="108"/>
      <c r="AG63" s="313"/>
    </row>
    <row r="64" spans="1:33" ht="15.75" customHeight="1">
      <c r="A64" s="303"/>
      <c r="B64" s="98"/>
      <c r="C64" s="297"/>
      <c r="D64" s="298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8"/>
      <c r="S64" s="46"/>
      <c r="T64" s="118"/>
      <c r="U64" s="109"/>
      <c r="V64" s="110"/>
      <c r="W64" s="111"/>
      <c r="X64" s="125"/>
      <c r="Y64" s="12"/>
      <c r="Z64" s="196"/>
      <c r="AA64" s="299"/>
      <c r="AB64" s="300"/>
      <c r="AC64" s="12"/>
      <c r="AD64" s="196"/>
      <c r="AE64" s="115"/>
      <c r="AF64" s="108"/>
      <c r="AG64" s="313"/>
    </row>
    <row r="65" spans="1:33" ht="15.75" customHeight="1">
      <c r="A65" s="303"/>
      <c r="B65" s="98"/>
      <c r="C65" s="297"/>
      <c r="D65" s="298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8"/>
      <c r="S65" s="46"/>
      <c r="T65" s="118"/>
      <c r="U65" s="109"/>
      <c r="V65" s="110"/>
      <c r="W65" s="111"/>
      <c r="X65" s="125"/>
      <c r="Y65" s="12"/>
      <c r="Z65" s="196"/>
      <c r="AA65" s="299"/>
      <c r="AB65" s="300"/>
      <c r="AC65" s="12"/>
      <c r="AD65" s="196"/>
      <c r="AE65" s="115"/>
      <c r="AF65" s="108"/>
      <c r="AG65" s="313"/>
    </row>
    <row r="66" spans="1:33" ht="15.75" customHeight="1">
      <c r="A66" s="303"/>
      <c r="B66" s="98"/>
      <c r="C66" s="297"/>
      <c r="D66" s="298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8"/>
      <c r="S66" s="46"/>
      <c r="T66" s="118"/>
      <c r="U66" s="109"/>
      <c r="V66" s="110"/>
      <c r="W66" s="111"/>
      <c r="X66" s="125"/>
      <c r="Y66" s="12"/>
      <c r="Z66" s="196"/>
      <c r="AA66" s="299"/>
      <c r="AB66" s="300"/>
      <c r="AC66" s="12"/>
      <c r="AD66" s="196"/>
      <c r="AE66" s="115"/>
      <c r="AF66" s="108"/>
      <c r="AG66" s="313"/>
    </row>
    <row r="67" spans="1:33" ht="15.75" customHeight="1">
      <c r="A67" s="303"/>
      <c r="B67" s="98"/>
      <c r="C67" s="297"/>
      <c r="D67" s="298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8"/>
      <c r="S67" s="46"/>
      <c r="T67" s="118"/>
      <c r="U67" s="109"/>
      <c r="V67" s="110"/>
      <c r="W67" s="111"/>
      <c r="X67" s="125"/>
      <c r="Y67" s="12"/>
      <c r="Z67" s="196"/>
      <c r="AA67" s="299"/>
      <c r="AB67" s="300"/>
      <c r="AC67" s="12"/>
      <c r="AD67" s="196"/>
      <c r="AE67" s="115"/>
      <c r="AF67" s="108"/>
      <c r="AG67" s="313"/>
    </row>
    <row r="68" spans="1:33" ht="15.75" customHeight="1">
      <c r="A68" s="303"/>
      <c r="B68" s="98"/>
      <c r="C68" s="297"/>
      <c r="D68" s="298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8"/>
      <c r="S68" s="46"/>
      <c r="T68" s="118"/>
      <c r="U68" s="109"/>
      <c r="V68" s="110"/>
      <c r="W68" s="111"/>
      <c r="X68" s="125"/>
      <c r="Y68" s="12"/>
      <c r="Z68" s="196"/>
      <c r="AA68" s="299"/>
      <c r="AB68" s="300"/>
      <c r="AC68" s="12"/>
      <c r="AD68" s="196"/>
      <c r="AE68" s="115"/>
      <c r="AF68" s="108"/>
      <c r="AG68" s="313"/>
    </row>
    <row r="69" spans="1:33" ht="15.75" customHeight="1">
      <c r="A69" s="303"/>
      <c r="B69" s="98"/>
      <c r="C69" s="297"/>
      <c r="D69" s="298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8"/>
      <c r="S69" s="46"/>
      <c r="T69" s="118"/>
      <c r="U69" s="109"/>
      <c r="V69" s="110"/>
      <c r="W69" s="111"/>
      <c r="X69" s="125"/>
      <c r="Y69" s="12"/>
      <c r="Z69" s="196"/>
      <c r="AA69" s="299"/>
      <c r="AB69" s="300"/>
      <c r="AC69" s="12"/>
      <c r="AD69" s="196"/>
      <c r="AE69" s="115"/>
      <c r="AF69" s="108"/>
      <c r="AG69" s="313"/>
    </row>
    <row r="70" spans="1:33" ht="15.75" customHeight="1">
      <c r="A70" s="303"/>
      <c r="B70" s="98"/>
      <c r="C70" s="297"/>
      <c r="D70" s="298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8"/>
      <c r="S70" s="46"/>
      <c r="T70" s="118"/>
      <c r="U70" s="109"/>
      <c r="V70" s="110"/>
      <c r="W70" s="111"/>
      <c r="X70" s="125"/>
      <c r="Y70" s="12"/>
      <c r="Z70" s="196"/>
      <c r="AA70" s="299"/>
      <c r="AB70" s="300"/>
      <c r="AC70" s="12"/>
      <c r="AD70" s="196"/>
      <c r="AE70" s="115"/>
      <c r="AF70" s="108"/>
      <c r="AG70" s="313"/>
    </row>
    <row r="71" spans="1:33" ht="15.75" customHeight="1">
      <c r="A71" s="303"/>
      <c r="B71" s="161"/>
      <c r="C71" s="297"/>
      <c r="D71" s="298"/>
      <c r="E71" s="162"/>
      <c r="F71" s="126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8"/>
      <c r="S71" s="117"/>
      <c r="T71" s="118"/>
      <c r="U71" s="128"/>
      <c r="V71" s="129"/>
      <c r="W71" s="124"/>
      <c r="X71" s="125"/>
      <c r="Y71" s="12"/>
      <c r="Z71" s="196"/>
      <c r="AA71" s="299"/>
      <c r="AB71" s="300"/>
      <c r="AC71" s="12"/>
      <c r="AD71" s="196"/>
      <c r="AE71" s="163"/>
      <c r="AF71" s="123"/>
      <c r="AG71" s="313"/>
    </row>
    <row r="72" spans="1:33" ht="15.75" customHeight="1" thickBot="1">
      <c r="A72" s="304"/>
      <c r="B72" s="131" t="s">
        <v>115</v>
      </c>
      <c r="C72" s="294"/>
      <c r="D72" s="294"/>
      <c r="E72" s="132"/>
      <c r="F72" s="165"/>
      <c r="G72" s="133"/>
      <c r="H72" s="67"/>
      <c r="I72" s="134">
        <f t="shared" ref="I72:J72" si="28">AVERAGE(I56:I71)</f>
        <v>5.75</v>
      </c>
      <c r="J72" s="135">
        <f t="shared" si="28"/>
        <v>2886.5</v>
      </c>
      <c r="K72" s="136">
        <f t="shared" ref="K72" si="29">J72/I72</f>
        <v>502</v>
      </c>
      <c r="L72" s="134">
        <f t="shared" ref="L72:M72" si="30">AVERAGE(L56:L71)</f>
        <v>5.75</v>
      </c>
      <c r="M72" s="135">
        <f t="shared" si="30"/>
        <v>2575.3550318256739</v>
      </c>
      <c r="N72" s="136">
        <f>M72/L72</f>
        <v>447.88783162185632</v>
      </c>
      <c r="O72" s="137">
        <f>L72-I72</f>
        <v>0</v>
      </c>
      <c r="P72" s="138">
        <f>N72-K72</f>
        <v>-54.112168378143679</v>
      </c>
      <c r="Q72" s="139">
        <f>N72/K72</f>
        <v>0.89220683590011218</v>
      </c>
      <c r="R72" s="309"/>
      <c r="S72" s="140">
        <v>0.25</v>
      </c>
      <c r="T72" s="141">
        <v>0.47592592592592575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5"/>
      <c r="AB72" s="296"/>
      <c r="AC72" s="177">
        <f>SUM(AC56:AC71)</f>
        <v>0</v>
      </c>
      <c r="AD72" s="189">
        <f>SUM(AD56:AD71)</f>
        <v>0</v>
      </c>
      <c r="AE72" s="166">
        <f>M72-J72</f>
        <v>-311.1449681743261</v>
      </c>
      <c r="AF72" s="139">
        <f>M72/J72</f>
        <v>0.89220683590011218</v>
      </c>
      <c r="AG72" s="314"/>
    </row>
    <row r="73" spans="1:33" ht="15.75" customHeight="1">
      <c r="A73" s="315" t="s">
        <v>120</v>
      </c>
      <c r="B73" s="112" t="s">
        <v>188</v>
      </c>
      <c r="C73" s="305" t="s">
        <v>201</v>
      </c>
      <c r="D73" s="306"/>
      <c r="E73" s="145">
        <v>15.51</v>
      </c>
      <c r="F73" s="95">
        <v>1610</v>
      </c>
      <c r="G73" s="146">
        <f t="shared" ref="G73:G74" si="31">E73*F73</f>
        <v>24971.1</v>
      </c>
      <c r="H73" s="147"/>
      <c r="I73" s="148">
        <v>6</v>
      </c>
      <c r="J73" s="149">
        <v>4200</v>
      </c>
      <c r="K73" s="150">
        <f>J73/I73</f>
        <v>700</v>
      </c>
      <c r="L73" s="151">
        <v>6</v>
      </c>
      <c r="M73" s="149">
        <f>F73/V73*60</f>
        <v>3803.117689154285</v>
      </c>
      <c r="N73" s="150">
        <f>M73/L73</f>
        <v>633.85294819238084</v>
      </c>
      <c r="O73" s="152">
        <f>L73-I73</f>
        <v>0</v>
      </c>
      <c r="P73" s="153">
        <f>N73-K73</f>
        <v>-66.147051807619164</v>
      </c>
      <c r="Q73" s="154">
        <f>N73/K73</f>
        <v>0.90550421170340123</v>
      </c>
      <c r="R73" s="307">
        <f>Q89</f>
        <v>0.9057551406306209</v>
      </c>
      <c r="S73" s="155">
        <v>0.25</v>
      </c>
      <c r="T73" s="156">
        <v>0.26763888888888887</v>
      </c>
      <c r="U73" s="157"/>
      <c r="V73" s="158">
        <v>25.4002131660252</v>
      </c>
      <c r="W73" s="156"/>
      <c r="X73" s="167"/>
      <c r="Y73" s="12"/>
      <c r="Z73" s="196"/>
      <c r="AA73" s="310"/>
      <c r="AB73" s="311"/>
      <c r="AC73" s="12"/>
      <c r="AD73" s="196"/>
      <c r="AE73" s="113">
        <f>M73-J73</f>
        <v>-396.88231084571498</v>
      </c>
      <c r="AF73" s="154">
        <f>M73/J73</f>
        <v>0.90550421170340123</v>
      </c>
      <c r="AG73" s="312">
        <f>AF89</f>
        <v>0.9057551406306209</v>
      </c>
    </row>
    <row r="74" spans="1:33" ht="15.75" customHeight="1">
      <c r="A74" s="316"/>
      <c r="B74" s="98" t="s">
        <v>188</v>
      </c>
      <c r="C74" s="297" t="s">
        <v>202</v>
      </c>
      <c r="D74" s="298"/>
      <c r="E74" s="99">
        <v>15.01</v>
      </c>
      <c r="F74" s="100">
        <v>1760</v>
      </c>
      <c r="G74" s="101">
        <f t="shared" si="31"/>
        <v>26417.599999999999</v>
      </c>
      <c r="H74" s="26"/>
      <c r="I74" s="102">
        <v>6</v>
      </c>
      <c r="J74" s="103">
        <v>4200</v>
      </c>
      <c r="K74" s="104">
        <f t="shared" ref="K74" si="32">J74/I74</f>
        <v>700</v>
      </c>
      <c r="L74" s="105">
        <v>6</v>
      </c>
      <c r="M74" s="103">
        <f>F74/V74*60</f>
        <v>3805.2254921429303</v>
      </c>
      <c r="N74" s="104">
        <f>M74/L74</f>
        <v>634.20424869048838</v>
      </c>
      <c r="O74" s="106">
        <f>L74-I74</f>
        <v>0</v>
      </c>
      <c r="P74" s="107">
        <f>N74-K74</f>
        <v>-65.795751309511616</v>
      </c>
      <c r="Q74" s="108">
        <f>N74/K74</f>
        <v>0.90600606955784058</v>
      </c>
      <c r="R74" s="308"/>
      <c r="S74" s="46">
        <v>0.27083333333333331</v>
      </c>
      <c r="T74" s="47">
        <v>0.29010416666666666</v>
      </c>
      <c r="U74" s="109">
        <v>4.5999999999999996</v>
      </c>
      <c r="V74" s="110">
        <v>27.751312036052528</v>
      </c>
      <c r="W74" s="111"/>
      <c r="X74" s="13"/>
      <c r="Y74" s="12"/>
      <c r="Z74" s="196"/>
      <c r="AA74" s="299"/>
      <c r="AB74" s="300"/>
      <c r="AC74" s="12"/>
      <c r="AD74" s="196"/>
      <c r="AE74" s="115">
        <f>M74-J74</f>
        <v>-394.77450785706969</v>
      </c>
      <c r="AF74" s="108">
        <f>M74/J74</f>
        <v>0.90600606955784058</v>
      </c>
      <c r="AG74" s="313"/>
    </row>
    <row r="75" spans="1:33" ht="15.75" customHeight="1">
      <c r="A75" s="316"/>
      <c r="B75" s="98"/>
      <c r="C75" s="297"/>
      <c r="D75" s="298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8"/>
      <c r="S75" s="46"/>
      <c r="T75" s="47"/>
      <c r="U75" s="109"/>
      <c r="V75" s="110"/>
      <c r="W75" s="111"/>
      <c r="X75" s="13"/>
      <c r="Y75" s="12"/>
      <c r="Z75" s="196"/>
      <c r="AA75" s="299"/>
      <c r="AB75" s="300"/>
      <c r="AC75" s="12"/>
      <c r="AD75" s="196"/>
      <c r="AE75" s="115"/>
      <c r="AF75" s="108"/>
      <c r="AG75" s="313"/>
    </row>
    <row r="76" spans="1:33" ht="15.75" customHeight="1">
      <c r="A76" s="316"/>
      <c r="B76" s="98"/>
      <c r="C76" s="297"/>
      <c r="D76" s="298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8"/>
      <c r="S76" s="46"/>
      <c r="T76" s="47"/>
      <c r="U76" s="109"/>
      <c r="V76" s="110"/>
      <c r="W76" s="111"/>
      <c r="X76" s="114"/>
      <c r="Y76" s="12"/>
      <c r="Z76" s="196"/>
      <c r="AA76" s="299"/>
      <c r="AB76" s="300"/>
      <c r="AC76" s="12"/>
      <c r="AD76" s="196"/>
      <c r="AE76" s="115"/>
      <c r="AF76" s="108"/>
      <c r="AG76" s="313"/>
    </row>
    <row r="77" spans="1:33" ht="15.75" customHeight="1">
      <c r="A77" s="316"/>
      <c r="B77" s="98"/>
      <c r="C77" s="297"/>
      <c r="D77" s="298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8"/>
      <c r="S77" s="46"/>
      <c r="T77" s="47"/>
      <c r="U77" s="109"/>
      <c r="V77" s="110"/>
      <c r="W77" s="111"/>
      <c r="X77" s="13"/>
      <c r="Y77" s="12"/>
      <c r="Z77" s="196"/>
      <c r="AA77" s="299"/>
      <c r="AB77" s="300"/>
      <c r="AC77" s="12"/>
      <c r="AD77" s="196"/>
      <c r="AE77" s="115"/>
      <c r="AF77" s="108"/>
      <c r="AG77" s="313"/>
    </row>
    <row r="78" spans="1:33" ht="15.75" customHeight="1">
      <c r="A78" s="316"/>
      <c r="B78" s="98"/>
      <c r="C78" s="297"/>
      <c r="D78" s="298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8"/>
      <c r="S78" s="46"/>
      <c r="T78" s="118"/>
      <c r="U78" s="109"/>
      <c r="V78" s="110"/>
      <c r="W78" s="111"/>
      <c r="X78" s="49"/>
      <c r="Y78" s="12"/>
      <c r="Z78" s="196"/>
      <c r="AA78" s="299"/>
      <c r="AB78" s="300"/>
      <c r="AC78" s="12"/>
      <c r="AD78" s="196"/>
      <c r="AE78" s="115"/>
      <c r="AF78" s="108"/>
      <c r="AG78" s="313"/>
    </row>
    <row r="79" spans="1:33" ht="15.75" customHeight="1">
      <c r="A79" s="316"/>
      <c r="B79" s="98"/>
      <c r="C79" s="297"/>
      <c r="D79" s="298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8"/>
      <c r="S79" s="46"/>
      <c r="T79" s="118"/>
      <c r="U79" s="109"/>
      <c r="V79" s="110"/>
      <c r="W79" s="111"/>
      <c r="X79" s="114"/>
      <c r="Y79" s="12"/>
      <c r="Z79" s="196"/>
      <c r="AA79" s="299"/>
      <c r="AB79" s="300"/>
      <c r="AC79" s="12"/>
      <c r="AD79" s="196"/>
      <c r="AE79" s="115"/>
      <c r="AF79" s="108"/>
      <c r="AG79" s="313"/>
    </row>
    <row r="80" spans="1:33" ht="15.75" customHeight="1">
      <c r="A80" s="316"/>
      <c r="B80" s="98"/>
      <c r="C80" s="297"/>
      <c r="D80" s="298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8"/>
      <c r="S80" s="46"/>
      <c r="T80" s="118"/>
      <c r="U80" s="109"/>
      <c r="V80" s="110"/>
      <c r="W80" s="111"/>
      <c r="X80" s="114"/>
      <c r="Y80" s="12"/>
      <c r="Z80" s="196"/>
      <c r="AA80" s="299"/>
      <c r="AB80" s="300"/>
      <c r="AC80" s="12"/>
      <c r="AD80" s="196"/>
      <c r="AE80" s="115"/>
      <c r="AF80" s="108"/>
      <c r="AG80" s="313"/>
    </row>
    <row r="81" spans="1:33" ht="15.75" customHeight="1">
      <c r="A81" s="316"/>
      <c r="B81" s="98"/>
      <c r="C81" s="297"/>
      <c r="D81" s="298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8"/>
      <c r="S81" s="117"/>
      <c r="T81" s="118"/>
      <c r="U81" s="109"/>
      <c r="V81" s="129"/>
      <c r="W81" s="111"/>
      <c r="X81" s="114"/>
      <c r="Y81" s="12"/>
      <c r="Z81" s="196"/>
      <c r="AA81" s="299"/>
      <c r="AB81" s="300"/>
      <c r="AC81" s="12"/>
      <c r="AD81" s="196"/>
      <c r="AE81" s="115"/>
      <c r="AF81" s="108"/>
      <c r="AG81" s="313"/>
    </row>
    <row r="82" spans="1:33" ht="15.75" customHeight="1">
      <c r="A82" s="316"/>
      <c r="B82" s="98"/>
      <c r="C82" s="297"/>
      <c r="D82" s="298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8"/>
      <c r="S82" s="117"/>
      <c r="T82" s="118"/>
      <c r="U82" s="109"/>
      <c r="V82" s="129"/>
      <c r="W82" s="124"/>
      <c r="X82" s="125"/>
      <c r="Y82" s="12"/>
      <c r="Z82" s="196"/>
      <c r="AA82" s="299"/>
      <c r="AB82" s="300"/>
      <c r="AC82" s="12"/>
      <c r="AD82" s="196"/>
      <c r="AE82" s="115"/>
      <c r="AF82" s="108"/>
      <c r="AG82" s="313"/>
    </row>
    <row r="83" spans="1:33" ht="15.75" customHeight="1">
      <c r="A83" s="316"/>
      <c r="B83" s="98"/>
      <c r="C83" s="297"/>
      <c r="D83" s="298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8"/>
      <c r="S83" s="117"/>
      <c r="T83" s="118"/>
      <c r="U83" s="109"/>
      <c r="V83" s="129"/>
      <c r="W83" s="124"/>
      <c r="X83" s="125"/>
      <c r="Y83" s="12"/>
      <c r="Z83" s="196"/>
      <c r="AA83" s="299"/>
      <c r="AB83" s="300"/>
      <c r="AC83" s="12"/>
      <c r="AD83" s="196"/>
      <c r="AE83" s="115"/>
      <c r="AF83" s="108"/>
      <c r="AG83" s="313"/>
    </row>
    <row r="84" spans="1:33" ht="15.75" customHeight="1">
      <c r="A84" s="316"/>
      <c r="B84" s="98"/>
      <c r="C84" s="297"/>
      <c r="D84" s="298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8"/>
      <c r="S84" s="117"/>
      <c r="T84" s="118"/>
      <c r="U84" s="109"/>
      <c r="V84" s="129"/>
      <c r="W84" s="124"/>
      <c r="X84" s="125"/>
      <c r="Y84" s="12"/>
      <c r="Z84" s="196"/>
      <c r="AA84" s="299"/>
      <c r="AB84" s="300"/>
      <c r="AC84" s="12"/>
      <c r="AD84" s="196"/>
      <c r="AE84" s="115"/>
      <c r="AF84" s="108"/>
      <c r="AG84" s="313"/>
    </row>
    <row r="85" spans="1:33" ht="15.75" customHeight="1">
      <c r="A85" s="316"/>
      <c r="B85" s="98"/>
      <c r="C85" s="297"/>
      <c r="D85" s="298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8"/>
      <c r="S85" s="117"/>
      <c r="T85" s="118"/>
      <c r="U85" s="109"/>
      <c r="V85" s="129"/>
      <c r="W85" s="124"/>
      <c r="X85" s="125"/>
      <c r="Y85" s="12"/>
      <c r="Z85" s="196"/>
      <c r="AA85" s="299"/>
      <c r="AB85" s="300"/>
      <c r="AC85" s="12"/>
      <c r="AD85" s="196"/>
      <c r="AE85" s="115"/>
      <c r="AF85" s="108"/>
      <c r="AG85" s="313"/>
    </row>
    <row r="86" spans="1:33" ht="15.75" customHeight="1">
      <c r="A86" s="316"/>
      <c r="B86" s="98"/>
      <c r="C86" s="297"/>
      <c r="D86" s="298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8"/>
      <c r="S86" s="117"/>
      <c r="T86" s="118"/>
      <c r="U86" s="109"/>
      <c r="V86" s="129"/>
      <c r="W86" s="124"/>
      <c r="X86" s="125"/>
      <c r="Y86" s="12"/>
      <c r="Z86" s="196"/>
      <c r="AA86" s="299"/>
      <c r="AB86" s="300"/>
      <c r="AC86" s="12"/>
      <c r="AD86" s="196"/>
      <c r="AE86" s="115"/>
      <c r="AF86" s="108"/>
      <c r="AG86" s="313"/>
    </row>
    <row r="87" spans="1:33" ht="15.75" customHeight="1">
      <c r="A87" s="316"/>
      <c r="B87" s="98"/>
      <c r="C87" s="297"/>
      <c r="D87" s="298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8"/>
      <c r="S87" s="117"/>
      <c r="T87" s="118"/>
      <c r="U87" s="109"/>
      <c r="V87" s="129"/>
      <c r="W87" s="124"/>
      <c r="X87" s="125"/>
      <c r="Y87" s="12"/>
      <c r="Z87" s="196"/>
      <c r="AA87" s="299"/>
      <c r="AB87" s="300"/>
      <c r="AC87" s="12"/>
      <c r="AD87" s="196"/>
      <c r="AE87" s="115"/>
      <c r="AF87" s="108"/>
      <c r="AG87" s="313"/>
    </row>
    <row r="88" spans="1:33" ht="15.75" customHeight="1">
      <c r="A88" s="316"/>
      <c r="B88" s="98"/>
      <c r="C88" s="297"/>
      <c r="D88" s="298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8"/>
      <c r="S88" s="117"/>
      <c r="T88" s="118"/>
      <c r="U88" s="128"/>
      <c r="V88" s="129"/>
      <c r="W88" s="124"/>
      <c r="X88" s="125"/>
      <c r="Y88" s="12"/>
      <c r="Z88" s="196"/>
      <c r="AA88" s="299"/>
      <c r="AB88" s="300"/>
      <c r="AC88" s="12"/>
      <c r="AD88" s="196"/>
      <c r="AE88" s="163"/>
      <c r="AF88" s="123"/>
      <c r="AG88" s="313"/>
    </row>
    <row r="89" spans="1:33" ht="15.75" customHeight="1" thickBot="1">
      <c r="A89" s="317"/>
      <c r="B89" s="131" t="s">
        <v>115</v>
      </c>
      <c r="C89" s="294"/>
      <c r="D89" s="294"/>
      <c r="E89" s="132"/>
      <c r="F89" s="165"/>
      <c r="G89" s="133"/>
      <c r="H89" s="67"/>
      <c r="I89" s="134">
        <f t="shared" ref="I89:J89" si="33">AVERAGE(I73:I88)</f>
        <v>6</v>
      </c>
      <c r="J89" s="135">
        <f t="shared" si="33"/>
        <v>4200</v>
      </c>
      <c r="K89" s="136">
        <f t="shared" ref="K89" si="34">J89/I89</f>
        <v>700</v>
      </c>
      <c r="L89" s="134">
        <f t="shared" ref="L89:M89" si="35">AVERAGE(L73:L88)</f>
        <v>6</v>
      </c>
      <c r="M89" s="135">
        <f t="shared" si="35"/>
        <v>3804.1715906486079</v>
      </c>
      <c r="N89" s="136">
        <f>M89/L89</f>
        <v>634.02859844143461</v>
      </c>
      <c r="O89" s="137">
        <f>L89-I89</f>
        <v>0</v>
      </c>
      <c r="P89" s="138">
        <f>N89-K89</f>
        <v>-65.97140155856539</v>
      </c>
      <c r="Q89" s="139">
        <f>N89/K89</f>
        <v>0.9057551406306209</v>
      </c>
      <c r="R89" s="309"/>
      <c r="S89" s="140">
        <v>0.25</v>
      </c>
      <c r="T89" s="141">
        <v>0.29010416666666666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5"/>
      <c r="AB89" s="296"/>
      <c r="AC89" s="177">
        <f>SUM(AC73:AC88)</f>
        <v>0</v>
      </c>
      <c r="AD89" s="189">
        <f>SUM(AD73:AD88)</f>
        <v>0</v>
      </c>
      <c r="AE89" s="166">
        <f>M89-J89</f>
        <v>-395.82840935139211</v>
      </c>
      <c r="AF89" s="139">
        <f>M89/J89</f>
        <v>0.9057551406306209</v>
      </c>
      <c r="AG89" s="314"/>
    </row>
    <row r="90" spans="1:33" ht="15.75" customHeight="1">
      <c r="A90" s="301" t="s">
        <v>189</v>
      </c>
      <c r="B90" s="144" t="s">
        <v>169</v>
      </c>
      <c r="C90" s="305" t="s">
        <v>198</v>
      </c>
      <c r="D90" s="306"/>
      <c r="E90" s="145">
        <v>58.17</v>
      </c>
      <c r="F90" s="95">
        <v>373</v>
      </c>
      <c r="G90" s="146">
        <f t="shared" ref="G90:G92" si="36">E90*F90</f>
        <v>21697.41</v>
      </c>
      <c r="H90" s="147"/>
      <c r="I90" s="148">
        <v>18</v>
      </c>
      <c r="J90" s="149">
        <v>2000</v>
      </c>
      <c r="K90" s="150">
        <f>J90/I90</f>
        <v>111.11111111111111</v>
      </c>
      <c r="L90" s="151">
        <v>17</v>
      </c>
      <c r="M90" s="149">
        <f>F90/V90*60</f>
        <v>1805.4</v>
      </c>
      <c r="N90" s="150">
        <f>M90/L90</f>
        <v>106.2</v>
      </c>
      <c r="O90" s="152">
        <f>L90-I90</f>
        <v>-1</v>
      </c>
      <c r="P90" s="153">
        <f>N90-K90</f>
        <v>-4.9111111111111114</v>
      </c>
      <c r="Q90" s="154">
        <f>N90/K90</f>
        <v>0.95579999999999998</v>
      </c>
      <c r="R90" s="307">
        <f>Q106</f>
        <v>0.95130476190476199</v>
      </c>
      <c r="S90" s="155">
        <v>0.70833333333333337</v>
      </c>
      <c r="T90" s="156">
        <v>0.71693287037037046</v>
      </c>
      <c r="U90" s="157"/>
      <c r="V90" s="158">
        <v>12.39614489863742</v>
      </c>
      <c r="W90" s="156"/>
      <c r="X90" s="167"/>
      <c r="Y90" s="194"/>
      <c r="Z90" s="195"/>
      <c r="AA90" s="310"/>
      <c r="AB90" s="311"/>
      <c r="AC90" s="194"/>
      <c r="AD90" s="195"/>
      <c r="AE90" s="113">
        <f>M90-J90</f>
        <v>-194.59999999999991</v>
      </c>
      <c r="AF90" s="154">
        <f>M90/J90</f>
        <v>0.90270000000000006</v>
      </c>
      <c r="AG90" s="312">
        <f>AF106</f>
        <v>0.90293333333333337</v>
      </c>
    </row>
    <row r="91" spans="1:33" ht="15.75" customHeight="1">
      <c r="A91" s="302"/>
      <c r="B91" s="161" t="s">
        <v>169</v>
      </c>
      <c r="C91" s="297" t="s">
        <v>190</v>
      </c>
      <c r="D91" s="298"/>
      <c r="E91" s="99">
        <v>50.67</v>
      </c>
      <c r="F91" s="100">
        <v>1374</v>
      </c>
      <c r="G91" s="101">
        <f t="shared" si="36"/>
        <v>69620.58</v>
      </c>
      <c r="H91" s="26"/>
      <c r="I91" s="102">
        <v>20</v>
      </c>
      <c r="J91" s="103">
        <v>2000</v>
      </c>
      <c r="K91" s="104">
        <f t="shared" ref="K91:K92" si="37">J91/I91</f>
        <v>100</v>
      </c>
      <c r="L91" s="105">
        <v>19</v>
      </c>
      <c r="M91" s="103">
        <f>F91/V91*60</f>
        <v>1805.4</v>
      </c>
      <c r="N91" s="104">
        <f>M91/L91</f>
        <v>95.021052631578954</v>
      </c>
      <c r="O91" s="106">
        <f>L91-I91</f>
        <v>-1</v>
      </c>
      <c r="P91" s="107">
        <f>N91-K91</f>
        <v>-4.9789473684210463</v>
      </c>
      <c r="Q91" s="108">
        <f>N91/K91</f>
        <v>0.95021052631578951</v>
      </c>
      <c r="R91" s="308"/>
      <c r="S91" s="46">
        <v>0.72083333333333333</v>
      </c>
      <c r="T91" s="47">
        <v>0.75253472222222217</v>
      </c>
      <c r="U91" s="109">
        <v>5.6166666666665321</v>
      </c>
      <c r="V91" s="110">
        <v>45.6630109670987</v>
      </c>
      <c r="W91" s="111"/>
      <c r="X91" s="114"/>
      <c r="Y91" s="12"/>
      <c r="Z91" s="196"/>
      <c r="AA91" s="299"/>
      <c r="AB91" s="300"/>
      <c r="AC91" s="12"/>
      <c r="AD91" s="196"/>
      <c r="AE91" s="115">
        <f>M91-J91</f>
        <v>-194.59999999999991</v>
      </c>
      <c r="AF91" s="108">
        <f>M91/J91</f>
        <v>0.90270000000000006</v>
      </c>
      <c r="AG91" s="313"/>
    </row>
    <row r="92" spans="1:33" ht="15.75" customHeight="1">
      <c r="A92" s="302"/>
      <c r="B92" s="161" t="s">
        <v>169</v>
      </c>
      <c r="C92" s="297" t="s">
        <v>205</v>
      </c>
      <c r="D92" s="298"/>
      <c r="E92" s="99">
        <v>57.3</v>
      </c>
      <c r="F92" s="100">
        <v>936</v>
      </c>
      <c r="G92" s="101">
        <f t="shared" si="36"/>
        <v>53632.799999999996</v>
      </c>
      <c r="H92" s="26"/>
      <c r="I92" s="102">
        <v>21</v>
      </c>
      <c r="J92" s="103">
        <v>2000</v>
      </c>
      <c r="K92" s="104">
        <f t="shared" si="37"/>
        <v>95.238095238095241</v>
      </c>
      <c r="L92" s="105">
        <v>20</v>
      </c>
      <c r="M92" s="103">
        <f>F92/V92*60</f>
        <v>1806.7999999999997</v>
      </c>
      <c r="N92" s="104">
        <f>M92/L92</f>
        <v>90.339999999999989</v>
      </c>
      <c r="O92" s="106">
        <f>L92-I92</f>
        <v>-1</v>
      </c>
      <c r="P92" s="107">
        <f>N92-K92</f>
        <v>-4.8980952380952516</v>
      </c>
      <c r="Q92" s="108">
        <f>N92/K92</f>
        <v>0.94856999999999991</v>
      </c>
      <c r="R92" s="308"/>
      <c r="S92" s="46">
        <v>0.75555555555555554</v>
      </c>
      <c r="T92" s="47">
        <v>0.77712962962962961</v>
      </c>
      <c r="U92" s="109">
        <v>5</v>
      </c>
      <c r="V92" s="110">
        <v>31.082576931591767</v>
      </c>
      <c r="W92" s="111"/>
      <c r="X92" s="114"/>
      <c r="Y92" s="12"/>
      <c r="Z92" s="196"/>
      <c r="AA92" s="299"/>
      <c r="AB92" s="300"/>
      <c r="AC92" s="12"/>
      <c r="AD92" s="196"/>
      <c r="AE92" s="115">
        <f>M92-J92</f>
        <v>-193.20000000000027</v>
      </c>
      <c r="AF92" s="108">
        <f>M92/J92</f>
        <v>0.90339999999999987</v>
      </c>
      <c r="AG92" s="313"/>
    </row>
    <row r="93" spans="1:33" ht="15.75" customHeight="1">
      <c r="A93" s="302"/>
      <c r="B93" s="161"/>
      <c r="C93" s="297"/>
      <c r="D93" s="298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8"/>
      <c r="S93" s="46"/>
      <c r="T93" s="47"/>
      <c r="U93" s="109"/>
      <c r="V93" s="110"/>
      <c r="W93" s="111"/>
      <c r="X93" s="114"/>
      <c r="Y93" s="12"/>
      <c r="Z93" s="196"/>
      <c r="AA93" s="299"/>
      <c r="AB93" s="300"/>
      <c r="AC93" s="12"/>
      <c r="AD93" s="196"/>
      <c r="AE93" s="115"/>
      <c r="AF93" s="108"/>
      <c r="AG93" s="313"/>
    </row>
    <row r="94" spans="1:33" ht="15.75" customHeight="1">
      <c r="A94" s="303"/>
      <c r="B94" s="161"/>
      <c r="C94" s="297"/>
      <c r="D94" s="298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8"/>
      <c r="S94" s="46"/>
      <c r="T94" s="47"/>
      <c r="U94" s="109"/>
      <c r="V94" s="110"/>
      <c r="W94" s="111"/>
      <c r="X94" s="114"/>
      <c r="Y94" s="12"/>
      <c r="Z94" s="196"/>
      <c r="AA94" s="299"/>
      <c r="AB94" s="300"/>
      <c r="AC94" s="12"/>
      <c r="AD94" s="196"/>
      <c r="AE94" s="115"/>
      <c r="AF94" s="108"/>
      <c r="AG94" s="313"/>
    </row>
    <row r="95" spans="1:33" ht="15.75" customHeight="1">
      <c r="A95" s="303"/>
      <c r="B95" s="161"/>
      <c r="C95" s="297"/>
      <c r="D95" s="298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8"/>
      <c r="S95" s="46"/>
      <c r="T95" s="118"/>
      <c r="U95" s="109"/>
      <c r="V95" s="110"/>
      <c r="W95" s="111"/>
      <c r="X95" s="114"/>
      <c r="Y95" s="12"/>
      <c r="Z95" s="196"/>
      <c r="AA95" s="299"/>
      <c r="AB95" s="300"/>
      <c r="AC95" s="12"/>
      <c r="AD95" s="196"/>
      <c r="AE95" s="115"/>
      <c r="AF95" s="108"/>
      <c r="AG95" s="313"/>
    </row>
    <row r="96" spans="1:33" ht="15.75" customHeight="1">
      <c r="A96" s="303"/>
      <c r="B96" s="161"/>
      <c r="C96" s="297"/>
      <c r="D96" s="298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8"/>
      <c r="S96" s="117"/>
      <c r="T96" s="118"/>
      <c r="U96" s="109"/>
      <c r="V96" s="110"/>
      <c r="W96" s="118"/>
      <c r="X96" s="187"/>
      <c r="Y96" s="12"/>
      <c r="Z96" s="196"/>
      <c r="AA96" s="299"/>
      <c r="AB96" s="300"/>
      <c r="AC96" s="12"/>
      <c r="AD96" s="196"/>
      <c r="AE96" s="115"/>
      <c r="AF96" s="108"/>
      <c r="AG96" s="313"/>
    </row>
    <row r="97" spans="1:33" ht="15.75" customHeight="1">
      <c r="A97" s="303"/>
      <c r="B97" s="161"/>
      <c r="C97" s="297"/>
      <c r="D97" s="298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8"/>
      <c r="S97" s="117"/>
      <c r="T97" s="118"/>
      <c r="U97" s="109"/>
      <c r="V97" s="110"/>
      <c r="W97" s="118"/>
      <c r="X97" s="187"/>
      <c r="Y97" s="12"/>
      <c r="Z97" s="196"/>
      <c r="AA97" s="299"/>
      <c r="AB97" s="300"/>
      <c r="AC97" s="12"/>
      <c r="AD97" s="196"/>
      <c r="AE97" s="115"/>
      <c r="AF97" s="108"/>
      <c r="AG97" s="313"/>
    </row>
    <row r="98" spans="1:33" ht="15.75" customHeight="1">
      <c r="A98" s="303"/>
      <c r="B98" s="161"/>
      <c r="C98" s="297"/>
      <c r="D98" s="298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8"/>
      <c r="S98" s="117"/>
      <c r="T98" s="118"/>
      <c r="U98" s="109"/>
      <c r="V98" s="110"/>
      <c r="W98" s="118"/>
      <c r="X98" s="187"/>
      <c r="Y98" s="12"/>
      <c r="Z98" s="196"/>
      <c r="AA98" s="299"/>
      <c r="AB98" s="300"/>
      <c r="AC98" s="12"/>
      <c r="AD98" s="196"/>
      <c r="AE98" s="115"/>
      <c r="AF98" s="108"/>
      <c r="AG98" s="313"/>
    </row>
    <row r="99" spans="1:33" ht="15.75" customHeight="1">
      <c r="A99" s="303"/>
      <c r="B99" s="161"/>
      <c r="C99" s="297"/>
      <c r="D99" s="298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8"/>
      <c r="S99" s="117"/>
      <c r="T99" s="118"/>
      <c r="U99" s="109"/>
      <c r="V99" s="110"/>
      <c r="W99" s="118"/>
      <c r="X99" s="187"/>
      <c r="Y99" s="12"/>
      <c r="Z99" s="196"/>
      <c r="AA99" s="299"/>
      <c r="AB99" s="300"/>
      <c r="AC99" s="12"/>
      <c r="AD99" s="196"/>
      <c r="AE99" s="115"/>
      <c r="AF99" s="108"/>
      <c r="AG99" s="313"/>
    </row>
    <row r="100" spans="1:33" ht="15.75" customHeight="1">
      <c r="A100" s="303"/>
      <c r="B100" s="161"/>
      <c r="C100" s="297"/>
      <c r="D100" s="298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8"/>
      <c r="S100" s="117"/>
      <c r="T100" s="118"/>
      <c r="U100" s="109"/>
      <c r="V100" s="110"/>
      <c r="W100" s="118"/>
      <c r="X100" s="187"/>
      <c r="Y100" s="12"/>
      <c r="Z100" s="196"/>
      <c r="AA100" s="299"/>
      <c r="AB100" s="300"/>
      <c r="AC100" s="12"/>
      <c r="AD100" s="196"/>
      <c r="AE100" s="115"/>
      <c r="AF100" s="108"/>
      <c r="AG100" s="313"/>
    </row>
    <row r="101" spans="1:33" ht="15.75" customHeight="1">
      <c r="A101" s="303"/>
      <c r="B101" s="161"/>
      <c r="C101" s="297"/>
      <c r="D101" s="298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8"/>
      <c r="S101" s="117"/>
      <c r="T101" s="118"/>
      <c r="U101" s="109"/>
      <c r="V101" s="110"/>
      <c r="W101" s="118"/>
      <c r="X101" s="187"/>
      <c r="Y101" s="12"/>
      <c r="Z101" s="196"/>
      <c r="AA101" s="299"/>
      <c r="AB101" s="300"/>
      <c r="AC101" s="12"/>
      <c r="AD101" s="196"/>
      <c r="AE101" s="115"/>
      <c r="AF101" s="108"/>
      <c r="AG101" s="313"/>
    </row>
    <row r="102" spans="1:33" ht="15.75" customHeight="1">
      <c r="A102" s="303"/>
      <c r="B102" s="161"/>
      <c r="C102" s="297"/>
      <c r="D102" s="298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8"/>
      <c r="S102" s="117"/>
      <c r="T102" s="118"/>
      <c r="U102" s="109"/>
      <c r="V102" s="110"/>
      <c r="W102" s="118"/>
      <c r="X102" s="187"/>
      <c r="Y102" s="12"/>
      <c r="Z102" s="196"/>
      <c r="AA102" s="299"/>
      <c r="AB102" s="300"/>
      <c r="AC102" s="12"/>
      <c r="AD102" s="196"/>
      <c r="AE102" s="115"/>
      <c r="AF102" s="108"/>
      <c r="AG102" s="313"/>
    </row>
    <row r="103" spans="1:33" ht="15.75" customHeight="1">
      <c r="A103" s="303"/>
      <c r="B103" s="161"/>
      <c r="C103" s="297"/>
      <c r="D103" s="298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8"/>
      <c r="S103" s="117"/>
      <c r="T103" s="118"/>
      <c r="U103" s="109"/>
      <c r="V103" s="110"/>
      <c r="W103" s="118"/>
      <c r="X103" s="187"/>
      <c r="Y103" s="12"/>
      <c r="Z103" s="196"/>
      <c r="AA103" s="299"/>
      <c r="AB103" s="300"/>
      <c r="AC103" s="12"/>
      <c r="AD103" s="196"/>
      <c r="AE103" s="115"/>
      <c r="AF103" s="108"/>
      <c r="AG103" s="313"/>
    </row>
    <row r="104" spans="1:33" ht="15.75" customHeight="1">
      <c r="A104" s="303"/>
      <c r="B104" s="161"/>
      <c r="C104" s="297"/>
      <c r="D104" s="298"/>
      <c r="E104" s="99"/>
      <c r="F104" s="126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8"/>
      <c r="S104" s="117"/>
      <c r="T104" s="118"/>
      <c r="U104" s="109"/>
      <c r="V104" s="110"/>
      <c r="W104" s="118"/>
      <c r="X104" s="187"/>
      <c r="Y104" s="12"/>
      <c r="Z104" s="196"/>
      <c r="AA104" s="299"/>
      <c r="AB104" s="300"/>
      <c r="AC104" s="12"/>
      <c r="AD104" s="196"/>
      <c r="AE104" s="115"/>
      <c r="AF104" s="108"/>
      <c r="AG104" s="313"/>
    </row>
    <row r="105" spans="1:33" ht="15.75" customHeight="1">
      <c r="A105" s="303"/>
      <c r="B105" s="161"/>
      <c r="C105" s="297"/>
      <c r="D105" s="298"/>
      <c r="E105" s="162"/>
      <c r="F105" s="126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8"/>
      <c r="S105" s="117"/>
      <c r="T105" s="118"/>
      <c r="U105" s="128"/>
      <c r="V105" s="129"/>
      <c r="W105" s="124"/>
      <c r="X105" s="125"/>
      <c r="Y105" s="12"/>
      <c r="Z105" s="196"/>
      <c r="AA105" s="299"/>
      <c r="AB105" s="300"/>
      <c r="AC105" s="12"/>
      <c r="AD105" s="196"/>
      <c r="AE105" s="163"/>
      <c r="AF105" s="123"/>
      <c r="AG105" s="313"/>
    </row>
    <row r="106" spans="1:33" ht="15.75" customHeight="1" thickBot="1">
      <c r="A106" s="304"/>
      <c r="B106" s="131" t="s">
        <v>115</v>
      </c>
      <c r="C106" s="294"/>
      <c r="D106" s="294"/>
      <c r="E106" s="132"/>
      <c r="F106" s="165"/>
      <c r="G106" s="133"/>
      <c r="H106" s="67"/>
      <c r="I106" s="134">
        <f t="shared" ref="I106:J106" si="38">AVERAGE(I90:I105)</f>
        <v>19.666666666666668</v>
      </c>
      <c r="J106" s="135">
        <f t="shared" si="38"/>
        <v>2000</v>
      </c>
      <c r="K106" s="136">
        <f t="shared" ref="K106" si="39">J106/I106</f>
        <v>101.69491525423729</v>
      </c>
      <c r="L106" s="134">
        <f t="shared" ref="L106:M106" si="40">AVERAGE(L90:L105)</f>
        <v>18.666666666666668</v>
      </c>
      <c r="M106" s="135">
        <f t="shared" si="40"/>
        <v>1805.8666666666668</v>
      </c>
      <c r="N106" s="136">
        <f>M106/L106</f>
        <v>96.742857142857147</v>
      </c>
      <c r="O106" s="137">
        <f>L106-I106</f>
        <v>-1</v>
      </c>
      <c r="P106" s="138">
        <f>N106-K106</f>
        <v>-4.9520581113801398</v>
      </c>
      <c r="Q106" s="139">
        <f>N106/K106</f>
        <v>0.95130476190476199</v>
      </c>
      <c r="R106" s="309"/>
      <c r="S106" s="140">
        <v>0.70833333333333337</v>
      </c>
      <c r="T106" s="141">
        <v>0.77712962962962961</v>
      </c>
      <c r="U106" s="142"/>
      <c r="V106" s="164"/>
      <c r="W106" s="165"/>
      <c r="X106" s="136"/>
      <c r="Y106" s="177">
        <f t="shared" ref="Y106:Z106" si="41">SUM(Y90:Y105)</f>
        <v>0</v>
      </c>
      <c r="Z106" s="178">
        <f t="shared" si="41"/>
        <v>0</v>
      </c>
      <c r="AA106" s="295"/>
      <c r="AB106" s="296"/>
      <c r="AC106" s="177">
        <f t="shared" ref="AC106:AD106" si="42">SUM(AC90:AC105)</f>
        <v>0</v>
      </c>
      <c r="AD106" s="178">
        <f t="shared" si="42"/>
        <v>0</v>
      </c>
      <c r="AE106" s="166">
        <f>M106-J106</f>
        <v>-194.13333333333321</v>
      </c>
      <c r="AF106" s="139">
        <f>M106/J106</f>
        <v>0.90293333333333337</v>
      </c>
      <c r="AG106" s="314"/>
    </row>
    <row r="107" spans="1:33" ht="15.75" customHeight="1">
      <c r="A107" s="315" t="s">
        <v>179</v>
      </c>
      <c r="B107" s="144" t="s">
        <v>169</v>
      </c>
      <c r="C107" s="305" t="s">
        <v>181</v>
      </c>
      <c r="D107" s="306"/>
      <c r="E107" s="145">
        <v>56.87</v>
      </c>
      <c r="F107" s="157">
        <v>1198</v>
      </c>
      <c r="G107" s="146">
        <f t="shared" ref="G107:G109" si="43">E107*F107</f>
        <v>68130.259999999995</v>
      </c>
      <c r="H107" s="147"/>
      <c r="I107" s="148">
        <v>23</v>
      </c>
      <c r="J107" s="149">
        <v>2000</v>
      </c>
      <c r="K107" s="150">
        <f>J107/I107</f>
        <v>86.956521739130437</v>
      </c>
      <c r="L107" s="151">
        <v>23</v>
      </c>
      <c r="M107" s="149">
        <f>F107/V107*60</f>
        <v>1806.0185642727745</v>
      </c>
      <c r="N107" s="150">
        <f>M107/L107</f>
        <v>78.522546272729329</v>
      </c>
      <c r="O107" s="152">
        <f>L107-I107</f>
        <v>0</v>
      </c>
      <c r="P107" s="153">
        <f>N107-K107</f>
        <v>-8.4339754664011082</v>
      </c>
      <c r="Q107" s="154">
        <f>N107/K107</f>
        <v>0.9030092821363872</v>
      </c>
      <c r="R107" s="307">
        <f>Q123</f>
        <v>0.90277729843418897</v>
      </c>
      <c r="S107" s="155">
        <v>0.70833333333333337</v>
      </c>
      <c r="T107" s="156">
        <v>0.73597222222222225</v>
      </c>
      <c r="U107" s="157"/>
      <c r="V107" s="158">
        <v>39.800255336214533</v>
      </c>
      <c r="W107" s="95"/>
      <c r="X107" s="96"/>
      <c r="Y107" s="194"/>
      <c r="Z107" s="195"/>
      <c r="AA107" s="310"/>
      <c r="AB107" s="311"/>
      <c r="AC107" s="194"/>
      <c r="AD107" s="195"/>
      <c r="AE107" s="113">
        <f>M107-J107</f>
        <v>-193.98143572722552</v>
      </c>
      <c r="AF107" s="154">
        <f>M107/J107</f>
        <v>0.9030092821363872</v>
      </c>
      <c r="AG107" s="379">
        <f>AF123</f>
        <v>0.90277729843418908</v>
      </c>
    </row>
    <row r="108" spans="1:33" ht="15.75" customHeight="1">
      <c r="A108" s="316"/>
      <c r="B108" s="161" t="s">
        <v>169</v>
      </c>
      <c r="C108" s="297" t="s">
        <v>180</v>
      </c>
      <c r="D108" s="298"/>
      <c r="E108" s="99">
        <v>56.79</v>
      </c>
      <c r="F108" s="109">
        <v>1672</v>
      </c>
      <c r="G108" s="101">
        <f t="shared" si="43"/>
        <v>94952.88</v>
      </c>
      <c r="H108" s="26"/>
      <c r="I108" s="102">
        <v>23</v>
      </c>
      <c r="J108" s="103">
        <v>2000</v>
      </c>
      <c r="K108" s="104">
        <f t="shared" ref="K108:K109" si="44">J108/I108</f>
        <v>86.956521739130437</v>
      </c>
      <c r="L108" s="105">
        <v>23</v>
      </c>
      <c r="M108" s="103">
        <f>F108/V108*60</f>
        <v>1800.9667199915473</v>
      </c>
      <c r="N108" s="104">
        <f>M108/L108</f>
        <v>78.302900869197714</v>
      </c>
      <c r="O108" s="106">
        <f>L108-I108</f>
        <v>0</v>
      </c>
      <c r="P108" s="107">
        <f>N108-K108</f>
        <v>-8.6536208699327233</v>
      </c>
      <c r="Q108" s="108">
        <f>N108/K108</f>
        <v>0.90048335999577367</v>
      </c>
      <c r="R108" s="308"/>
      <c r="S108" s="46">
        <v>0.73958333333333337</v>
      </c>
      <c r="T108" s="47">
        <v>0.77826388888888898</v>
      </c>
      <c r="U108" s="109">
        <v>5.2000000000000135</v>
      </c>
      <c r="V108" s="110">
        <v>55.703416885166455</v>
      </c>
      <c r="W108" s="111"/>
      <c r="X108" s="114"/>
      <c r="Y108" s="12"/>
      <c r="Z108" s="196"/>
      <c r="AA108" s="299"/>
      <c r="AB108" s="300"/>
      <c r="AC108" s="12"/>
      <c r="AD108" s="196"/>
      <c r="AE108" s="115">
        <f>M108-J108</f>
        <v>-199.03328000845272</v>
      </c>
      <c r="AF108" s="108">
        <f>M108/J108</f>
        <v>0.90048335999577367</v>
      </c>
      <c r="AG108" s="380"/>
    </row>
    <row r="109" spans="1:33" ht="15.75" customHeight="1">
      <c r="A109" s="316"/>
      <c r="B109" s="161" t="s">
        <v>169</v>
      </c>
      <c r="C109" s="297" t="s">
        <v>220</v>
      </c>
      <c r="D109" s="298"/>
      <c r="E109" s="99">
        <v>47.6</v>
      </c>
      <c r="F109" s="109">
        <v>1913</v>
      </c>
      <c r="G109" s="101">
        <f t="shared" si="43"/>
        <v>91058.8</v>
      </c>
      <c r="H109" s="26"/>
      <c r="I109" s="102">
        <v>23</v>
      </c>
      <c r="J109" s="103">
        <v>2000</v>
      </c>
      <c r="K109" s="104">
        <f t="shared" si="44"/>
        <v>86.956521739130437</v>
      </c>
      <c r="L109" s="105">
        <v>23</v>
      </c>
      <c r="M109" s="103">
        <f>F109/V109*60</f>
        <v>1809.6785063408131</v>
      </c>
      <c r="N109" s="104">
        <f>M109/L109</f>
        <v>78.681674188731009</v>
      </c>
      <c r="O109" s="106">
        <f>L109-I109</f>
        <v>0</v>
      </c>
      <c r="P109" s="107">
        <f>N109-K109</f>
        <v>-8.2748475503994285</v>
      </c>
      <c r="Q109" s="108">
        <f>N109/K109</f>
        <v>0.90483925317040659</v>
      </c>
      <c r="R109" s="308"/>
      <c r="S109" s="46">
        <v>0.78125</v>
      </c>
      <c r="T109" s="47">
        <v>0.82528935185185182</v>
      </c>
      <c r="U109" s="109">
        <v>5</v>
      </c>
      <c r="V109" s="110">
        <v>63.425630352479693</v>
      </c>
      <c r="W109" s="111"/>
      <c r="X109" s="114"/>
      <c r="Y109" s="12"/>
      <c r="Z109" s="196"/>
      <c r="AA109" s="299"/>
      <c r="AB109" s="300"/>
      <c r="AC109" s="12"/>
      <c r="AD109" s="196"/>
      <c r="AE109" s="115">
        <f>M109-J109</f>
        <v>-190.3214936591869</v>
      </c>
      <c r="AF109" s="108">
        <f>M109/J109</f>
        <v>0.90483925317040659</v>
      </c>
      <c r="AG109" s="380"/>
    </row>
    <row r="110" spans="1:33" ht="15.75" customHeight="1">
      <c r="A110" s="316"/>
      <c r="B110" s="161"/>
      <c r="C110" s="297"/>
      <c r="D110" s="298"/>
      <c r="E110" s="99"/>
      <c r="F110" s="109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8"/>
      <c r="S110" s="46"/>
      <c r="T110" s="47"/>
      <c r="U110" s="109"/>
      <c r="V110" s="110"/>
      <c r="W110" s="111"/>
      <c r="X110" s="114"/>
      <c r="Y110" s="12"/>
      <c r="Z110" s="196"/>
      <c r="AA110" s="299"/>
      <c r="AB110" s="300"/>
      <c r="AC110" s="12"/>
      <c r="AD110" s="196"/>
      <c r="AE110" s="115"/>
      <c r="AF110" s="108"/>
      <c r="AG110" s="380"/>
    </row>
    <row r="111" spans="1:33" ht="15.75" customHeight="1">
      <c r="A111" s="316"/>
      <c r="B111" s="161"/>
      <c r="C111" s="297"/>
      <c r="D111" s="298"/>
      <c r="E111" s="99"/>
      <c r="F111" s="109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8"/>
      <c r="S111" s="46"/>
      <c r="T111" s="47"/>
      <c r="U111" s="109"/>
      <c r="V111" s="110"/>
      <c r="W111" s="111"/>
      <c r="X111" s="114"/>
      <c r="Y111" s="12"/>
      <c r="Z111" s="196"/>
      <c r="AA111" s="299"/>
      <c r="AB111" s="300"/>
      <c r="AC111" s="12"/>
      <c r="AD111" s="196"/>
      <c r="AE111" s="115"/>
      <c r="AF111" s="108"/>
      <c r="AG111" s="380"/>
    </row>
    <row r="112" spans="1:33" ht="15.75" customHeight="1">
      <c r="A112" s="316"/>
      <c r="B112" s="161"/>
      <c r="C112" s="297"/>
      <c r="D112" s="298"/>
      <c r="E112" s="99"/>
      <c r="F112" s="109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8"/>
      <c r="S112" s="46"/>
      <c r="T112" s="118"/>
      <c r="U112" s="109"/>
      <c r="V112" s="110"/>
      <c r="W112" s="111"/>
      <c r="X112" s="114"/>
      <c r="Y112" s="12"/>
      <c r="Z112" s="196"/>
      <c r="AA112" s="299"/>
      <c r="AB112" s="300"/>
      <c r="AC112" s="12"/>
      <c r="AD112" s="196"/>
      <c r="AE112" s="115"/>
      <c r="AF112" s="108"/>
      <c r="AG112" s="380"/>
    </row>
    <row r="113" spans="1:33" ht="15.75" customHeight="1">
      <c r="A113" s="316"/>
      <c r="B113" s="161"/>
      <c r="C113" s="297"/>
      <c r="D113" s="298"/>
      <c r="E113" s="99"/>
      <c r="F113" s="109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8"/>
      <c r="S113" s="46"/>
      <c r="T113" s="118"/>
      <c r="U113" s="109"/>
      <c r="V113" s="110"/>
      <c r="W113" s="111"/>
      <c r="X113" s="114"/>
      <c r="Y113" s="12"/>
      <c r="Z113" s="196"/>
      <c r="AA113" s="299"/>
      <c r="AB113" s="300"/>
      <c r="AC113" s="12"/>
      <c r="AD113" s="196"/>
      <c r="AE113" s="115"/>
      <c r="AF113" s="108"/>
      <c r="AG113" s="380"/>
    </row>
    <row r="114" spans="1:33" ht="15.75" customHeight="1">
      <c r="A114" s="316"/>
      <c r="B114" s="161"/>
      <c r="C114" s="297"/>
      <c r="D114" s="298"/>
      <c r="E114" s="99"/>
      <c r="F114" s="109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8"/>
      <c r="S114" s="46"/>
      <c r="T114" s="118"/>
      <c r="U114" s="109"/>
      <c r="V114" s="110"/>
      <c r="W114" s="111"/>
      <c r="X114" s="114"/>
      <c r="Y114" s="12"/>
      <c r="Z114" s="196"/>
      <c r="AA114" s="299"/>
      <c r="AB114" s="300"/>
      <c r="AC114" s="12"/>
      <c r="AD114" s="196"/>
      <c r="AE114" s="115"/>
      <c r="AF114" s="108"/>
      <c r="AG114" s="380"/>
    </row>
    <row r="115" spans="1:33" ht="15.75" customHeight="1">
      <c r="A115" s="316"/>
      <c r="B115" s="161"/>
      <c r="C115" s="297"/>
      <c r="D115" s="298"/>
      <c r="E115" s="99"/>
      <c r="F115" s="109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8"/>
      <c r="S115" s="46"/>
      <c r="T115" s="118"/>
      <c r="U115" s="109"/>
      <c r="V115" s="110"/>
      <c r="W115" s="111"/>
      <c r="X115" s="114"/>
      <c r="Y115" s="12"/>
      <c r="Z115" s="196"/>
      <c r="AA115" s="299"/>
      <c r="AB115" s="300"/>
      <c r="AC115" s="12"/>
      <c r="AD115" s="196"/>
      <c r="AE115" s="115"/>
      <c r="AF115" s="108"/>
      <c r="AG115" s="380"/>
    </row>
    <row r="116" spans="1:33" ht="15.75" customHeight="1">
      <c r="A116" s="316"/>
      <c r="B116" s="161"/>
      <c r="C116" s="297"/>
      <c r="D116" s="298"/>
      <c r="E116" s="99"/>
      <c r="F116" s="109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8"/>
      <c r="S116" s="46"/>
      <c r="T116" s="118"/>
      <c r="U116" s="109"/>
      <c r="V116" s="110"/>
      <c r="W116" s="111"/>
      <c r="X116" s="114"/>
      <c r="Y116" s="12"/>
      <c r="Z116" s="196"/>
      <c r="AA116" s="299"/>
      <c r="AB116" s="300"/>
      <c r="AC116" s="12"/>
      <c r="AD116" s="196"/>
      <c r="AE116" s="115"/>
      <c r="AF116" s="108"/>
      <c r="AG116" s="380"/>
    </row>
    <row r="117" spans="1:33" ht="15.75" customHeight="1">
      <c r="A117" s="316"/>
      <c r="B117" s="161"/>
      <c r="C117" s="297"/>
      <c r="D117" s="298"/>
      <c r="E117" s="99"/>
      <c r="F117" s="109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8"/>
      <c r="S117" s="46"/>
      <c r="T117" s="118"/>
      <c r="U117" s="109"/>
      <c r="V117" s="110"/>
      <c r="W117" s="111"/>
      <c r="X117" s="114"/>
      <c r="Y117" s="12"/>
      <c r="Z117" s="196"/>
      <c r="AA117" s="299"/>
      <c r="AB117" s="300"/>
      <c r="AC117" s="12"/>
      <c r="AD117" s="196"/>
      <c r="AE117" s="115"/>
      <c r="AF117" s="108"/>
      <c r="AG117" s="380"/>
    </row>
    <row r="118" spans="1:33" ht="15.75" customHeight="1">
      <c r="A118" s="316"/>
      <c r="B118" s="161"/>
      <c r="C118" s="297"/>
      <c r="D118" s="298"/>
      <c r="E118" s="99"/>
      <c r="F118" s="109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8"/>
      <c r="S118" s="46"/>
      <c r="T118" s="118"/>
      <c r="U118" s="109"/>
      <c r="V118" s="110"/>
      <c r="W118" s="111"/>
      <c r="X118" s="114"/>
      <c r="Y118" s="12"/>
      <c r="Z118" s="196"/>
      <c r="AA118" s="299"/>
      <c r="AB118" s="300"/>
      <c r="AC118" s="12"/>
      <c r="AD118" s="196"/>
      <c r="AE118" s="115"/>
      <c r="AF118" s="108"/>
      <c r="AG118" s="380"/>
    </row>
    <row r="119" spans="1:33" ht="15.75" customHeight="1">
      <c r="A119" s="316"/>
      <c r="B119" s="161"/>
      <c r="C119" s="297"/>
      <c r="D119" s="298"/>
      <c r="E119" s="99"/>
      <c r="F119" s="109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8"/>
      <c r="S119" s="46"/>
      <c r="T119" s="118"/>
      <c r="U119" s="109"/>
      <c r="V119" s="110"/>
      <c r="W119" s="111"/>
      <c r="X119" s="114"/>
      <c r="Y119" s="12"/>
      <c r="Z119" s="196"/>
      <c r="AA119" s="299"/>
      <c r="AB119" s="300"/>
      <c r="AC119" s="12"/>
      <c r="AD119" s="196"/>
      <c r="AE119" s="115"/>
      <c r="AF119" s="108"/>
      <c r="AG119" s="380"/>
    </row>
    <row r="120" spans="1:33" ht="15.75" customHeight="1">
      <c r="A120" s="316"/>
      <c r="B120" s="161"/>
      <c r="C120" s="297"/>
      <c r="D120" s="298"/>
      <c r="E120" s="99"/>
      <c r="F120" s="109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8"/>
      <c r="S120" s="46"/>
      <c r="T120" s="118"/>
      <c r="U120" s="109"/>
      <c r="V120" s="110"/>
      <c r="W120" s="181"/>
      <c r="X120" s="182"/>
      <c r="Y120" s="12"/>
      <c r="Z120" s="196"/>
      <c r="AA120" s="299"/>
      <c r="AB120" s="300"/>
      <c r="AC120" s="12"/>
      <c r="AD120" s="196"/>
      <c r="AE120" s="115"/>
      <c r="AF120" s="108"/>
      <c r="AG120" s="380"/>
    </row>
    <row r="121" spans="1:33" ht="15.75" customHeight="1">
      <c r="A121" s="316"/>
      <c r="B121" s="161"/>
      <c r="C121" s="297"/>
      <c r="D121" s="298"/>
      <c r="E121" s="99"/>
      <c r="F121" s="109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8"/>
      <c r="S121" s="46"/>
      <c r="T121" s="118"/>
      <c r="U121" s="109"/>
      <c r="V121" s="110"/>
      <c r="W121" s="183"/>
      <c r="X121" s="184"/>
      <c r="Y121" s="12"/>
      <c r="Z121" s="196"/>
      <c r="AA121" s="299"/>
      <c r="AB121" s="300"/>
      <c r="AC121" s="12"/>
      <c r="AD121" s="196"/>
      <c r="AE121" s="115"/>
      <c r="AF121" s="108"/>
      <c r="AG121" s="380"/>
    </row>
    <row r="122" spans="1:33" ht="15.75" customHeight="1">
      <c r="A122" s="316"/>
      <c r="B122" s="98"/>
      <c r="C122" s="297"/>
      <c r="D122" s="298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8"/>
      <c r="S122" s="46"/>
      <c r="T122" s="118"/>
      <c r="U122" s="128"/>
      <c r="V122" s="110"/>
      <c r="W122" s="183"/>
      <c r="X122" s="184"/>
      <c r="Y122" s="12"/>
      <c r="Z122" s="196"/>
      <c r="AA122" s="299"/>
      <c r="AB122" s="300"/>
      <c r="AC122" s="12"/>
      <c r="AD122" s="196"/>
      <c r="AE122" s="115"/>
      <c r="AF122" s="108"/>
      <c r="AG122" s="380"/>
    </row>
    <row r="123" spans="1:33" ht="15.75" customHeight="1" thickBot="1">
      <c r="A123" s="317"/>
      <c r="B123" s="131" t="s">
        <v>115</v>
      </c>
      <c r="C123" s="294"/>
      <c r="D123" s="294"/>
      <c r="E123" s="132"/>
      <c r="F123" s="165"/>
      <c r="G123" s="133"/>
      <c r="H123" s="67"/>
      <c r="I123" s="134">
        <f t="shared" ref="I123:J123" si="45">AVERAGE(I107:I122)</f>
        <v>23</v>
      </c>
      <c r="J123" s="135">
        <f t="shared" si="45"/>
        <v>2000</v>
      </c>
      <c r="K123" s="136">
        <f t="shared" ref="K123" si="46">J123/I123</f>
        <v>86.956521739130437</v>
      </c>
      <c r="L123" s="134">
        <f t="shared" ref="L123:M123" si="47">AVERAGE(L107:L122)</f>
        <v>23</v>
      </c>
      <c r="M123" s="135">
        <f t="shared" si="47"/>
        <v>1805.5545968683782</v>
      </c>
      <c r="N123" s="136">
        <f>M123/L123</f>
        <v>78.502373776886003</v>
      </c>
      <c r="O123" s="137">
        <f>L123-I123</f>
        <v>0</v>
      </c>
      <c r="P123" s="138">
        <f>N123-K123</f>
        <v>-8.4541479622444342</v>
      </c>
      <c r="Q123" s="139">
        <f>N123/K123</f>
        <v>0.90277729843418897</v>
      </c>
      <c r="R123" s="309"/>
      <c r="S123" s="140">
        <v>0.70833333333333337</v>
      </c>
      <c r="T123" s="141">
        <v>0.82528935185185182</v>
      </c>
      <c r="U123" s="142"/>
      <c r="V123" s="164"/>
      <c r="W123" s="185"/>
      <c r="X123" s="186"/>
      <c r="Y123" s="177">
        <f t="shared" ref="Y123:Z123" si="48">SUM(Y107:Y122)</f>
        <v>0</v>
      </c>
      <c r="Z123" s="178">
        <f t="shared" si="48"/>
        <v>0</v>
      </c>
      <c r="AA123" s="295"/>
      <c r="AB123" s="296"/>
      <c r="AC123" s="177">
        <f t="shared" ref="AC123:AD123" si="49">SUM(AC107:AC122)</f>
        <v>0</v>
      </c>
      <c r="AD123" s="178">
        <f t="shared" si="49"/>
        <v>0</v>
      </c>
      <c r="AE123" s="166">
        <f>M123-J123</f>
        <v>-194.44540313162179</v>
      </c>
      <c r="AF123" s="139">
        <f>M123/J123</f>
        <v>0.90277729843418908</v>
      </c>
      <c r="AG123" s="381"/>
    </row>
    <row r="125" spans="1:33">
      <c r="AA125" s="293" t="s">
        <v>147</v>
      </c>
      <c r="AB125" s="293"/>
    </row>
    <row r="126" spans="1:33">
      <c r="AA126" s="293" t="s">
        <v>148</v>
      </c>
      <c r="AB126" s="293"/>
    </row>
    <row r="127" spans="1:33">
      <c r="AA127" s="293" t="s">
        <v>149</v>
      </c>
      <c r="AB127" s="293"/>
    </row>
    <row r="128" spans="1:33">
      <c r="AA128" s="293" t="s">
        <v>150</v>
      </c>
      <c r="AB128" s="293"/>
    </row>
    <row r="129" spans="27:28">
      <c r="AA129" s="293" t="s">
        <v>151</v>
      </c>
      <c r="AB129" s="293"/>
    </row>
    <row r="130" spans="27:28">
      <c r="AA130" s="293" t="s">
        <v>152</v>
      </c>
      <c r="AB130" s="293"/>
    </row>
    <row r="131" spans="27:28">
      <c r="AA131" s="293" t="s">
        <v>153</v>
      </c>
      <c r="AB131" s="293"/>
    </row>
    <row r="132" spans="27:28">
      <c r="AA132" s="293" t="s">
        <v>154</v>
      </c>
      <c r="AB132" s="293"/>
    </row>
    <row r="133" spans="27:28">
      <c r="AA133" s="293" t="s">
        <v>155</v>
      </c>
      <c r="AB133" s="293"/>
    </row>
    <row r="134" spans="27:28">
      <c r="AA134" s="293" t="s">
        <v>156</v>
      </c>
      <c r="AB134" s="293"/>
    </row>
    <row r="135" spans="27:28">
      <c r="AA135" s="293" t="s">
        <v>157</v>
      </c>
      <c r="AB135" s="293"/>
    </row>
    <row r="136" spans="27:28">
      <c r="AA136" s="293" t="s">
        <v>158</v>
      </c>
      <c r="AB136" s="293"/>
    </row>
    <row r="137" spans="27:28">
      <c r="AA137" s="293" t="s">
        <v>159</v>
      </c>
      <c r="AB137" s="293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170" priority="2" operator="greaterThan">
      <formula>0</formula>
    </cfRule>
  </conditionalFormatting>
  <conditionalFormatting sqref="P5:P123 AE5:AE123">
    <cfRule type="cellIs" dxfId="169" priority="5" operator="lessThan">
      <formula>0</formula>
    </cfRule>
  </conditionalFormatting>
  <conditionalFormatting sqref="Q5:Q123 AF5:AF123">
    <cfRule type="cellIs" dxfId="168" priority="3" operator="greaterThan">
      <formula>1</formula>
    </cfRule>
    <cfRule type="cellIs" dxfId="167" priority="4" operator="lessThan">
      <formula>0.8</formula>
    </cfRule>
  </conditionalFormatting>
  <conditionalFormatting sqref="AG5 R5:R123 AG39:AG57 AG90:AG107">
    <cfRule type="cellIs" dxfId="166" priority="6" operator="lessThan">
      <formula>0.8</formula>
    </cfRule>
  </conditionalFormatting>
  <conditionalFormatting sqref="AG22">
    <cfRule type="cellIs" dxfId="165" priority="10" operator="lessThan">
      <formula>0.8</formula>
    </cfRule>
  </conditionalFormatting>
  <conditionalFormatting sqref="AG37">
    <cfRule type="cellIs" dxfId="164" priority="9" operator="lessThan">
      <formula>0.8</formula>
    </cfRule>
  </conditionalFormatting>
  <conditionalFormatting sqref="AG63:AG71">
    <cfRule type="cellIs" dxfId="163" priority="8" operator="lessThan">
      <formula>0.8</formula>
    </cfRule>
  </conditionalFormatting>
  <conditionalFormatting sqref="AG73:AG78">
    <cfRule type="cellIs" dxfId="162" priority="7" operator="lessThan">
      <formula>0.8</formula>
    </cfRule>
  </conditionalFormatting>
  <conditionalFormatting sqref="AG122">
    <cfRule type="cellIs" dxfId="161" priority="1" operator="lessThan">
      <formula>0.8</formula>
    </cfRule>
  </conditionalFormatting>
  <dataValidations count="1">
    <dataValidation type="list" allowBlank="1" showInputMessage="1" showErrorMessage="1" sqref="AA5:AB123" xr:uid="{9ACCAA8A-8842-4660-A6F7-4CFE5AE10E4A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57CB-F378-4168-B97D-06726AE7F098}">
  <sheetPr>
    <tabColor theme="9" tint="0.59999389629810485"/>
  </sheetPr>
  <dimension ref="B1:AR42"/>
  <sheetViews>
    <sheetView zoomScale="70" zoomScaleNormal="70" workbookViewId="0">
      <selection activeCell="Q42" sqref="Q4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0" t="s">
        <v>0</v>
      </c>
      <c r="C1" s="280"/>
      <c r="D1" s="280"/>
      <c r="E1" s="280"/>
      <c r="F1" s="280"/>
      <c r="G1" s="280"/>
      <c r="H1" s="280"/>
      <c r="I1" s="280"/>
      <c r="J1" s="280"/>
      <c r="K1" s="1"/>
      <c r="L1" s="1"/>
      <c r="M1" s="1"/>
      <c r="N1" s="1"/>
      <c r="O1" s="1"/>
      <c r="P1" s="1"/>
    </row>
    <row r="2" spans="2:34" ht="27.75" customHeight="1">
      <c r="B2" s="281"/>
      <c r="C2" s="281"/>
      <c r="D2" s="281"/>
      <c r="E2" s="281"/>
      <c r="F2" s="281"/>
      <c r="G2" s="281"/>
      <c r="H2" s="281"/>
      <c r="I2" s="281"/>
      <c r="J2" s="28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2" t="s">
        <v>234</v>
      </c>
      <c r="D3" s="283"/>
      <c r="E3" s="3" t="s">
        <v>2</v>
      </c>
      <c r="F3" s="284">
        <f>'1007(18度C)'!D1+'1007(4度C)'!D1</f>
        <v>145554</v>
      </c>
      <c r="G3" s="285"/>
      <c r="H3" s="3" t="s">
        <v>3</v>
      </c>
      <c r="I3" s="286">
        <f>'1007(18度C)'!F1+'1007(4度C)'!F1</f>
        <v>4554575.79</v>
      </c>
      <c r="J3" s="287"/>
      <c r="K3" s="4"/>
      <c r="L3" s="5"/>
      <c r="M3" s="1"/>
      <c r="N3" s="1"/>
      <c r="O3" s="1"/>
      <c r="P3" s="1"/>
    </row>
    <row r="4" spans="2:34" ht="28.5" customHeight="1">
      <c r="B4" s="288" t="s">
        <v>4</v>
      </c>
      <c r="C4" s="268" t="s">
        <v>5</v>
      </c>
      <c r="D4" s="269"/>
      <c r="E4" s="291" t="s">
        <v>6</v>
      </c>
      <c r="F4" s="292"/>
      <c r="G4" s="291" t="s">
        <v>7</v>
      </c>
      <c r="H4" s="292"/>
      <c r="I4" s="291" t="s">
        <v>8</v>
      </c>
      <c r="J4" s="292"/>
      <c r="K4" s="264" t="s">
        <v>9</v>
      </c>
      <c r="L4" s="265"/>
      <c r="M4" s="264" t="s">
        <v>10</v>
      </c>
      <c r="N4" s="265"/>
      <c r="O4" s="266" t="s">
        <v>11</v>
      </c>
      <c r="P4" s="267"/>
      <c r="Q4" s="267" t="s">
        <v>12</v>
      </c>
      <c r="R4" s="267"/>
    </row>
    <row r="5" spans="2:34" ht="28.5" customHeight="1">
      <c r="B5" s="289"/>
      <c r="C5" s="268" t="s">
        <v>13</v>
      </c>
      <c r="D5" s="269"/>
      <c r="E5" s="270" t="s">
        <v>14</v>
      </c>
      <c r="F5" s="271"/>
      <c r="G5" s="272" t="s">
        <v>15</v>
      </c>
      <c r="H5" s="273"/>
      <c r="I5" s="274" t="s">
        <v>16</v>
      </c>
      <c r="J5" s="275"/>
      <c r="K5" s="276" t="s">
        <v>17</v>
      </c>
      <c r="L5" s="277"/>
      <c r="M5" s="278" t="s">
        <v>18</v>
      </c>
      <c r="N5" s="27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9"/>
      <c r="C6" s="268" t="s">
        <v>22</v>
      </c>
      <c r="D6" s="269"/>
      <c r="E6" s="258">
        <f>AVERAGE(D14:O14,D32:X32)</f>
        <v>474.5829578637057</v>
      </c>
      <c r="F6" s="259" t="e">
        <f>AVERAGE(#REF!,D14:K14)</f>
        <v>#REF!</v>
      </c>
      <c r="G6" s="260">
        <f>AVERAGE(D14:K14)</f>
        <v>276.93316095816675</v>
      </c>
      <c r="H6" s="261"/>
      <c r="I6" s="260">
        <f>AVERAGE(L14:O14)</f>
        <v>94.325718496683862</v>
      </c>
      <c r="J6" s="261"/>
      <c r="K6" s="260">
        <f>AVERAGE(D32:O32)</f>
        <v>717.5</v>
      </c>
      <c r="L6" s="261"/>
      <c r="M6" s="260">
        <f>AVERAGE(P32:X32)</f>
        <v>718.26923076923072</v>
      </c>
      <c r="N6" s="261"/>
      <c r="O6" s="249">
        <f>'1007(4度C)'!Y2</f>
        <v>0</v>
      </c>
      <c r="P6" s="249">
        <f>'1007(4度C)'!Z2</f>
        <v>0</v>
      </c>
      <c r="Q6" s="249">
        <f>'1007(4度C)'!AC2</f>
        <v>0</v>
      </c>
      <c r="R6" s="249">
        <f>'1007(4度C)'!AD2</f>
        <v>0</v>
      </c>
    </row>
    <row r="7" spans="2:34" ht="28.5" customHeight="1">
      <c r="B7" s="289"/>
      <c r="C7" s="252" t="s">
        <v>23</v>
      </c>
      <c r="D7" s="253"/>
      <c r="E7" s="254">
        <f>AVERAGE(D15:O15,D33:X33)</f>
        <v>432.91276058216272</v>
      </c>
      <c r="F7" s="255" t="e">
        <f>AVERAGE(#REF!,D15:K15)</f>
        <v>#REF!</v>
      </c>
      <c r="G7" s="256">
        <f>AVERAGE(D15:K15)</f>
        <v>248.8297714546195</v>
      </c>
      <c r="H7" s="257"/>
      <c r="I7" s="256">
        <f>AVERAGE(L15:O15)</f>
        <v>87.611461215565157</v>
      </c>
      <c r="J7" s="257"/>
      <c r="K7" s="256">
        <f>AVERAGE(D33:O33)</f>
        <v>657.38478397621748</v>
      </c>
      <c r="L7" s="257"/>
      <c r="M7" s="256">
        <f>AVERAGE(P33:X33)</f>
        <v>657.21587056272153</v>
      </c>
      <c r="N7" s="257"/>
      <c r="O7" s="250"/>
      <c r="P7" s="250"/>
      <c r="Q7" s="250"/>
      <c r="R7" s="250"/>
    </row>
    <row r="8" spans="2:34" ht="28.5" customHeight="1">
      <c r="B8" s="290"/>
      <c r="C8" s="252" t="s">
        <v>24</v>
      </c>
      <c r="D8" s="253"/>
      <c r="E8" s="262">
        <f>AVERAGE(D16:O16,D34:X34)</f>
        <v>0.90784971582084462</v>
      </c>
      <c r="F8" s="263" t="e">
        <f>AVERAGE(D16:K16,#REF!)</f>
        <v>#REF!</v>
      </c>
      <c r="G8" s="241">
        <f>AVERAGE(D16:K16)</f>
        <v>0.89959837047479707</v>
      </c>
      <c r="H8" s="242"/>
      <c r="I8" s="241">
        <f>AVERAGE(L16:O16)</f>
        <v>0.92692168493138039</v>
      </c>
      <c r="J8" s="242"/>
      <c r="K8" s="241">
        <f>AVERAGE(D34:O34)</f>
        <v>0.91078058716653199</v>
      </c>
      <c r="L8" s="242"/>
      <c r="M8" s="241">
        <f>AVERAGE(P34:X34)</f>
        <v>0.90775987793896062</v>
      </c>
      <c r="N8" s="242"/>
      <c r="O8" s="251"/>
      <c r="P8" s="251"/>
      <c r="Q8" s="251"/>
      <c r="R8" s="25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9" t="s">
        <v>26</v>
      </c>
      <c r="C11" s="220"/>
      <c r="D11" s="243" t="s">
        <v>27</v>
      </c>
      <c r="E11" s="244"/>
      <c r="F11" s="244"/>
      <c r="G11" s="244"/>
      <c r="H11" s="244"/>
      <c r="I11" s="244"/>
      <c r="J11" s="244"/>
      <c r="K11" s="244"/>
      <c r="L11" s="245" t="s">
        <v>28</v>
      </c>
      <c r="M11" s="246"/>
      <c r="N11" s="246"/>
      <c r="O11" s="247"/>
    </row>
    <row r="12" spans="2:34" ht="17.25" customHeight="1">
      <c r="B12" s="235" t="s">
        <v>29</v>
      </c>
      <c r="C12" s="23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5"/>
      <c r="C13" s="23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U13" s="205"/>
      <c r="AB13" s="25"/>
      <c r="AC13" s="25"/>
      <c r="AD13" s="25"/>
      <c r="AE13" s="25"/>
    </row>
    <row r="14" spans="2:34" ht="40.15" customHeight="1">
      <c r="B14" s="248" t="s">
        <v>40</v>
      </c>
      <c r="C14" s="26" t="s">
        <v>41</v>
      </c>
      <c r="D14" s="27" t="s">
        <v>42</v>
      </c>
      <c r="E14" s="28">
        <v>85.245901639344268</v>
      </c>
      <c r="F14" s="28">
        <v>114.50980392156863</v>
      </c>
      <c r="G14" s="28">
        <v>86.206896551724142</v>
      </c>
      <c r="H14" s="28">
        <v>173.63636363636363</v>
      </c>
      <c r="I14" s="28">
        <v>502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8"/>
      <c r="C15" s="33" t="s">
        <v>43</v>
      </c>
      <c r="D15" s="34" t="s">
        <v>42</v>
      </c>
      <c r="E15" s="35">
        <v>76.960529487545173</v>
      </c>
      <c r="F15" s="35">
        <v>103.38552522305143</v>
      </c>
      <c r="G15" s="35">
        <v>77.860137721154842</v>
      </c>
      <c r="H15" s="35">
        <v>155.61670756154427</v>
      </c>
      <c r="I15" s="35">
        <v>445.24944743808942</v>
      </c>
      <c r="J15" s="35">
        <v>633.90628129633171</v>
      </c>
      <c r="K15" s="36" t="s">
        <v>42</v>
      </c>
      <c r="L15" s="34" t="s">
        <v>42</v>
      </c>
      <c r="M15" s="204">
        <v>96.732142857142861</v>
      </c>
      <c r="N15" s="35">
        <v>78.490779573987467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8"/>
      <c r="C16" s="40" t="s">
        <v>44</v>
      </c>
      <c r="D16" s="41" t="s">
        <v>42</v>
      </c>
      <c r="E16" s="42">
        <f t="shared" ref="E16:J16" si="0">E15/E14</f>
        <v>0.90280621129620298</v>
      </c>
      <c r="F16" s="42">
        <f t="shared" si="0"/>
        <v>0.9028530456122642</v>
      </c>
      <c r="G16" s="42">
        <f t="shared" si="0"/>
        <v>0.90317759756539617</v>
      </c>
      <c r="H16" s="42">
        <f t="shared" si="0"/>
        <v>0.8962218760088938</v>
      </c>
      <c r="I16" s="42">
        <f t="shared" si="0"/>
        <v>0.88695109051412235</v>
      </c>
      <c r="J16" s="42">
        <f t="shared" si="0"/>
        <v>0.90558040185190247</v>
      </c>
      <c r="K16" s="43" t="s">
        <v>42</v>
      </c>
      <c r="L16" s="41" t="s">
        <v>42</v>
      </c>
      <c r="M16" s="44">
        <f>M15/M14</f>
        <v>0.95119940476190479</v>
      </c>
      <c r="N16" s="42">
        <f>N15/N14</f>
        <v>0.90264396510085587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34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0.25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5"/>
      <c r="C18" s="13" t="s">
        <v>47</v>
      </c>
      <c r="D18" s="46" t="s">
        <v>42</v>
      </c>
      <c r="E18" s="47">
        <v>0.61229166666666668</v>
      </c>
      <c r="F18" s="47">
        <v>0.55396990740740737</v>
      </c>
      <c r="G18" s="47">
        <v>0.49718749999999989</v>
      </c>
      <c r="H18" s="47">
        <v>0.41515046296296287</v>
      </c>
      <c r="I18" s="47">
        <v>0.48258101851851842</v>
      </c>
      <c r="J18" s="47">
        <v>0.2964236111111111</v>
      </c>
      <c r="K18" s="47" t="s">
        <v>42</v>
      </c>
      <c r="L18" s="46" t="s">
        <v>42</v>
      </c>
      <c r="M18" s="48">
        <v>0.80793981481481481</v>
      </c>
      <c r="N18" s="47">
        <v>0.83930555555555553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6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7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6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7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5" t="s">
        <v>53</v>
      </c>
      <c r="C23" s="238"/>
      <c r="D23" s="56" t="s">
        <v>42</v>
      </c>
      <c r="E23" s="57">
        <v>20.333333333333332</v>
      </c>
      <c r="F23" s="57">
        <v>20.8</v>
      </c>
      <c r="G23" s="57">
        <v>23.2</v>
      </c>
      <c r="H23" s="57">
        <v>19.8</v>
      </c>
      <c r="I23" s="57">
        <v>5.75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9" t="s">
        <v>54</v>
      </c>
      <c r="C24" s="240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9" t="s">
        <v>59</v>
      </c>
      <c r="C25" s="240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7" t="s">
        <v>60</v>
      </c>
      <c r="C26" s="218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9" t="s">
        <v>26</v>
      </c>
      <c r="C29" s="220"/>
      <c r="D29" s="221" t="s">
        <v>64</v>
      </c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3"/>
      <c r="P29" s="224" t="s">
        <v>65</v>
      </c>
      <c r="Q29" s="225"/>
      <c r="R29" s="225"/>
      <c r="S29" s="225"/>
      <c r="T29" s="225"/>
      <c r="U29" s="225"/>
      <c r="V29" s="225"/>
      <c r="W29" s="225"/>
      <c r="X29" s="226"/>
    </row>
    <row r="30" spans="2:44" ht="17.25" customHeight="1">
      <c r="B30" s="227" t="s">
        <v>29</v>
      </c>
      <c r="C30" s="22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9"/>
      <c r="C31" s="230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3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750</v>
      </c>
      <c r="N32" s="28">
        <v>920</v>
      </c>
      <c r="O32" s="28">
        <v>872.72727272727275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750</v>
      </c>
      <c r="W32" s="28">
        <v>923.07692307692298</v>
      </c>
      <c r="X32" s="31">
        <v>900</v>
      </c>
    </row>
    <row r="33" spans="2:24" ht="39.6" customHeight="1">
      <c r="B33" s="232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287.39079150532331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699.22951612392876</v>
      </c>
      <c r="N33" s="35">
        <v>846.40045005587649</v>
      </c>
      <c r="O33" s="35">
        <v>796.51837821974141</v>
      </c>
      <c r="P33" s="34">
        <v>260.16177158529621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699.69376465004996</v>
      </c>
      <c r="W33" s="35">
        <v>847.60871084922144</v>
      </c>
      <c r="X33" s="37">
        <v>821.39923516631882</v>
      </c>
    </row>
    <row r="34" spans="2:24" ht="40.15" customHeight="1">
      <c r="B34" s="233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0.87813852959959904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0.93230602149857167</v>
      </c>
      <c r="N34" s="42">
        <f>N33/N32</f>
        <v>0.92000048919117006</v>
      </c>
      <c r="O34" s="42">
        <f>O33/O32</f>
        <v>0.91267730837678696</v>
      </c>
      <c r="P34" s="41">
        <f>P33/P32</f>
        <v>0.86720590528432073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0.9329250195333999</v>
      </c>
      <c r="W34" s="42">
        <f>W33/W32</f>
        <v>0.91824277008665667</v>
      </c>
      <c r="X34" s="45">
        <f>X33/X32</f>
        <v>0.91266581685146531</v>
      </c>
    </row>
    <row r="35" spans="2:24" ht="17.25" customHeight="1">
      <c r="B35" s="211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0.31458333333333327</v>
      </c>
      <c r="N35" s="47">
        <v>0.25</v>
      </c>
      <c r="O35" s="47">
        <v>0.25</v>
      </c>
      <c r="P35" s="46">
        <v>0.73680555555555549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0.73124999999999996</v>
      </c>
      <c r="X35" s="49">
        <v>0.73055555555555551</v>
      </c>
    </row>
    <row r="36" spans="2:24" ht="17.25" customHeight="1">
      <c r="B36" s="212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0.48258101851851842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0.38748842592592581</v>
      </c>
      <c r="N36" s="47">
        <v>0.48057870370370381</v>
      </c>
      <c r="O36" s="47">
        <v>0.46979166666666689</v>
      </c>
      <c r="P36" s="46">
        <v>0.74888888888888883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0.71978009259259268</v>
      </c>
      <c r="W36" s="47">
        <v>1.08162037037037</v>
      </c>
      <c r="X36" s="49">
        <v>1.0689467592592585</v>
      </c>
    </row>
    <row r="37" spans="2:24" ht="17.25" customHeight="1">
      <c r="B37" s="213" t="s">
        <v>53</v>
      </c>
      <c r="C37" s="214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3.75</v>
      </c>
      <c r="O37" s="57">
        <v>4.125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</v>
      </c>
      <c r="W37" s="57">
        <v>3.7142857142857144</v>
      </c>
      <c r="X37" s="59">
        <v>4</v>
      </c>
    </row>
    <row r="38" spans="2:24" ht="17.25" customHeight="1">
      <c r="B38" s="213" t="s">
        <v>54</v>
      </c>
      <c r="C38" s="214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13" t="s">
        <v>59</v>
      </c>
      <c r="C39" s="21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5" t="s">
        <v>60</v>
      </c>
      <c r="C40" s="21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38:C38"/>
    <mergeCell ref="B39:C39"/>
    <mergeCell ref="B40:C40"/>
    <mergeCell ref="D29:O29"/>
    <mergeCell ref="P29:X29"/>
    <mergeCell ref="B30:C31"/>
    <mergeCell ref="B35:B36"/>
    <mergeCell ref="B37:C37"/>
    <mergeCell ref="B32:B34"/>
    <mergeCell ref="B17:B18"/>
    <mergeCell ref="B19:B20"/>
    <mergeCell ref="B21:B22"/>
    <mergeCell ref="B23:C23"/>
    <mergeCell ref="B24:C24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90F07-9F12-4321-BCFB-B2666F2598B9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Q42" sqref="Q42"/>
      <selection pane="bottomLeft" activeCell="Q42" sqref="Q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74069</v>
      </c>
      <c r="E1" s="86" t="s">
        <v>3</v>
      </c>
      <c r="F1" s="87">
        <f>SUM(G5:G140)</f>
        <v>1470612.38</v>
      </c>
      <c r="G1" s="88" t="s">
        <v>84</v>
      </c>
      <c r="H1" s="89">
        <f>L21+L38+L55+L72+L89+L106+L123+L140</f>
        <v>46.589285714285715</v>
      </c>
      <c r="I1" s="359" t="s">
        <v>85</v>
      </c>
      <c r="J1" s="360"/>
      <c r="K1" s="361"/>
      <c r="L1" s="365" t="s">
        <v>86</v>
      </c>
      <c r="M1" s="366"/>
      <c r="N1" s="367"/>
      <c r="O1" s="360" t="s">
        <v>87</v>
      </c>
      <c r="P1" s="360"/>
      <c r="Q1" s="360"/>
      <c r="R1" s="371"/>
      <c r="S1" s="359" t="s">
        <v>88</v>
      </c>
      <c r="T1" s="360"/>
      <c r="U1" s="360"/>
      <c r="V1" s="360"/>
      <c r="W1" s="360"/>
      <c r="X1" s="371"/>
      <c r="Y1" s="360" t="s">
        <v>89</v>
      </c>
      <c r="Z1" s="360"/>
      <c r="AA1" s="359" t="s">
        <v>90</v>
      </c>
      <c r="AB1" s="374"/>
      <c r="AC1" s="375"/>
    </row>
    <row r="2" spans="1:29" ht="26.25" customHeight="1" thickBot="1">
      <c r="A2" s="352">
        <v>46302</v>
      </c>
      <c r="B2" s="353"/>
      <c r="C2" s="90" t="s">
        <v>40</v>
      </c>
      <c r="D2" s="91">
        <f>AVERAGE(N21,N38,N55,N72,N89,N106,N123,N140)</f>
        <v>657.30032726946956</v>
      </c>
      <c r="E2" s="91" t="s">
        <v>91</v>
      </c>
      <c r="F2" s="92">
        <f>F1/D1</f>
        <v>19.854627171961276</v>
      </c>
      <c r="G2" s="93" t="s">
        <v>92</v>
      </c>
      <c r="H2" s="94">
        <f>COUNT(H5:H140)</f>
        <v>14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93</v>
      </c>
      <c r="B3" s="356" t="s">
        <v>94</v>
      </c>
      <c r="C3" s="326" t="s">
        <v>95</v>
      </c>
      <c r="D3" s="326"/>
      <c r="E3" s="346" t="s">
        <v>96</v>
      </c>
      <c r="F3" s="326" t="s">
        <v>97</v>
      </c>
      <c r="G3" s="346" t="s">
        <v>98</v>
      </c>
      <c r="H3" s="348" t="s">
        <v>99</v>
      </c>
      <c r="I3" s="338" t="s">
        <v>100</v>
      </c>
      <c r="J3" s="334" t="s">
        <v>101</v>
      </c>
      <c r="K3" s="336" t="s">
        <v>40</v>
      </c>
      <c r="L3" s="350" t="s">
        <v>100</v>
      </c>
      <c r="M3" s="334" t="s">
        <v>101</v>
      </c>
      <c r="N3" s="336" t="s">
        <v>40</v>
      </c>
      <c r="O3" s="338" t="s">
        <v>100</v>
      </c>
      <c r="P3" s="340" t="s">
        <v>40</v>
      </c>
      <c r="Q3" s="342" t="s">
        <v>102</v>
      </c>
      <c r="R3" s="344" t="s">
        <v>103</v>
      </c>
      <c r="S3" s="322" t="s">
        <v>104</v>
      </c>
      <c r="T3" s="323"/>
      <c r="U3" s="324" t="s">
        <v>105</v>
      </c>
      <c r="V3" s="324" t="s">
        <v>106</v>
      </c>
      <c r="W3" s="326" t="s">
        <v>107</v>
      </c>
      <c r="X3" s="327"/>
      <c r="Y3" s="328" t="s">
        <v>108</v>
      </c>
      <c r="Z3" s="329"/>
      <c r="AA3" s="332" t="s">
        <v>101</v>
      </c>
      <c r="AB3" s="318" t="s">
        <v>102</v>
      </c>
      <c r="AC3" s="320" t="s">
        <v>109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201" t="s">
        <v>110</v>
      </c>
      <c r="T4" s="202" t="s">
        <v>111</v>
      </c>
      <c r="U4" s="325"/>
      <c r="V4" s="325"/>
      <c r="W4" s="97" t="s">
        <v>112</v>
      </c>
      <c r="X4" s="67" t="s">
        <v>113</v>
      </c>
      <c r="Y4" s="330"/>
      <c r="Z4" s="331"/>
      <c r="AA4" s="333"/>
      <c r="AB4" s="319"/>
      <c r="AC4" s="321"/>
    </row>
    <row r="5" spans="1:29" ht="15.75" customHeight="1">
      <c r="A5" s="315" t="s">
        <v>116</v>
      </c>
      <c r="B5" s="144" t="s">
        <v>114</v>
      </c>
      <c r="C5" s="305" t="s">
        <v>117</v>
      </c>
      <c r="D5" s="306"/>
      <c r="E5" s="145">
        <v>25.64</v>
      </c>
      <c r="F5" s="95">
        <v>1110</v>
      </c>
      <c r="G5" s="146">
        <f t="shared" ref="G5:G10" si="0">E5*F5</f>
        <v>28460.400000000001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 t="shared" ref="M5:M10" si="1">F5/V5*60</f>
        <v>3216.5295511531831</v>
      </c>
      <c r="N5" s="150">
        <f t="shared" ref="N5:N10" si="2">M5/L5</f>
        <v>321.65295511531832</v>
      </c>
      <c r="O5" s="152">
        <f t="shared" ref="O5:O10" si="3">L5-I5</f>
        <v>0</v>
      </c>
      <c r="P5" s="153">
        <f t="shared" ref="P5:P10" si="4">N5-K5</f>
        <v>-38.347044884681679</v>
      </c>
      <c r="Q5" s="154">
        <f t="shared" ref="Q5:Q10" si="5">N5/K5</f>
        <v>0.89348043087588425</v>
      </c>
      <c r="R5" s="307">
        <f>Q21</f>
        <v>0.87813852959959904</v>
      </c>
      <c r="S5" s="155">
        <v>0.20833333333333334</v>
      </c>
      <c r="T5" s="156">
        <v>0.22270833333333334</v>
      </c>
      <c r="U5" s="157"/>
      <c r="V5" s="158">
        <v>20.705545819133764</v>
      </c>
      <c r="W5" s="159"/>
      <c r="X5" s="160"/>
      <c r="Y5" s="310"/>
      <c r="Z5" s="311"/>
      <c r="AA5" s="113">
        <f t="shared" ref="AA5:AA10" si="6">M5-J5</f>
        <v>-383.47044884681691</v>
      </c>
      <c r="AB5" s="154">
        <f t="shared" ref="AB5:AB10" si="7">M5/J5</f>
        <v>0.89348043087588425</v>
      </c>
      <c r="AC5" s="312">
        <f>AB21</f>
        <v>0.87813852959959893</v>
      </c>
    </row>
    <row r="6" spans="1:29" ht="15.75" customHeight="1">
      <c r="A6" s="316"/>
      <c r="B6" s="98" t="s">
        <v>114</v>
      </c>
      <c r="C6" s="297" t="s">
        <v>191</v>
      </c>
      <c r="D6" s="298"/>
      <c r="E6" s="99">
        <v>29.52</v>
      </c>
      <c r="F6" s="100">
        <v>1970</v>
      </c>
      <c r="G6" s="101">
        <f t="shared" si="0"/>
        <v>58154.400000000001</v>
      </c>
      <c r="H6" s="26"/>
      <c r="I6" s="102">
        <v>11</v>
      </c>
      <c r="J6" s="103">
        <v>3600</v>
      </c>
      <c r="K6" s="104">
        <f t="shared" ref="K6:K10" si="8">J6/I6</f>
        <v>327.27272727272725</v>
      </c>
      <c r="L6" s="105">
        <v>11</v>
      </c>
      <c r="M6" s="103">
        <f t="shared" si="1"/>
        <v>3156.9318454523623</v>
      </c>
      <c r="N6" s="104">
        <f t="shared" si="2"/>
        <v>286.99380413203295</v>
      </c>
      <c r="O6" s="106">
        <f t="shared" si="3"/>
        <v>0</v>
      </c>
      <c r="P6" s="107">
        <f t="shared" si="4"/>
        <v>-40.278923140694303</v>
      </c>
      <c r="Q6" s="108">
        <f t="shared" si="5"/>
        <v>0.87692551262565632</v>
      </c>
      <c r="R6" s="308"/>
      <c r="S6" s="46">
        <v>0.22569444444444445</v>
      </c>
      <c r="T6" s="47">
        <v>0.25168981481481484</v>
      </c>
      <c r="U6" s="109">
        <v>5</v>
      </c>
      <c r="V6" s="110">
        <v>37.441416472221285</v>
      </c>
      <c r="W6" s="111"/>
      <c r="X6" s="114"/>
      <c r="Y6" s="299"/>
      <c r="Z6" s="300"/>
      <c r="AA6" s="115">
        <f t="shared" si="6"/>
        <v>-443.06815454763773</v>
      </c>
      <c r="AB6" s="108">
        <f t="shared" si="7"/>
        <v>0.87692551262565621</v>
      </c>
      <c r="AC6" s="313"/>
    </row>
    <row r="7" spans="1:29" ht="15.75" customHeight="1">
      <c r="A7" s="316"/>
      <c r="B7" s="98" t="s">
        <v>114</v>
      </c>
      <c r="C7" s="297" t="s">
        <v>192</v>
      </c>
      <c r="D7" s="298"/>
      <c r="E7" s="99">
        <v>29.85</v>
      </c>
      <c r="F7" s="100">
        <v>2320</v>
      </c>
      <c r="G7" s="101">
        <f t="shared" si="0"/>
        <v>69252</v>
      </c>
      <c r="H7" s="26"/>
      <c r="I7" s="102">
        <v>11</v>
      </c>
      <c r="J7" s="103">
        <v>3600</v>
      </c>
      <c r="K7" s="104">
        <f t="shared" si="8"/>
        <v>327.27272727272725</v>
      </c>
      <c r="L7" s="105">
        <v>11</v>
      </c>
      <c r="M7" s="103">
        <f t="shared" si="1"/>
        <v>3156.1958826193932</v>
      </c>
      <c r="N7" s="104">
        <f t="shared" si="2"/>
        <v>286.92689841994485</v>
      </c>
      <c r="O7" s="106">
        <f t="shared" si="3"/>
        <v>0</v>
      </c>
      <c r="P7" s="107">
        <f t="shared" si="4"/>
        <v>-40.345828852782404</v>
      </c>
      <c r="Q7" s="108">
        <f t="shared" si="5"/>
        <v>0.87672107850538705</v>
      </c>
      <c r="R7" s="308"/>
      <c r="S7" s="46">
        <v>0.25555555555555554</v>
      </c>
      <c r="T7" s="47">
        <v>0.28618055555555555</v>
      </c>
      <c r="U7" s="109">
        <v>5.5666666666666043</v>
      </c>
      <c r="V7" s="110">
        <v>44.103726503969398</v>
      </c>
      <c r="W7" s="111"/>
      <c r="X7" s="114"/>
      <c r="Y7" s="299"/>
      <c r="Z7" s="300"/>
      <c r="AA7" s="115">
        <f t="shared" si="6"/>
        <v>-443.80411738060684</v>
      </c>
      <c r="AB7" s="108">
        <f t="shared" si="7"/>
        <v>0.87672107850538694</v>
      </c>
      <c r="AC7" s="313"/>
    </row>
    <row r="8" spans="1:29" ht="15.75" customHeight="1">
      <c r="A8" s="316"/>
      <c r="B8" s="98" t="s">
        <v>114</v>
      </c>
      <c r="C8" s="297" t="s">
        <v>208</v>
      </c>
      <c r="D8" s="298"/>
      <c r="E8" s="99">
        <v>30</v>
      </c>
      <c r="F8" s="100">
        <v>132</v>
      </c>
      <c r="G8" s="101">
        <f t="shared" si="0"/>
        <v>3960</v>
      </c>
      <c r="H8" s="26"/>
      <c r="I8" s="102">
        <v>11</v>
      </c>
      <c r="J8" s="103">
        <v>3600</v>
      </c>
      <c r="K8" s="104">
        <f t="shared" si="8"/>
        <v>327.27272727272725</v>
      </c>
      <c r="L8" s="105">
        <v>11</v>
      </c>
      <c r="M8" s="103">
        <f t="shared" si="1"/>
        <v>3157.3472902507615</v>
      </c>
      <c r="N8" s="104">
        <f t="shared" si="2"/>
        <v>287.0315718409783</v>
      </c>
      <c r="O8" s="106">
        <f t="shared" si="3"/>
        <v>0</v>
      </c>
      <c r="P8" s="107">
        <f t="shared" si="4"/>
        <v>-40.24115543174895</v>
      </c>
      <c r="Q8" s="108">
        <f t="shared" si="5"/>
        <v>0.87704091395854489</v>
      </c>
      <c r="R8" s="308"/>
      <c r="S8" s="46">
        <v>0.2895833333333333</v>
      </c>
      <c r="T8" s="47">
        <v>0.29131944444444441</v>
      </c>
      <c r="U8" s="109">
        <v>4.8999999999999666</v>
      </c>
      <c r="V8" s="110">
        <v>2.5084348574689042</v>
      </c>
      <c r="W8" s="111"/>
      <c r="X8" s="114"/>
      <c r="Y8" s="299"/>
      <c r="Z8" s="300"/>
      <c r="AA8" s="115">
        <f t="shared" si="6"/>
        <v>-442.65270974923851</v>
      </c>
      <c r="AB8" s="108">
        <f t="shared" si="7"/>
        <v>0.87704091395854489</v>
      </c>
      <c r="AC8" s="313"/>
    </row>
    <row r="9" spans="1:29" ht="15.75" customHeight="1">
      <c r="A9" s="316"/>
      <c r="B9" s="98" t="s">
        <v>114</v>
      </c>
      <c r="C9" s="297" t="s">
        <v>224</v>
      </c>
      <c r="D9" s="298"/>
      <c r="E9" s="99">
        <v>30.95</v>
      </c>
      <c r="F9" s="100">
        <v>2107</v>
      </c>
      <c r="G9" s="101">
        <f t="shared" si="0"/>
        <v>65211.65</v>
      </c>
      <c r="H9" s="13"/>
      <c r="I9" s="102">
        <v>11</v>
      </c>
      <c r="J9" s="103">
        <v>3600</v>
      </c>
      <c r="K9" s="104">
        <f t="shared" si="8"/>
        <v>327.27272727272725</v>
      </c>
      <c r="L9" s="105">
        <v>11</v>
      </c>
      <c r="M9" s="103">
        <f t="shared" si="1"/>
        <v>3157.8090080644774</v>
      </c>
      <c r="N9" s="104">
        <f t="shared" si="2"/>
        <v>287.07354618767977</v>
      </c>
      <c r="O9" s="106">
        <f t="shared" si="3"/>
        <v>0</v>
      </c>
      <c r="P9" s="107">
        <f t="shared" si="4"/>
        <v>-40.199181085047485</v>
      </c>
      <c r="Q9" s="108">
        <f t="shared" si="5"/>
        <v>0.8771691689067993</v>
      </c>
      <c r="R9" s="308"/>
      <c r="S9" s="46">
        <v>0.2944444444444444</v>
      </c>
      <c r="T9" s="47">
        <v>0.32224537037037032</v>
      </c>
      <c r="U9" s="109">
        <v>5</v>
      </c>
      <c r="V9" s="110">
        <v>40.034086823220157</v>
      </c>
      <c r="W9" s="111"/>
      <c r="X9" s="114"/>
      <c r="Y9" s="299"/>
      <c r="Z9" s="300"/>
      <c r="AA9" s="115">
        <f t="shared" si="6"/>
        <v>-442.19099193552256</v>
      </c>
      <c r="AB9" s="108">
        <f t="shared" si="7"/>
        <v>0.8771691689067993</v>
      </c>
      <c r="AC9" s="313"/>
    </row>
    <row r="10" spans="1:29" ht="15.75" customHeight="1">
      <c r="A10" s="316"/>
      <c r="B10" s="98" t="s">
        <v>118</v>
      </c>
      <c r="C10" s="297" t="s">
        <v>119</v>
      </c>
      <c r="D10" s="298"/>
      <c r="E10" s="99">
        <v>28.57</v>
      </c>
      <c r="F10" s="100">
        <v>740</v>
      </c>
      <c r="G10" s="119">
        <f t="shared" si="0"/>
        <v>21141.8</v>
      </c>
      <c r="H10" s="120"/>
      <c r="I10" s="102">
        <v>12</v>
      </c>
      <c r="J10" s="103">
        <v>3600</v>
      </c>
      <c r="K10" s="104">
        <f t="shared" si="8"/>
        <v>300</v>
      </c>
      <c r="L10" s="105">
        <v>12</v>
      </c>
      <c r="M10" s="103">
        <f t="shared" si="1"/>
        <v>3122.9786618111575</v>
      </c>
      <c r="N10" s="104">
        <f t="shared" si="2"/>
        <v>260.24822181759646</v>
      </c>
      <c r="O10" s="106">
        <f t="shared" si="3"/>
        <v>0</v>
      </c>
      <c r="P10" s="107">
        <f t="shared" si="4"/>
        <v>-39.751778182403541</v>
      </c>
      <c r="Q10" s="108">
        <f t="shared" si="5"/>
        <v>0.86749407272532153</v>
      </c>
      <c r="R10" s="308"/>
      <c r="S10" s="46">
        <v>0.32638888888888884</v>
      </c>
      <c r="T10" s="118">
        <v>0.33626157407407403</v>
      </c>
      <c r="U10" s="109">
        <v>5.9666666666666668</v>
      </c>
      <c r="V10" s="110">
        <v>14.217196083642282</v>
      </c>
      <c r="W10" s="111"/>
      <c r="X10" s="114"/>
      <c r="Y10" s="299"/>
      <c r="Z10" s="300"/>
      <c r="AA10" s="115">
        <f t="shared" si="6"/>
        <v>-477.02133818884249</v>
      </c>
      <c r="AB10" s="108">
        <f t="shared" si="7"/>
        <v>0.86749407272532153</v>
      </c>
      <c r="AC10" s="313"/>
    </row>
    <row r="11" spans="1:29" ht="15.75" customHeight="1">
      <c r="A11" s="316"/>
      <c r="B11" s="98"/>
      <c r="C11" s="297"/>
      <c r="D11" s="298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8"/>
      <c r="S11" s="46"/>
      <c r="T11" s="118"/>
      <c r="U11" s="109"/>
      <c r="V11" s="110"/>
      <c r="W11" s="111"/>
      <c r="X11" s="114"/>
      <c r="Y11" s="299"/>
      <c r="Z11" s="300"/>
      <c r="AA11" s="115"/>
      <c r="AB11" s="108"/>
      <c r="AC11" s="313"/>
    </row>
    <row r="12" spans="1:29" ht="15.75" customHeight="1">
      <c r="A12" s="316"/>
      <c r="B12" s="98"/>
      <c r="C12" s="297"/>
      <c r="D12" s="298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8"/>
      <c r="S12" s="46"/>
      <c r="T12" s="118"/>
      <c r="U12" s="109"/>
      <c r="V12" s="110"/>
      <c r="W12" s="111"/>
      <c r="X12" s="114"/>
      <c r="Y12" s="299"/>
      <c r="Z12" s="300"/>
      <c r="AA12" s="115"/>
      <c r="AB12" s="108"/>
      <c r="AC12" s="313"/>
    </row>
    <row r="13" spans="1:29" ht="15.75" customHeight="1">
      <c r="A13" s="316"/>
      <c r="B13" s="98"/>
      <c r="C13" s="297"/>
      <c r="D13" s="298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8"/>
      <c r="S13" s="46"/>
      <c r="T13" s="118"/>
      <c r="U13" s="109"/>
      <c r="V13" s="110"/>
      <c r="W13" s="111"/>
      <c r="X13" s="125"/>
      <c r="Y13" s="299"/>
      <c r="Z13" s="300"/>
      <c r="AA13" s="115"/>
      <c r="AB13" s="108"/>
      <c r="AC13" s="313"/>
    </row>
    <row r="14" spans="1:29" ht="15.75" customHeight="1">
      <c r="A14" s="316"/>
      <c r="B14" s="98"/>
      <c r="C14" s="297"/>
      <c r="D14" s="298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8"/>
      <c r="S14" s="46"/>
      <c r="T14" s="118"/>
      <c r="U14" s="109"/>
      <c r="V14" s="110"/>
      <c r="W14" s="111"/>
      <c r="X14" s="125"/>
      <c r="Y14" s="299"/>
      <c r="Z14" s="300"/>
      <c r="AA14" s="115"/>
      <c r="AB14" s="108"/>
      <c r="AC14" s="313"/>
    </row>
    <row r="15" spans="1:29" ht="15.75" customHeight="1">
      <c r="A15" s="316"/>
      <c r="B15" s="98"/>
      <c r="C15" s="297"/>
      <c r="D15" s="298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8"/>
      <c r="S15" s="46"/>
      <c r="T15" s="118"/>
      <c r="U15" s="109"/>
      <c r="V15" s="110"/>
      <c r="W15" s="111"/>
      <c r="X15" s="125"/>
      <c r="Y15" s="299"/>
      <c r="Z15" s="300"/>
      <c r="AA15" s="115"/>
      <c r="AB15" s="108"/>
      <c r="AC15" s="313"/>
    </row>
    <row r="16" spans="1:29" ht="15.75" customHeight="1">
      <c r="A16" s="316"/>
      <c r="B16" s="98"/>
      <c r="C16" s="297"/>
      <c r="D16" s="298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8"/>
      <c r="S16" s="46"/>
      <c r="T16" s="118"/>
      <c r="U16" s="109"/>
      <c r="V16" s="110"/>
      <c r="W16" s="111"/>
      <c r="X16" s="125"/>
      <c r="Y16" s="299"/>
      <c r="Z16" s="300"/>
      <c r="AA16" s="115"/>
      <c r="AB16" s="108"/>
      <c r="AC16" s="313"/>
    </row>
    <row r="17" spans="1:29" ht="15.75" customHeight="1">
      <c r="A17" s="316"/>
      <c r="B17" s="98"/>
      <c r="C17" s="297"/>
      <c r="D17" s="298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8"/>
      <c r="S17" s="46"/>
      <c r="T17" s="118"/>
      <c r="U17" s="109"/>
      <c r="V17" s="110"/>
      <c r="W17" s="111"/>
      <c r="X17" s="125"/>
      <c r="Y17" s="299"/>
      <c r="Z17" s="300"/>
      <c r="AA17" s="115"/>
      <c r="AB17" s="108"/>
      <c r="AC17" s="313"/>
    </row>
    <row r="18" spans="1:29" ht="15.75" customHeight="1">
      <c r="A18" s="316"/>
      <c r="B18" s="98"/>
      <c r="C18" s="297"/>
      <c r="D18" s="298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8"/>
      <c r="S18" s="46"/>
      <c r="T18" s="118"/>
      <c r="U18" s="109"/>
      <c r="V18" s="110"/>
      <c r="W18" s="111"/>
      <c r="X18" s="125"/>
      <c r="Y18" s="299"/>
      <c r="Z18" s="300"/>
      <c r="AA18" s="115"/>
      <c r="AB18" s="108"/>
      <c r="AC18" s="313"/>
    </row>
    <row r="19" spans="1:29" ht="15.75" customHeight="1">
      <c r="A19" s="316"/>
      <c r="B19" s="98"/>
      <c r="C19" s="297"/>
      <c r="D19" s="298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8"/>
      <c r="S19" s="46"/>
      <c r="T19" s="118"/>
      <c r="U19" s="109"/>
      <c r="V19" s="110"/>
      <c r="W19" s="111"/>
      <c r="X19" s="125"/>
      <c r="Y19" s="299"/>
      <c r="Z19" s="300"/>
      <c r="AA19" s="115"/>
      <c r="AB19" s="108"/>
      <c r="AC19" s="313"/>
    </row>
    <row r="20" spans="1:29" ht="15.75" customHeight="1">
      <c r="A20" s="316"/>
      <c r="B20" s="161"/>
      <c r="C20" s="297"/>
      <c r="D20" s="298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8"/>
      <c r="S20" s="117"/>
      <c r="T20" s="118"/>
      <c r="U20" s="128"/>
      <c r="V20" s="129"/>
      <c r="W20" s="124"/>
      <c r="X20" s="125"/>
      <c r="Y20" s="299"/>
      <c r="Z20" s="300"/>
      <c r="AA20" s="163"/>
      <c r="AB20" s="123"/>
      <c r="AC20" s="313"/>
    </row>
    <row r="21" spans="1:29" ht="15.75" customHeight="1" thickBot="1">
      <c r="A21" s="317"/>
      <c r="B21" s="131" t="s">
        <v>115</v>
      </c>
      <c r="C21" s="294"/>
      <c r="D21" s="294"/>
      <c r="E21" s="132"/>
      <c r="F21" s="165"/>
      <c r="G21" s="133"/>
      <c r="H21" s="67"/>
      <c r="I21" s="134">
        <f t="shared" ref="I21:J21" si="9">AVERAGE(I5:I20)</f>
        <v>11</v>
      </c>
      <c r="J21" s="135">
        <f t="shared" si="9"/>
        <v>3600</v>
      </c>
      <c r="K21" s="136">
        <f t="shared" ref="K21" si="10">J21/I21</f>
        <v>327.27272727272725</v>
      </c>
      <c r="L21" s="134">
        <f t="shared" ref="L21:M21" si="11">AVERAGE(L5:L20)</f>
        <v>11</v>
      </c>
      <c r="M21" s="135">
        <f t="shared" si="11"/>
        <v>3161.2987065585562</v>
      </c>
      <c r="N21" s="136">
        <f>M21/L21</f>
        <v>287.39079150532331</v>
      </c>
      <c r="O21" s="137">
        <f>L21-I21</f>
        <v>0</v>
      </c>
      <c r="P21" s="138">
        <f>N21-K21</f>
        <v>-39.881935767403945</v>
      </c>
      <c r="Q21" s="139">
        <f>N21/K21</f>
        <v>0.87813852959959904</v>
      </c>
      <c r="R21" s="309"/>
      <c r="S21" s="140">
        <v>0.20833333333333334</v>
      </c>
      <c r="T21" s="141">
        <v>0.48258101851851842</v>
      </c>
      <c r="U21" s="142"/>
      <c r="V21" s="164"/>
      <c r="W21" s="165"/>
      <c r="X21" s="136"/>
      <c r="Y21" s="295"/>
      <c r="Z21" s="296"/>
      <c r="AA21" s="166">
        <f>M21-J21</f>
        <v>-438.7012934414438</v>
      </c>
      <c r="AB21" s="139">
        <f>M21/J21</f>
        <v>0.87813852959959893</v>
      </c>
      <c r="AC21" s="314"/>
    </row>
    <row r="22" spans="1:29" ht="15.75" customHeight="1">
      <c r="A22" s="301" t="s">
        <v>121</v>
      </c>
      <c r="B22" s="112" t="s">
        <v>118</v>
      </c>
      <c r="C22" s="305" t="s">
        <v>182</v>
      </c>
      <c r="D22" s="306"/>
      <c r="E22" s="145">
        <v>18.53</v>
      </c>
      <c r="F22" s="95">
        <v>1498</v>
      </c>
      <c r="G22" s="146">
        <f t="shared" ref="G22:G23" si="12">E22*F22</f>
        <v>27757.940000000002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3078.5714026404626</v>
      </c>
      <c r="N22" s="150">
        <f>M22/L22</f>
        <v>1026.1904675468209</v>
      </c>
      <c r="O22" s="152">
        <f>L22-I22</f>
        <v>0</v>
      </c>
      <c r="P22" s="153">
        <f>N22-K22</f>
        <v>-73.809532453179145</v>
      </c>
      <c r="Q22" s="154">
        <f>N22/K22</f>
        <v>0.93290042504256443</v>
      </c>
      <c r="R22" s="307">
        <f>Q38</f>
        <v>0.93230602149857167</v>
      </c>
      <c r="S22" s="155">
        <v>0.31458333333333327</v>
      </c>
      <c r="T22" s="156">
        <v>0.33484953703703696</v>
      </c>
      <c r="U22" s="157"/>
      <c r="V22" s="110">
        <v>29.195359874684325</v>
      </c>
      <c r="W22" s="159"/>
      <c r="X22" s="160"/>
      <c r="Y22" s="310"/>
      <c r="Z22" s="311"/>
      <c r="AA22" s="113">
        <f>M22-J22</f>
        <v>-221.42859735953743</v>
      </c>
      <c r="AB22" s="154">
        <f>M22/J22</f>
        <v>0.93290042504256443</v>
      </c>
      <c r="AC22" s="312">
        <f>AB38</f>
        <v>0.93230602149857167</v>
      </c>
    </row>
    <row r="23" spans="1:29" ht="15.75" customHeight="1">
      <c r="A23" s="302"/>
      <c r="B23" s="98" t="s">
        <v>118</v>
      </c>
      <c r="C23" s="297" t="s">
        <v>225</v>
      </c>
      <c r="D23" s="298"/>
      <c r="E23" s="99">
        <v>22.95</v>
      </c>
      <c r="F23" s="100">
        <v>2934</v>
      </c>
      <c r="G23" s="101">
        <f t="shared" si="12"/>
        <v>67335.3</v>
      </c>
      <c r="H23" s="26"/>
      <c r="I23" s="102">
        <v>5</v>
      </c>
      <c r="J23" s="103">
        <v>2700</v>
      </c>
      <c r="K23" s="104">
        <f t="shared" ref="K23" si="13">J23/I23</f>
        <v>540</v>
      </c>
      <c r="L23" s="105">
        <v>5</v>
      </c>
      <c r="M23" s="103">
        <f>F23/V23*60</f>
        <v>2515.2647263509671</v>
      </c>
      <c r="N23" s="104">
        <f>M23/L23</f>
        <v>503.05294527019339</v>
      </c>
      <c r="O23" s="106">
        <f>L23-I23</f>
        <v>0</v>
      </c>
      <c r="P23" s="107">
        <f>N23-K23</f>
        <v>-36.947054729806609</v>
      </c>
      <c r="Q23" s="108">
        <f>N23/K23</f>
        <v>0.93157952827813595</v>
      </c>
      <c r="R23" s="308"/>
      <c r="S23" s="46">
        <v>0.3388888888888888</v>
      </c>
      <c r="T23" s="47">
        <v>0.38748842592592581</v>
      </c>
      <c r="U23" s="109">
        <v>5.8166666666666433</v>
      </c>
      <c r="V23" s="110">
        <v>69.988656921767003</v>
      </c>
      <c r="W23" s="111"/>
      <c r="X23" s="114"/>
      <c r="Y23" s="299"/>
      <c r="Z23" s="300"/>
      <c r="AA23" s="115">
        <f>M23-J23</f>
        <v>-184.73527364903293</v>
      </c>
      <c r="AB23" s="108">
        <f>M23/J23</f>
        <v>0.93157952827813595</v>
      </c>
      <c r="AC23" s="313"/>
    </row>
    <row r="24" spans="1:29" ht="15.75" customHeight="1">
      <c r="A24" s="302"/>
      <c r="B24" s="98"/>
      <c r="C24" s="297"/>
      <c r="D24" s="298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08"/>
      <c r="S24" s="46"/>
      <c r="T24" s="47"/>
      <c r="U24" s="109"/>
      <c r="V24" s="110"/>
      <c r="W24" s="111"/>
      <c r="X24" s="114"/>
      <c r="Y24" s="299"/>
      <c r="Z24" s="300"/>
      <c r="AA24" s="115"/>
      <c r="AB24" s="108"/>
      <c r="AC24" s="313"/>
    </row>
    <row r="25" spans="1:29" ht="15.75" customHeight="1">
      <c r="A25" s="302"/>
      <c r="B25" s="98"/>
      <c r="C25" s="297"/>
      <c r="D25" s="298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8"/>
      <c r="S25" s="46"/>
      <c r="T25" s="47"/>
      <c r="U25" s="109"/>
      <c r="V25" s="110"/>
      <c r="W25" s="111"/>
      <c r="X25" s="114"/>
      <c r="Y25" s="299"/>
      <c r="Z25" s="300"/>
      <c r="AA25" s="115"/>
      <c r="AB25" s="108"/>
      <c r="AC25" s="313"/>
    </row>
    <row r="26" spans="1:29" ht="15.75" customHeight="1">
      <c r="A26" s="303"/>
      <c r="B26" s="98"/>
      <c r="C26" s="297"/>
      <c r="D26" s="298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8"/>
      <c r="S26" s="46"/>
      <c r="T26" s="47"/>
      <c r="U26" s="109"/>
      <c r="V26" s="110"/>
      <c r="W26" s="111"/>
      <c r="X26" s="114"/>
      <c r="Y26" s="299"/>
      <c r="Z26" s="300"/>
      <c r="AA26" s="115"/>
      <c r="AB26" s="108"/>
      <c r="AC26" s="313"/>
    </row>
    <row r="27" spans="1:29" ht="15.75" customHeight="1">
      <c r="A27" s="303"/>
      <c r="B27" s="98"/>
      <c r="C27" s="297"/>
      <c r="D27" s="298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8"/>
      <c r="S27" s="46"/>
      <c r="T27" s="118"/>
      <c r="U27" s="109"/>
      <c r="V27" s="110"/>
      <c r="W27" s="111"/>
      <c r="X27" s="114"/>
      <c r="Y27" s="299"/>
      <c r="Z27" s="300"/>
      <c r="AA27" s="115"/>
      <c r="AB27" s="108"/>
      <c r="AC27" s="313"/>
    </row>
    <row r="28" spans="1:29" ht="15.75" customHeight="1">
      <c r="A28" s="303"/>
      <c r="B28" s="98"/>
      <c r="C28" s="297"/>
      <c r="D28" s="298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8"/>
      <c r="S28" s="46"/>
      <c r="T28" s="118"/>
      <c r="U28" s="109"/>
      <c r="V28" s="110"/>
      <c r="W28" s="111"/>
      <c r="X28" s="114"/>
      <c r="Y28" s="299"/>
      <c r="Z28" s="300"/>
      <c r="AA28" s="115"/>
      <c r="AB28" s="108"/>
      <c r="AC28" s="313"/>
    </row>
    <row r="29" spans="1:29" ht="15.75" customHeight="1">
      <c r="A29" s="303"/>
      <c r="B29" s="98"/>
      <c r="C29" s="297"/>
      <c r="D29" s="298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8"/>
      <c r="S29" s="46"/>
      <c r="T29" s="118"/>
      <c r="U29" s="109"/>
      <c r="V29" s="110"/>
      <c r="W29" s="111"/>
      <c r="X29" s="114"/>
      <c r="Y29" s="299"/>
      <c r="Z29" s="300"/>
      <c r="AA29" s="115"/>
      <c r="AB29" s="108"/>
      <c r="AC29" s="313"/>
    </row>
    <row r="30" spans="1:29" ht="15.75" customHeight="1">
      <c r="A30" s="303"/>
      <c r="B30" s="98"/>
      <c r="C30" s="297"/>
      <c r="D30" s="298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8"/>
      <c r="S30" s="46"/>
      <c r="T30" s="118"/>
      <c r="U30" s="109"/>
      <c r="V30" s="110"/>
      <c r="W30" s="111"/>
      <c r="X30" s="114"/>
      <c r="Y30" s="299"/>
      <c r="Z30" s="300"/>
      <c r="AA30" s="115"/>
      <c r="AB30" s="108"/>
      <c r="AC30" s="313"/>
    </row>
    <row r="31" spans="1:29" ht="15.75" customHeight="1">
      <c r="A31" s="303"/>
      <c r="B31" s="98"/>
      <c r="C31" s="297"/>
      <c r="D31" s="298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8"/>
      <c r="S31" s="46"/>
      <c r="T31" s="118"/>
      <c r="U31" s="109"/>
      <c r="V31" s="110"/>
      <c r="W31" s="111"/>
      <c r="X31" s="114"/>
      <c r="Y31" s="299"/>
      <c r="Z31" s="300"/>
      <c r="AA31" s="115"/>
      <c r="AB31" s="108"/>
      <c r="AC31" s="313"/>
    </row>
    <row r="32" spans="1:29" ht="15.75" customHeight="1">
      <c r="A32" s="303"/>
      <c r="B32" s="98"/>
      <c r="C32" s="297"/>
      <c r="D32" s="298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8"/>
      <c r="S32" s="46"/>
      <c r="T32" s="118"/>
      <c r="U32" s="109"/>
      <c r="V32" s="110"/>
      <c r="W32" s="111"/>
      <c r="X32" s="114"/>
      <c r="Y32" s="299"/>
      <c r="Z32" s="300"/>
      <c r="AA32" s="115"/>
      <c r="AB32" s="108"/>
      <c r="AC32" s="313"/>
    </row>
    <row r="33" spans="1:29" ht="15.75" customHeight="1">
      <c r="A33" s="303"/>
      <c r="B33" s="98"/>
      <c r="C33" s="297"/>
      <c r="D33" s="298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8"/>
      <c r="S33" s="46"/>
      <c r="T33" s="118"/>
      <c r="U33" s="109"/>
      <c r="V33" s="110"/>
      <c r="W33" s="111"/>
      <c r="X33" s="114"/>
      <c r="Y33" s="299"/>
      <c r="Z33" s="300"/>
      <c r="AA33" s="115"/>
      <c r="AB33" s="108"/>
      <c r="AC33" s="313"/>
    </row>
    <row r="34" spans="1:29" ht="15.75" customHeight="1">
      <c r="A34" s="303"/>
      <c r="B34" s="98"/>
      <c r="C34" s="297"/>
      <c r="D34" s="298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8"/>
      <c r="S34" s="46"/>
      <c r="T34" s="118"/>
      <c r="U34" s="109"/>
      <c r="V34" s="110"/>
      <c r="W34" s="111"/>
      <c r="X34" s="114"/>
      <c r="Y34" s="299"/>
      <c r="Z34" s="300"/>
      <c r="AA34" s="115"/>
      <c r="AB34" s="108"/>
      <c r="AC34" s="313"/>
    </row>
    <row r="35" spans="1:29" ht="15.75" customHeight="1">
      <c r="A35" s="303"/>
      <c r="B35" s="98"/>
      <c r="C35" s="297"/>
      <c r="D35" s="298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8"/>
      <c r="S35" s="46"/>
      <c r="T35" s="118"/>
      <c r="U35" s="109"/>
      <c r="V35" s="110"/>
      <c r="W35" s="111"/>
      <c r="X35" s="114"/>
      <c r="Y35" s="299"/>
      <c r="Z35" s="300"/>
      <c r="AA35" s="115"/>
      <c r="AB35" s="108"/>
      <c r="AC35" s="313"/>
    </row>
    <row r="36" spans="1:29" ht="15.75" customHeight="1">
      <c r="A36" s="303"/>
      <c r="B36" s="98"/>
      <c r="C36" s="297"/>
      <c r="D36" s="298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8"/>
      <c r="S36" s="46"/>
      <c r="T36" s="118"/>
      <c r="U36" s="109"/>
      <c r="V36" s="110"/>
      <c r="W36" s="111"/>
      <c r="X36" s="114"/>
      <c r="Y36" s="299"/>
      <c r="Z36" s="300"/>
      <c r="AA36" s="115"/>
      <c r="AB36" s="108"/>
      <c r="AC36" s="313"/>
    </row>
    <row r="37" spans="1:29" ht="15.75" customHeight="1">
      <c r="A37" s="303"/>
      <c r="B37" s="98"/>
      <c r="C37" s="297"/>
      <c r="D37" s="298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8"/>
      <c r="S37" s="117"/>
      <c r="T37" s="118"/>
      <c r="U37" s="128"/>
      <c r="V37" s="129"/>
      <c r="W37" s="124"/>
      <c r="X37" s="125"/>
      <c r="Y37" s="299"/>
      <c r="Z37" s="300"/>
      <c r="AA37" s="163"/>
      <c r="AB37" s="123"/>
      <c r="AC37" s="313"/>
    </row>
    <row r="38" spans="1:29" ht="15.75" customHeight="1" thickBot="1">
      <c r="A38" s="304"/>
      <c r="B38" s="131" t="s">
        <v>115</v>
      </c>
      <c r="C38" s="294"/>
      <c r="D38" s="294"/>
      <c r="E38" s="132"/>
      <c r="F38" s="97"/>
      <c r="G38" s="133"/>
      <c r="H38" s="67"/>
      <c r="I38" s="134">
        <f t="shared" ref="I38:J38" si="14">AVERAGE(I22:I37)</f>
        <v>4</v>
      </c>
      <c r="J38" s="135">
        <f t="shared" si="14"/>
        <v>3000</v>
      </c>
      <c r="K38" s="136">
        <f t="shared" ref="K38" si="15">J38/I38</f>
        <v>750</v>
      </c>
      <c r="L38" s="134">
        <f t="shared" ref="L38:M38" si="16">AVERAGE(L22:L37)</f>
        <v>4</v>
      </c>
      <c r="M38" s="135">
        <f t="shared" si="16"/>
        <v>2796.918064495715</v>
      </c>
      <c r="N38" s="136">
        <f t="shared" ref="N38:N46" si="17">M38/L38</f>
        <v>699.22951612392876</v>
      </c>
      <c r="O38" s="137">
        <f t="shared" ref="O38:O46" si="18">L38-I38</f>
        <v>0</v>
      </c>
      <c r="P38" s="138">
        <f t="shared" ref="P38:P46" si="19">N38-K38</f>
        <v>-50.770483876071239</v>
      </c>
      <c r="Q38" s="139">
        <f t="shared" ref="Q38:Q46" si="20">N38/K38</f>
        <v>0.93230602149857167</v>
      </c>
      <c r="R38" s="309"/>
      <c r="S38" s="140">
        <v>0.31458333333333327</v>
      </c>
      <c r="T38" s="141">
        <v>0.38748842592592581</v>
      </c>
      <c r="U38" s="142"/>
      <c r="V38" s="164"/>
      <c r="W38" s="97"/>
      <c r="X38" s="67"/>
      <c r="Y38" s="295"/>
      <c r="Z38" s="296"/>
      <c r="AA38" s="166">
        <f t="shared" ref="AA38:AA46" si="21">M38-J38</f>
        <v>-203.08193550428496</v>
      </c>
      <c r="AB38" s="139">
        <f t="shared" ref="AB38:AB46" si="22">M38/J38</f>
        <v>0.93230602149857167</v>
      </c>
      <c r="AC38" s="314"/>
    </row>
    <row r="39" spans="1:29" ht="15.75" customHeight="1">
      <c r="A39" s="315" t="s">
        <v>71</v>
      </c>
      <c r="B39" s="112" t="s">
        <v>118</v>
      </c>
      <c r="C39" s="305" t="s">
        <v>129</v>
      </c>
      <c r="D39" s="306"/>
      <c r="E39" s="145">
        <v>24.82</v>
      </c>
      <c r="F39" s="95">
        <v>722</v>
      </c>
      <c r="G39" s="146">
        <f t="shared" ref="G39:G46" si="23">E39*F39</f>
        <v>17920.04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6" si="24">F39/V39*60</f>
        <v>3286.8811082212324</v>
      </c>
      <c r="N39" s="150">
        <f t="shared" si="17"/>
        <v>657.37622164424647</v>
      </c>
      <c r="O39" s="152">
        <f t="shared" si="18"/>
        <v>0</v>
      </c>
      <c r="P39" s="153">
        <f t="shared" si="19"/>
        <v>-62.623778355753529</v>
      </c>
      <c r="Q39" s="154">
        <f t="shared" si="20"/>
        <v>0.9130225300614534</v>
      </c>
      <c r="R39" s="307">
        <f>Q55</f>
        <v>0.92000048919117006</v>
      </c>
      <c r="S39" s="155">
        <v>0.25</v>
      </c>
      <c r="T39" s="156">
        <v>0.25914351851851852</v>
      </c>
      <c r="U39" s="157"/>
      <c r="V39" s="158">
        <v>13.179667463981854</v>
      </c>
      <c r="W39" s="159"/>
      <c r="X39" s="160"/>
      <c r="Y39" s="310"/>
      <c r="Z39" s="311"/>
      <c r="AA39" s="113">
        <f t="shared" si="21"/>
        <v>-313.11889177876765</v>
      </c>
      <c r="AB39" s="154">
        <f t="shared" si="22"/>
        <v>0.9130225300614534</v>
      </c>
      <c r="AC39" s="312">
        <f>AB55</f>
        <v>0.92000048919117006</v>
      </c>
    </row>
    <row r="40" spans="1:29" ht="15.75" customHeight="1">
      <c r="A40" s="316"/>
      <c r="B40" s="98" t="s">
        <v>118</v>
      </c>
      <c r="C40" s="297" t="s">
        <v>128</v>
      </c>
      <c r="D40" s="298"/>
      <c r="E40" s="99">
        <v>25.03</v>
      </c>
      <c r="F40" s="100">
        <v>629</v>
      </c>
      <c r="G40" s="101">
        <f t="shared" si="23"/>
        <v>15743.87</v>
      </c>
      <c r="H40" s="26"/>
      <c r="I40" s="102">
        <v>5</v>
      </c>
      <c r="J40" s="103">
        <v>3600</v>
      </c>
      <c r="K40" s="104">
        <f t="shared" ref="K40:K63" si="25">J40/I40</f>
        <v>720</v>
      </c>
      <c r="L40" s="105">
        <v>5</v>
      </c>
      <c r="M40" s="103">
        <f t="shared" si="24"/>
        <v>3285.9625846241711</v>
      </c>
      <c r="N40" s="104">
        <f t="shared" si="17"/>
        <v>657.19251692483419</v>
      </c>
      <c r="O40" s="106">
        <f t="shared" si="18"/>
        <v>0</v>
      </c>
      <c r="P40" s="107">
        <f t="shared" si="19"/>
        <v>-62.807483075165806</v>
      </c>
      <c r="Q40" s="108">
        <f t="shared" si="20"/>
        <v>0.91276738461782525</v>
      </c>
      <c r="R40" s="308"/>
      <c r="S40" s="46">
        <v>0.26875000000000004</v>
      </c>
      <c r="T40" s="47">
        <v>0.27672453703703709</v>
      </c>
      <c r="U40" s="109">
        <v>13.833333333333391</v>
      </c>
      <c r="V40" s="110">
        <v>11.485219027323915</v>
      </c>
      <c r="W40" s="111"/>
      <c r="X40" s="114"/>
      <c r="Y40" s="299"/>
      <c r="Z40" s="300"/>
      <c r="AA40" s="115">
        <f t="shared" si="21"/>
        <v>-314.03741537582891</v>
      </c>
      <c r="AB40" s="108">
        <f t="shared" si="22"/>
        <v>0.91276738461782525</v>
      </c>
      <c r="AC40" s="313"/>
    </row>
    <row r="41" spans="1:29" ht="15.75" customHeight="1">
      <c r="A41" s="316"/>
      <c r="B41" s="98" t="s">
        <v>118</v>
      </c>
      <c r="C41" s="297" t="s">
        <v>219</v>
      </c>
      <c r="D41" s="298"/>
      <c r="E41" s="99">
        <v>23.8</v>
      </c>
      <c r="F41" s="100">
        <v>490</v>
      </c>
      <c r="G41" s="101">
        <f t="shared" si="23"/>
        <v>11662</v>
      </c>
      <c r="H41" s="26"/>
      <c r="I41" s="102">
        <v>4</v>
      </c>
      <c r="J41" s="103">
        <v>3600</v>
      </c>
      <c r="K41" s="104">
        <f t="shared" si="25"/>
        <v>900</v>
      </c>
      <c r="L41" s="105">
        <v>4</v>
      </c>
      <c r="M41" s="103">
        <f t="shared" si="24"/>
        <v>3282.7737273714492</v>
      </c>
      <c r="N41" s="104">
        <f t="shared" si="17"/>
        <v>820.69343184286231</v>
      </c>
      <c r="O41" s="106">
        <f t="shared" si="18"/>
        <v>0</v>
      </c>
      <c r="P41" s="107">
        <f t="shared" si="19"/>
        <v>-79.30656815713769</v>
      </c>
      <c r="Q41" s="108">
        <f t="shared" si="20"/>
        <v>0.91188159093651366</v>
      </c>
      <c r="R41" s="308"/>
      <c r="S41" s="46">
        <v>0.28541666666666671</v>
      </c>
      <c r="T41" s="47">
        <v>0.29163194444444451</v>
      </c>
      <c r="U41" s="109">
        <v>12.516666666666652</v>
      </c>
      <c r="V41" s="110">
        <v>8.9558411397245106</v>
      </c>
      <c r="W41" s="111"/>
      <c r="X41" s="114"/>
      <c r="Y41" s="299"/>
      <c r="Z41" s="300"/>
      <c r="AA41" s="115">
        <f t="shared" si="21"/>
        <v>-317.22627262855076</v>
      </c>
      <c r="AB41" s="108">
        <f t="shared" si="22"/>
        <v>0.91188159093651366</v>
      </c>
      <c r="AC41" s="313"/>
    </row>
    <row r="42" spans="1:29" ht="15.75" customHeight="1">
      <c r="A42" s="316"/>
      <c r="B42" s="98" t="s">
        <v>118</v>
      </c>
      <c r="C42" s="297" t="s">
        <v>207</v>
      </c>
      <c r="D42" s="298"/>
      <c r="E42" s="99">
        <v>30</v>
      </c>
      <c r="F42" s="100">
        <v>607</v>
      </c>
      <c r="G42" s="101">
        <f t="shared" si="23"/>
        <v>18210</v>
      </c>
      <c r="H42" s="26"/>
      <c r="I42" s="102">
        <v>4</v>
      </c>
      <c r="J42" s="103">
        <v>3300</v>
      </c>
      <c r="K42" s="104">
        <f t="shared" si="25"/>
        <v>825</v>
      </c>
      <c r="L42" s="105">
        <v>4</v>
      </c>
      <c r="M42" s="103">
        <f t="shared" si="24"/>
        <v>3082.5881737597656</v>
      </c>
      <c r="N42" s="104">
        <f t="shared" si="17"/>
        <v>770.6470434399414</v>
      </c>
      <c r="O42" s="106">
        <f t="shared" si="18"/>
        <v>0</v>
      </c>
      <c r="P42" s="107">
        <f t="shared" si="19"/>
        <v>-54.352956560058601</v>
      </c>
      <c r="Q42" s="108">
        <f t="shared" si="20"/>
        <v>0.93411762841205015</v>
      </c>
      <c r="R42" s="308"/>
      <c r="S42" s="46">
        <v>0.30069444444444449</v>
      </c>
      <c r="T42" s="47">
        <v>0.30888888888888894</v>
      </c>
      <c r="U42" s="109">
        <v>13.049999999999962</v>
      </c>
      <c r="V42" s="110">
        <v>11.8147472017254</v>
      </c>
      <c r="W42" s="111"/>
      <c r="X42" s="114"/>
      <c r="Y42" s="299"/>
      <c r="Z42" s="300"/>
      <c r="AA42" s="115">
        <f t="shared" si="21"/>
        <v>-217.4118262402344</v>
      </c>
      <c r="AB42" s="108">
        <f t="shared" si="22"/>
        <v>0.93411762841205015</v>
      </c>
      <c r="AC42" s="313"/>
    </row>
    <row r="43" spans="1:29" ht="15.75" customHeight="1">
      <c r="A43" s="316"/>
      <c r="B43" s="98" t="s">
        <v>118</v>
      </c>
      <c r="C43" s="297" t="s">
        <v>124</v>
      </c>
      <c r="D43" s="298"/>
      <c r="E43" s="99">
        <v>18.18</v>
      </c>
      <c r="F43" s="100">
        <v>839</v>
      </c>
      <c r="G43" s="101">
        <f t="shared" si="23"/>
        <v>15253.02</v>
      </c>
      <c r="H43" s="13"/>
      <c r="I43" s="102">
        <v>3</v>
      </c>
      <c r="J43" s="103">
        <v>3600</v>
      </c>
      <c r="K43" s="104">
        <f t="shared" si="25"/>
        <v>1200</v>
      </c>
      <c r="L43" s="105">
        <v>3</v>
      </c>
      <c r="M43" s="103">
        <f t="shared" si="24"/>
        <v>3283.1276589500812</v>
      </c>
      <c r="N43" s="104">
        <f t="shared" si="17"/>
        <v>1094.3758863166938</v>
      </c>
      <c r="O43" s="106">
        <f t="shared" si="18"/>
        <v>0</v>
      </c>
      <c r="P43" s="107">
        <f t="shared" si="19"/>
        <v>-105.62411368330618</v>
      </c>
      <c r="Q43" s="108">
        <f t="shared" si="20"/>
        <v>0.91197990526391148</v>
      </c>
      <c r="R43" s="308"/>
      <c r="S43" s="46">
        <v>0.31805555555555559</v>
      </c>
      <c r="T43" s="47">
        <v>0.32869212962962968</v>
      </c>
      <c r="U43" s="109">
        <v>13.199999999999985</v>
      </c>
      <c r="V43" s="110">
        <v>15.332940180613733</v>
      </c>
      <c r="W43" s="111"/>
      <c r="X43" s="114"/>
      <c r="Y43" s="299"/>
      <c r="Z43" s="300"/>
      <c r="AA43" s="115">
        <f t="shared" si="21"/>
        <v>-316.87234104991876</v>
      </c>
      <c r="AB43" s="108">
        <f t="shared" si="22"/>
        <v>0.91197990526391148</v>
      </c>
      <c r="AC43" s="313"/>
    </row>
    <row r="44" spans="1:29" ht="15.75" customHeight="1">
      <c r="A44" s="316"/>
      <c r="B44" s="98" t="s">
        <v>118</v>
      </c>
      <c r="C44" s="297" t="s">
        <v>199</v>
      </c>
      <c r="D44" s="298"/>
      <c r="E44" s="99">
        <v>17.07</v>
      </c>
      <c r="F44" s="100">
        <v>1139</v>
      </c>
      <c r="G44" s="119">
        <f t="shared" si="23"/>
        <v>19442.73</v>
      </c>
      <c r="H44" s="120"/>
      <c r="I44" s="102">
        <v>3</v>
      </c>
      <c r="J44" s="103">
        <v>3300</v>
      </c>
      <c r="K44" s="104">
        <f t="shared" si="25"/>
        <v>1100</v>
      </c>
      <c r="L44" s="105">
        <v>3</v>
      </c>
      <c r="M44" s="103">
        <f t="shared" si="24"/>
        <v>3080.7725973876745</v>
      </c>
      <c r="N44" s="104">
        <f t="shared" si="17"/>
        <v>1026.9241991292249</v>
      </c>
      <c r="O44" s="106">
        <f t="shared" si="18"/>
        <v>0</v>
      </c>
      <c r="P44" s="107">
        <f t="shared" si="19"/>
        <v>-73.075800870775083</v>
      </c>
      <c r="Q44" s="108">
        <f t="shared" si="20"/>
        <v>0.93356745375384087</v>
      </c>
      <c r="R44" s="308"/>
      <c r="S44" s="46">
        <v>0.33819444444444452</v>
      </c>
      <c r="T44" s="118">
        <v>0.35358796296296302</v>
      </c>
      <c r="U44" s="109">
        <v>13.683333333333367</v>
      </c>
      <c r="V44" s="110">
        <v>22.182747294606735</v>
      </c>
      <c r="W44" s="111"/>
      <c r="X44" s="114"/>
      <c r="Y44" s="299"/>
      <c r="Z44" s="300"/>
      <c r="AA44" s="115">
        <f t="shared" si="21"/>
        <v>-219.22740261232548</v>
      </c>
      <c r="AB44" s="108">
        <f t="shared" si="22"/>
        <v>0.93356745375384076</v>
      </c>
      <c r="AC44" s="313"/>
    </row>
    <row r="45" spans="1:29" ht="15.75" customHeight="1">
      <c r="A45" s="316"/>
      <c r="B45" s="98" t="s">
        <v>118</v>
      </c>
      <c r="C45" s="297" t="s">
        <v>125</v>
      </c>
      <c r="D45" s="298"/>
      <c r="E45" s="99">
        <v>14.03</v>
      </c>
      <c r="F45" s="100">
        <v>3239</v>
      </c>
      <c r="G45" s="119">
        <f t="shared" si="23"/>
        <v>45443.17</v>
      </c>
      <c r="H45" s="60"/>
      <c r="I45" s="102">
        <v>3</v>
      </c>
      <c r="J45" s="103">
        <v>3000</v>
      </c>
      <c r="K45" s="104">
        <f t="shared" si="25"/>
        <v>1000</v>
      </c>
      <c r="L45" s="105">
        <v>3</v>
      </c>
      <c r="M45" s="103">
        <f t="shared" si="24"/>
        <v>2801.9555878084175</v>
      </c>
      <c r="N45" s="104">
        <f t="shared" si="17"/>
        <v>933.98519593613912</v>
      </c>
      <c r="O45" s="121">
        <f t="shared" si="18"/>
        <v>0</v>
      </c>
      <c r="P45" s="122">
        <f t="shared" si="19"/>
        <v>-66.014804063860879</v>
      </c>
      <c r="Q45" s="123">
        <f t="shared" si="20"/>
        <v>0.93398519593613916</v>
      </c>
      <c r="R45" s="308"/>
      <c r="S45" s="46">
        <v>0.3625000000000001</v>
      </c>
      <c r="T45" s="118">
        <v>0.4106597222222223</v>
      </c>
      <c r="U45" s="109">
        <v>12.833333333333394</v>
      </c>
      <c r="V45" s="110">
        <v>69.35870106064219</v>
      </c>
      <c r="W45" s="111"/>
      <c r="X45" s="114"/>
      <c r="Y45" s="299"/>
      <c r="Z45" s="300"/>
      <c r="AA45" s="115">
        <f t="shared" si="21"/>
        <v>-198.04441219158252</v>
      </c>
      <c r="AB45" s="108">
        <f t="shared" si="22"/>
        <v>0.93398519593613916</v>
      </c>
      <c r="AC45" s="313"/>
    </row>
    <row r="46" spans="1:29" ht="15.75" customHeight="1">
      <c r="A46" s="316"/>
      <c r="B46" s="98" t="s">
        <v>118</v>
      </c>
      <c r="C46" s="297" t="s">
        <v>127</v>
      </c>
      <c r="D46" s="298"/>
      <c r="E46" s="99">
        <v>14.28</v>
      </c>
      <c r="F46" s="100">
        <v>4825</v>
      </c>
      <c r="G46" s="119">
        <f t="shared" si="23"/>
        <v>68901</v>
      </c>
      <c r="H46" s="60"/>
      <c r="I46" s="102">
        <v>3</v>
      </c>
      <c r="J46" s="103">
        <v>3600</v>
      </c>
      <c r="K46" s="104">
        <f t="shared" si="25"/>
        <v>1200</v>
      </c>
      <c r="L46" s="116">
        <v>3</v>
      </c>
      <c r="M46" s="103">
        <f t="shared" si="24"/>
        <v>3287.952063553505</v>
      </c>
      <c r="N46" s="104">
        <f t="shared" si="17"/>
        <v>1095.9840211845017</v>
      </c>
      <c r="O46" s="121">
        <f t="shared" si="18"/>
        <v>0</v>
      </c>
      <c r="P46" s="122">
        <f t="shared" si="19"/>
        <v>-104.01597881549833</v>
      </c>
      <c r="Q46" s="123">
        <f t="shared" si="20"/>
        <v>0.91332001765375137</v>
      </c>
      <c r="R46" s="308"/>
      <c r="S46" s="46">
        <v>0.41944444444444456</v>
      </c>
      <c r="T46" s="118">
        <v>0.48057870370370381</v>
      </c>
      <c r="U46" s="109">
        <v>12.650000000000059</v>
      </c>
      <c r="V46" s="110">
        <v>88.048728936491372</v>
      </c>
      <c r="W46" s="111"/>
      <c r="X46" s="114"/>
      <c r="Y46" s="299"/>
      <c r="Z46" s="300"/>
      <c r="AA46" s="115">
        <f t="shared" si="21"/>
        <v>-312.04793644649499</v>
      </c>
      <c r="AB46" s="108">
        <f t="shared" si="22"/>
        <v>0.91332001765375137</v>
      </c>
      <c r="AC46" s="313"/>
    </row>
    <row r="47" spans="1:29" ht="15.75" customHeight="1">
      <c r="A47" s="316"/>
      <c r="B47" s="98"/>
      <c r="C47" s="297"/>
      <c r="D47" s="298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8"/>
      <c r="S47" s="46"/>
      <c r="T47" s="118"/>
      <c r="U47" s="109"/>
      <c r="V47" s="110"/>
      <c r="W47" s="111"/>
      <c r="X47" s="114"/>
      <c r="Y47" s="299"/>
      <c r="Z47" s="300"/>
      <c r="AA47" s="115"/>
      <c r="AB47" s="108"/>
      <c r="AC47" s="313"/>
    </row>
    <row r="48" spans="1:29" ht="15.75" customHeight="1">
      <c r="A48" s="316"/>
      <c r="B48" s="98"/>
      <c r="C48" s="297"/>
      <c r="D48" s="298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8"/>
      <c r="S48" s="46"/>
      <c r="T48" s="118"/>
      <c r="U48" s="109"/>
      <c r="V48" s="110"/>
      <c r="W48" s="111"/>
      <c r="X48" s="114"/>
      <c r="Y48" s="299"/>
      <c r="Z48" s="300"/>
      <c r="AA48" s="115"/>
      <c r="AB48" s="108"/>
      <c r="AC48" s="313"/>
    </row>
    <row r="49" spans="1:29" ht="15.75" customHeight="1">
      <c r="A49" s="316"/>
      <c r="B49" s="98"/>
      <c r="C49" s="297"/>
      <c r="D49" s="298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8"/>
      <c r="S49" s="46"/>
      <c r="T49" s="118"/>
      <c r="U49" s="109"/>
      <c r="V49" s="110"/>
      <c r="W49" s="124"/>
      <c r="X49" s="125"/>
      <c r="Y49" s="299"/>
      <c r="Z49" s="300"/>
      <c r="AA49" s="115"/>
      <c r="AB49" s="108"/>
      <c r="AC49" s="313"/>
    </row>
    <row r="50" spans="1:29" ht="15.75" customHeight="1">
      <c r="A50" s="316"/>
      <c r="B50" s="98"/>
      <c r="C50" s="297"/>
      <c r="D50" s="298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8"/>
      <c r="S50" s="46"/>
      <c r="T50" s="118"/>
      <c r="U50" s="109"/>
      <c r="V50" s="110"/>
      <c r="W50" s="124"/>
      <c r="X50" s="125"/>
      <c r="Y50" s="299"/>
      <c r="Z50" s="300"/>
      <c r="AA50" s="115"/>
      <c r="AB50" s="108"/>
      <c r="AC50" s="313"/>
    </row>
    <row r="51" spans="1:29" ht="15.75" customHeight="1">
      <c r="A51" s="316"/>
      <c r="B51" s="98"/>
      <c r="C51" s="297"/>
      <c r="D51" s="298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8"/>
      <c r="S51" s="46"/>
      <c r="T51" s="118"/>
      <c r="U51" s="109"/>
      <c r="V51" s="110"/>
      <c r="W51" s="124"/>
      <c r="X51" s="125"/>
      <c r="Y51" s="299"/>
      <c r="Z51" s="300"/>
      <c r="AA51" s="115"/>
      <c r="AB51" s="108"/>
      <c r="AC51" s="313"/>
    </row>
    <row r="52" spans="1:29" ht="15.75" customHeight="1">
      <c r="A52" s="316"/>
      <c r="B52" s="98"/>
      <c r="C52" s="297"/>
      <c r="D52" s="298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8"/>
      <c r="S52" s="46"/>
      <c r="T52" s="118"/>
      <c r="U52" s="109"/>
      <c r="V52" s="110"/>
      <c r="W52" s="124"/>
      <c r="X52" s="125"/>
      <c r="Y52" s="299"/>
      <c r="Z52" s="300"/>
      <c r="AA52" s="115"/>
      <c r="AB52" s="108"/>
      <c r="AC52" s="313"/>
    </row>
    <row r="53" spans="1:29" ht="15.75" customHeight="1">
      <c r="A53" s="316"/>
      <c r="B53" s="98"/>
      <c r="C53" s="297"/>
      <c r="D53" s="298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8"/>
      <c r="S53" s="46"/>
      <c r="T53" s="118"/>
      <c r="U53" s="109"/>
      <c r="V53" s="110"/>
      <c r="W53" s="124"/>
      <c r="X53" s="125"/>
      <c r="Y53" s="299"/>
      <c r="Z53" s="300"/>
      <c r="AA53" s="115"/>
      <c r="AB53" s="108"/>
      <c r="AC53" s="313"/>
    </row>
    <row r="54" spans="1:29" ht="15.75" customHeight="1">
      <c r="A54" s="316"/>
      <c r="B54" s="98"/>
      <c r="C54" s="297"/>
      <c r="D54" s="298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8"/>
      <c r="S54" s="117"/>
      <c r="T54" s="118"/>
      <c r="U54" s="128"/>
      <c r="V54" s="129"/>
      <c r="W54" s="124"/>
      <c r="X54" s="125"/>
      <c r="Y54" s="299"/>
      <c r="Z54" s="300"/>
      <c r="AA54" s="163"/>
      <c r="AB54" s="123"/>
      <c r="AC54" s="313"/>
    </row>
    <row r="55" spans="1:29" ht="15.75" customHeight="1" thickBot="1">
      <c r="A55" s="317"/>
      <c r="B55" s="131" t="s">
        <v>115</v>
      </c>
      <c r="C55" s="294"/>
      <c r="D55" s="294"/>
      <c r="E55" s="132"/>
      <c r="F55" s="97"/>
      <c r="G55" s="133"/>
      <c r="H55" s="67"/>
      <c r="I55" s="134">
        <f t="shared" ref="I55:J55" si="26">AVERAGE(I39:I54)</f>
        <v>3.75</v>
      </c>
      <c r="J55" s="135">
        <f t="shared" si="26"/>
        <v>3450</v>
      </c>
      <c r="K55" s="136">
        <f t="shared" ref="K55" si="27">J55/I55</f>
        <v>920</v>
      </c>
      <c r="L55" s="134">
        <f t="shared" ref="L55:M55" si="28">AVERAGE(L39:L54)</f>
        <v>3.75</v>
      </c>
      <c r="M55" s="135">
        <f t="shared" si="28"/>
        <v>3174.0016877095368</v>
      </c>
      <c r="N55" s="136">
        <f t="shared" ref="N55:N63" si="29">M55/L55</f>
        <v>846.40045005587649</v>
      </c>
      <c r="O55" s="137">
        <f t="shared" ref="O55:O63" si="30">L55-I55</f>
        <v>0</v>
      </c>
      <c r="P55" s="138">
        <f t="shared" ref="P55:P63" si="31">N55-K55</f>
        <v>-73.59954994412351</v>
      </c>
      <c r="Q55" s="139">
        <f t="shared" ref="Q55:Q63" si="32">N55/K55</f>
        <v>0.92000048919117006</v>
      </c>
      <c r="R55" s="309"/>
      <c r="S55" s="140">
        <v>0.25</v>
      </c>
      <c r="T55" s="141">
        <v>0.48057870370370381</v>
      </c>
      <c r="U55" s="142"/>
      <c r="V55" s="164"/>
      <c r="W55" s="97"/>
      <c r="X55" s="67"/>
      <c r="Y55" s="295"/>
      <c r="Z55" s="296"/>
      <c r="AA55" s="166">
        <f t="shared" ref="AA55:AA63" si="33">M55-J55</f>
        <v>-275.99831229046322</v>
      </c>
      <c r="AB55" s="139">
        <f t="shared" ref="AB55:AB63" si="34">M55/J55</f>
        <v>0.92000048919117006</v>
      </c>
      <c r="AC55" s="314"/>
    </row>
    <row r="56" spans="1:29" ht="15.75" customHeight="1">
      <c r="A56" s="301" t="s">
        <v>78</v>
      </c>
      <c r="B56" s="112" t="s">
        <v>118</v>
      </c>
      <c r="C56" s="305" t="s">
        <v>126</v>
      </c>
      <c r="D56" s="306"/>
      <c r="E56" s="145">
        <v>18.18</v>
      </c>
      <c r="F56" s="95">
        <v>1333</v>
      </c>
      <c r="G56" s="146">
        <f t="shared" ref="G56:G63" si="35">E56*F56</f>
        <v>24233.94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36">F56/V56*60</f>
        <v>3283.6599201024078</v>
      </c>
      <c r="N56" s="150">
        <f t="shared" si="29"/>
        <v>1094.5533067008025</v>
      </c>
      <c r="O56" s="152">
        <f t="shared" si="30"/>
        <v>0</v>
      </c>
      <c r="P56" s="153">
        <f t="shared" si="31"/>
        <v>-105.44669329919748</v>
      </c>
      <c r="Q56" s="154">
        <f t="shared" si="32"/>
        <v>0.91212775558400205</v>
      </c>
      <c r="R56" s="307">
        <f>Q72</f>
        <v>0.91267730837678696</v>
      </c>
      <c r="S56" s="155">
        <v>0.25</v>
      </c>
      <c r="T56" s="156">
        <v>0.2669097222222222</v>
      </c>
      <c r="U56" s="157"/>
      <c r="V56" s="158">
        <v>24.356968122784668</v>
      </c>
      <c r="W56" s="156"/>
      <c r="X56" s="167"/>
      <c r="Y56" s="310"/>
      <c r="Z56" s="311"/>
      <c r="AA56" s="113">
        <f t="shared" si="33"/>
        <v>-316.3400798975922</v>
      </c>
      <c r="AB56" s="154">
        <f t="shared" si="34"/>
        <v>0.91212775558400216</v>
      </c>
      <c r="AC56" s="312">
        <f>AB72</f>
        <v>0.91267730837678707</v>
      </c>
    </row>
    <row r="57" spans="1:29" ht="15.75" customHeight="1">
      <c r="A57" s="302"/>
      <c r="B57" s="98" t="s">
        <v>118</v>
      </c>
      <c r="C57" s="297" t="s">
        <v>203</v>
      </c>
      <c r="D57" s="298"/>
      <c r="E57" s="99">
        <v>20.72</v>
      </c>
      <c r="F57" s="100">
        <v>686</v>
      </c>
      <c r="G57" s="101">
        <f t="shared" si="35"/>
        <v>14213.92</v>
      </c>
      <c r="H57" s="26"/>
      <c r="I57" s="102">
        <v>3</v>
      </c>
      <c r="J57" s="103">
        <v>3600</v>
      </c>
      <c r="K57" s="104">
        <f t="shared" si="25"/>
        <v>1200</v>
      </c>
      <c r="L57" s="105">
        <v>3</v>
      </c>
      <c r="M57" s="103">
        <f t="shared" si="36"/>
        <v>3287.9873810841241</v>
      </c>
      <c r="N57" s="104">
        <f t="shared" si="29"/>
        <v>1095.995793694708</v>
      </c>
      <c r="O57" s="106">
        <f t="shared" si="30"/>
        <v>0</v>
      </c>
      <c r="P57" s="107">
        <f t="shared" si="31"/>
        <v>-104.00420630529197</v>
      </c>
      <c r="Q57" s="108">
        <f t="shared" si="32"/>
        <v>0.91332982807892338</v>
      </c>
      <c r="R57" s="308"/>
      <c r="S57" s="46">
        <v>0.27569444444444446</v>
      </c>
      <c r="T57" s="47">
        <v>0.28438657407407408</v>
      </c>
      <c r="U57" s="109">
        <v>12.650000000000059</v>
      </c>
      <c r="V57" s="110">
        <v>12.518296218773386</v>
      </c>
      <c r="W57" s="111"/>
      <c r="X57" s="13"/>
      <c r="Y57" s="299"/>
      <c r="Z57" s="300"/>
      <c r="AA57" s="115">
        <f t="shared" si="33"/>
        <v>-312.01261891587592</v>
      </c>
      <c r="AB57" s="108">
        <f t="shared" si="34"/>
        <v>0.91332982807892338</v>
      </c>
      <c r="AC57" s="313"/>
    </row>
    <row r="58" spans="1:29" ht="15.75" customHeight="1">
      <c r="A58" s="302"/>
      <c r="B58" s="98" t="s">
        <v>118</v>
      </c>
      <c r="C58" s="297" t="s">
        <v>130</v>
      </c>
      <c r="D58" s="298"/>
      <c r="E58" s="99">
        <v>30</v>
      </c>
      <c r="F58" s="100">
        <v>983</v>
      </c>
      <c r="G58" s="101">
        <f t="shared" si="35"/>
        <v>29490</v>
      </c>
      <c r="H58" s="26"/>
      <c r="I58" s="102">
        <v>4</v>
      </c>
      <c r="J58" s="103">
        <v>3600</v>
      </c>
      <c r="K58" s="104">
        <f t="shared" si="25"/>
        <v>900</v>
      </c>
      <c r="L58" s="105">
        <v>4</v>
      </c>
      <c r="M58" s="103">
        <f t="shared" si="36"/>
        <v>3288.541862822563</v>
      </c>
      <c r="N58" s="104">
        <f t="shared" si="29"/>
        <v>822.13546570564074</v>
      </c>
      <c r="O58" s="106">
        <f t="shared" si="30"/>
        <v>0</v>
      </c>
      <c r="P58" s="107">
        <f t="shared" si="31"/>
        <v>-77.86453429435926</v>
      </c>
      <c r="Q58" s="108">
        <f t="shared" si="32"/>
        <v>0.91348385078404526</v>
      </c>
      <c r="R58" s="308"/>
      <c r="S58" s="46">
        <v>0.29375000000000007</v>
      </c>
      <c r="T58" s="47">
        <v>0.30620370370370376</v>
      </c>
      <c r="U58" s="109">
        <v>13.483333333333416</v>
      </c>
      <c r="V58" s="110">
        <v>17.935000513989909</v>
      </c>
      <c r="W58" s="111"/>
      <c r="X58" s="13"/>
      <c r="Y58" s="299"/>
      <c r="Z58" s="300"/>
      <c r="AA58" s="115">
        <f t="shared" si="33"/>
        <v>-311.45813717743704</v>
      </c>
      <c r="AB58" s="108">
        <f t="shared" si="34"/>
        <v>0.91348385078404526</v>
      </c>
      <c r="AC58" s="313"/>
    </row>
    <row r="59" spans="1:29" ht="15.75" customHeight="1">
      <c r="A59" s="302"/>
      <c r="B59" s="98" t="s">
        <v>118</v>
      </c>
      <c r="C59" s="297" t="s">
        <v>218</v>
      </c>
      <c r="D59" s="298"/>
      <c r="E59" s="99">
        <v>24.76</v>
      </c>
      <c r="F59" s="100">
        <v>902</v>
      </c>
      <c r="G59" s="101">
        <f t="shared" si="35"/>
        <v>22333.52</v>
      </c>
      <c r="H59" s="26"/>
      <c r="I59" s="102">
        <v>4</v>
      </c>
      <c r="J59" s="103">
        <v>3600</v>
      </c>
      <c r="K59" s="104">
        <f t="shared" si="25"/>
        <v>900</v>
      </c>
      <c r="L59" s="105">
        <v>4</v>
      </c>
      <c r="M59" s="103">
        <f t="shared" si="36"/>
        <v>3283.3033810557849</v>
      </c>
      <c r="N59" s="104">
        <f t="shared" si="29"/>
        <v>820.82584526394623</v>
      </c>
      <c r="O59" s="106">
        <f t="shared" si="30"/>
        <v>0</v>
      </c>
      <c r="P59" s="107">
        <f t="shared" si="31"/>
        <v>-79.174154736053765</v>
      </c>
      <c r="Q59" s="108">
        <f t="shared" si="32"/>
        <v>0.91202871695994026</v>
      </c>
      <c r="R59" s="308"/>
      <c r="S59" s="46">
        <v>0.31458333333333344</v>
      </c>
      <c r="T59" s="47">
        <v>0.32603009259259269</v>
      </c>
      <c r="U59" s="109">
        <v>12.066666666666741</v>
      </c>
      <c r="V59" s="110">
        <v>16.483399101120249</v>
      </c>
      <c r="W59" s="111"/>
      <c r="X59" s="114"/>
      <c r="Y59" s="299"/>
      <c r="Z59" s="300"/>
      <c r="AA59" s="115">
        <f t="shared" si="33"/>
        <v>-316.69661894421506</v>
      </c>
      <c r="AB59" s="108">
        <f t="shared" si="34"/>
        <v>0.91202871695994026</v>
      </c>
      <c r="AC59" s="313"/>
    </row>
    <row r="60" spans="1:29" ht="15.75" customHeight="1">
      <c r="A60" s="303"/>
      <c r="B60" s="98" t="s">
        <v>118</v>
      </c>
      <c r="C60" s="297" t="s">
        <v>122</v>
      </c>
      <c r="D60" s="298"/>
      <c r="E60" s="99">
        <v>17.89</v>
      </c>
      <c r="F60" s="100">
        <v>1999</v>
      </c>
      <c r="G60" s="101">
        <f t="shared" si="35"/>
        <v>35762.11</v>
      </c>
      <c r="H60" s="13"/>
      <c r="I60" s="102">
        <v>4</v>
      </c>
      <c r="J60" s="103">
        <v>3600</v>
      </c>
      <c r="K60" s="104">
        <f t="shared" si="25"/>
        <v>900</v>
      </c>
      <c r="L60" s="105">
        <v>4</v>
      </c>
      <c r="M60" s="103">
        <f t="shared" si="36"/>
        <v>3285.2165710001982</v>
      </c>
      <c r="N60" s="104">
        <f t="shared" si="29"/>
        <v>821.30414275004955</v>
      </c>
      <c r="O60" s="106">
        <f t="shared" si="30"/>
        <v>0</v>
      </c>
      <c r="P60" s="107">
        <f t="shared" si="31"/>
        <v>-78.69585724995045</v>
      </c>
      <c r="Q60" s="108">
        <f t="shared" si="32"/>
        <v>0.91256015861116613</v>
      </c>
      <c r="R60" s="308"/>
      <c r="S60" s="46">
        <v>0.33541666666666681</v>
      </c>
      <c r="T60" s="47">
        <v>0.36076388888888905</v>
      </c>
      <c r="U60" s="109">
        <v>13.516666666666728</v>
      </c>
      <c r="V60" s="110">
        <v>36.509008586756202</v>
      </c>
      <c r="W60" s="111"/>
      <c r="X60" s="114"/>
      <c r="Y60" s="299"/>
      <c r="Z60" s="300"/>
      <c r="AA60" s="115">
        <f t="shared" si="33"/>
        <v>-314.7834289998018</v>
      </c>
      <c r="AB60" s="108">
        <f t="shared" si="34"/>
        <v>0.91256015861116613</v>
      </c>
      <c r="AC60" s="313"/>
    </row>
    <row r="61" spans="1:29" ht="15.75" customHeight="1">
      <c r="A61" s="303"/>
      <c r="B61" s="98" t="s">
        <v>118</v>
      </c>
      <c r="C61" s="297" t="s">
        <v>213</v>
      </c>
      <c r="D61" s="298"/>
      <c r="E61" s="99">
        <v>22.32</v>
      </c>
      <c r="F61" s="100">
        <v>1438</v>
      </c>
      <c r="G61" s="119">
        <f t="shared" si="35"/>
        <v>32096.16</v>
      </c>
      <c r="H61" s="120"/>
      <c r="I61" s="102">
        <v>5</v>
      </c>
      <c r="J61" s="103">
        <v>3600</v>
      </c>
      <c r="K61" s="104">
        <f t="shared" si="25"/>
        <v>720</v>
      </c>
      <c r="L61" s="105">
        <v>5</v>
      </c>
      <c r="M61" s="103">
        <f t="shared" si="36"/>
        <v>3283.4835480119341</v>
      </c>
      <c r="N61" s="104">
        <f t="shared" si="29"/>
        <v>656.69670960238682</v>
      </c>
      <c r="O61" s="106">
        <f t="shared" si="30"/>
        <v>0</v>
      </c>
      <c r="P61" s="107">
        <f t="shared" si="31"/>
        <v>-63.303290397613182</v>
      </c>
      <c r="Q61" s="108">
        <f t="shared" si="32"/>
        <v>0.91207876333664839</v>
      </c>
      <c r="R61" s="308"/>
      <c r="S61" s="46">
        <v>0.36944444444444463</v>
      </c>
      <c r="T61" s="118">
        <v>0.38768518518518535</v>
      </c>
      <c r="U61" s="109">
        <v>12.500000000000036</v>
      </c>
      <c r="V61" s="110">
        <v>26.276970400001044</v>
      </c>
      <c r="W61" s="111"/>
      <c r="X61" s="49"/>
      <c r="Y61" s="299"/>
      <c r="Z61" s="300"/>
      <c r="AA61" s="115">
        <f t="shared" si="33"/>
        <v>-316.51645198806591</v>
      </c>
      <c r="AB61" s="108">
        <f t="shared" si="34"/>
        <v>0.91207876333664839</v>
      </c>
      <c r="AC61" s="313"/>
    </row>
    <row r="62" spans="1:29" ht="15.75" customHeight="1">
      <c r="A62" s="303"/>
      <c r="B62" s="98" t="s">
        <v>118</v>
      </c>
      <c r="C62" s="297" t="s">
        <v>209</v>
      </c>
      <c r="D62" s="298"/>
      <c r="E62" s="99">
        <v>27.48</v>
      </c>
      <c r="F62" s="100">
        <v>1145</v>
      </c>
      <c r="G62" s="119">
        <f t="shared" si="35"/>
        <v>31464.600000000002</v>
      </c>
      <c r="H62" s="60"/>
      <c r="I62" s="102">
        <v>5</v>
      </c>
      <c r="J62" s="103">
        <v>3600</v>
      </c>
      <c r="K62" s="104">
        <f t="shared" si="25"/>
        <v>720</v>
      </c>
      <c r="L62" s="105">
        <v>5</v>
      </c>
      <c r="M62" s="103">
        <f t="shared" si="36"/>
        <v>3286.1500713408864</v>
      </c>
      <c r="N62" s="104">
        <f t="shared" si="29"/>
        <v>657.23001426817723</v>
      </c>
      <c r="O62" s="121">
        <f t="shared" si="30"/>
        <v>0</v>
      </c>
      <c r="P62" s="122">
        <f t="shared" si="31"/>
        <v>-62.769985731822771</v>
      </c>
      <c r="Q62" s="123">
        <f t="shared" si="32"/>
        <v>0.91281946426135729</v>
      </c>
      <c r="R62" s="308"/>
      <c r="S62" s="46">
        <v>0.39722222222222242</v>
      </c>
      <c r="T62" s="118">
        <v>0.4117361111111113</v>
      </c>
      <c r="U62" s="109">
        <v>13.733333333333375</v>
      </c>
      <c r="V62" s="110">
        <v>20.905922891089247</v>
      </c>
      <c r="W62" s="111"/>
      <c r="X62" s="114"/>
      <c r="Y62" s="299"/>
      <c r="Z62" s="300"/>
      <c r="AA62" s="115">
        <f t="shared" si="33"/>
        <v>-313.84992865911363</v>
      </c>
      <c r="AB62" s="108">
        <f t="shared" si="34"/>
        <v>0.91281946426135729</v>
      </c>
      <c r="AC62" s="313"/>
    </row>
    <row r="63" spans="1:29" ht="15.75" customHeight="1">
      <c r="A63" s="303"/>
      <c r="B63" s="98" t="s">
        <v>118</v>
      </c>
      <c r="C63" s="297" t="s">
        <v>123</v>
      </c>
      <c r="D63" s="298"/>
      <c r="E63" s="99">
        <v>16.66</v>
      </c>
      <c r="F63" s="100">
        <v>3917</v>
      </c>
      <c r="G63" s="119">
        <f t="shared" si="35"/>
        <v>65257.22</v>
      </c>
      <c r="H63" s="60"/>
      <c r="I63" s="102">
        <v>5</v>
      </c>
      <c r="J63" s="103">
        <v>3600</v>
      </c>
      <c r="K63" s="104">
        <f t="shared" si="25"/>
        <v>720</v>
      </c>
      <c r="L63" s="116">
        <v>5</v>
      </c>
      <c r="M63" s="103">
        <f t="shared" si="36"/>
        <v>3286.7637458335698</v>
      </c>
      <c r="N63" s="104">
        <f t="shared" si="29"/>
        <v>657.35274916671392</v>
      </c>
      <c r="O63" s="121">
        <f t="shared" si="30"/>
        <v>0</v>
      </c>
      <c r="P63" s="122">
        <f t="shared" si="31"/>
        <v>-62.64725083328608</v>
      </c>
      <c r="Q63" s="123">
        <f t="shared" si="32"/>
        <v>0.91298992939821377</v>
      </c>
      <c r="R63" s="308"/>
      <c r="S63" s="46">
        <v>0.42013888888888912</v>
      </c>
      <c r="T63" s="118">
        <v>0.46979166666666689</v>
      </c>
      <c r="U63" s="109">
        <v>12.100000000000053</v>
      </c>
      <c r="V63" s="110">
        <v>71.504987329229408</v>
      </c>
      <c r="W63" s="111"/>
      <c r="X63" s="114"/>
      <c r="Y63" s="299"/>
      <c r="Z63" s="300"/>
      <c r="AA63" s="115">
        <f t="shared" si="33"/>
        <v>-313.23625416643017</v>
      </c>
      <c r="AB63" s="108">
        <f t="shared" si="34"/>
        <v>0.91298992939821388</v>
      </c>
      <c r="AC63" s="313"/>
    </row>
    <row r="64" spans="1:29" ht="15.75" customHeight="1">
      <c r="A64" s="303"/>
      <c r="B64" s="98"/>
      <c r="C64" s="297"/>
      <c r="D64" s="298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8"/>
      <c r="S64" s="46"/>
      <c r="T64" s="118"/>
      <c r="U64" s="109"/>
      <c r="V64" s="110"/>
      <c r="W64" s="124"/>
      <c r="X64" s="125"/>
      <c r="Y64" s="299"/>
      <c r="Z64" s="300"/>
      <c r="AA64" s="115"/>
      <c r="AB64" s="108"/>
      <c r="AC64" s="313"/>
    </row>
    <row r="65" spans="1:29" ht="15.75" customHeight="1">
      <c r="A65" s="303"/>
      <c r="B65" s="98"/>
      <c r="C65" s="297"/>
      <c r="D65" s="298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8"/>
      <c r="S65" s="46"/>
      <c r="T65" s="118"/>
      <c r="U65" s="109"/>
      <c r="V65" s="110"/>
      <c r="W65" s="124"/>
      <c r="X65" s="125"/>
      <c r="Y65" s="299"/>
      <c r="Z65" s="300"/>
      <c r="AA65" s="115"/>
      <c r="AB65" s="108"/>
      <c r="AC65" s="313"/>
    </row>
    <row r="66" spans="1:29" ht="15.75" customHeight="1">
      <c r="A66" s="303"/>
      <c r="B66" s="98"/>
      <c r="C66" s="297"/>
      <c r="D66" s="298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8"/>
      <c r="S66" s="46"/>
      <c r="T66" s="118"/>
      <c r="U66" s="109"/>
      <c r="V66" s="110"/>
      <c r="W66" s="124"/>
      <c r="X66" s="125"/>
      <c r="Y66" s="299"/>
      <c r="Z66" s="300"/>
      <c r="AA66" s="115"/>
      <c r="AB66" s="108"/>
      <c r="AC66" s="313"/>
    </row>
    <row r="67" spans="1:29" ht="15.75" customHeight="1">
      <c r="A67" s="303"/>
      <c r="B67" s="98"/>
      <c r="C67" s="297"/>
      <c r="D67" s="298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8"/>
      <c r="S67" s="46"/>
      <c r="T67" s="118"/>
      <c r="U67" s="109"/>
      <c r="V67" s="110"/>
      <c r="W67" s="124"/>
      <c r="X67" s="125"/>
      <c r="Y67" s="299"/>
      <c r="Z67" s="300"/>
      <c r="AA67" s="115"/>
      <c r="AB67" s="108"/>
      <c r="AC67" s="313"/>
    </row>
    <row r="68" spans="1:29" ht="15.75" customHeight="1">
      <c r="A68" s="303"/>
      <c r="B68" s="98"/>
      <c r="C68" s="297"/>
      <c r="D68" s="298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8"/>
      <c r="S68" s="46"/>
      <c r="T68" s="118"/>
      <c r="U68" s="109"/>
      <c r="V68" s="110"/>
      <c r="W68" s="124"/>
      <c r="X68" s="125"/>
      <c r="Y68" s="299"/>
      <c r="Z68" s="300"/>
      <c r="AA68" s="115"/>
      <c r="AB68" s="108"/>
      <c r="AC68" s="313"/>
    </row>
    <row r="69" spans="1:29" ht="15.75" customHeight="1">
      <c r="A69" s="303"/>
      <c r="B69" s="98"/>
      <c r="C69" s="297"/>
      <c r="D69" s="298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8"/>
      <c r="S69" s="46"/>
      <c r="T69" s="118"/>
      <c r="U69" s="109"/>
      <c r="V69" s="110"/>
      <c r="W69" s="124"/>
      <c r="X69" s="125"/>
      <c r="Y69" s="299"/>
      <c r="Z69" s="300"/>
      <c r="AA69" s="115"/>
      <c r="AB69" s="108"/>
      <c r="AC69" s="313"/>
    </row>
    <row r="70" spans="1:29" ht="15.75" customHeight="1">
      <c r="A70" s="303"/>
      <c r="B70" s="98"/>
      <c r="C70" s="297"/>
      <c r="D70" s="298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8"/>
      <c r="S70" s="46"/>
      <c r="T70" s="118"/>
      <c r="U70" s="109"/>
      <c r="V70" s="110"/>
      <c r="W70" s="124"/>
      <c r="X70" s="125"/>
      <c r="Y70" s="299"/>
      <c r="Z70" s="300"/>
      <c r="AA70" s="115"/>
      <c r="AB70" s="108"/>
      <c r="AC70" s="313"/>
    </row>
    <row r="71" spans="1:29" ht="15.75" customHeight="1">
      <c r="A71" s="303"/>
      <c r="B71" s="98"/>
      <c r="C71" s="297"/>
      <c r="D71" s="298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8"/>
      <c r="S71" s="117"/>
      <c r="T71" s="118"/>
      <c r="U71" s="128"/>
      <c r="V71" s="129"/>
      <c r="W71" s="124"/>
      <c r="X71" s="125"/>
      <c r="Y71" s="299"/>
      <c r="Z71" s="300"/>
      <c r="AA71" s="163"/>
      <c r="AB71" s="123"/>
      <c r="AC71" s="313"/>
    </row>
    <row r="72" spans="1:29" ht="15.75" customHeight="1" thickBot="1">
      <c r="A72" s="304"/>
      <c r="B72" s="131" t="s">
        <v>115</v>
      </c>
      <c r="C72" s="294"/>
      <c r="D72" s="294"/>
      <c r="E72" s="132"/>
      <c r="F72" s="165"/>
      <c r="G72" s="133"/>
      <c r="H72" s="67"/>
      <c r="I72" s="134">
        <f t="shared" ref="I72:J72" si="37">AVERAGE(I56:I71)</f>
        <v>4.125</v>
      </c>
      <c r="J72" s="135">
        <f t="shared" si="37"/>
        <v>3600</v>
      </c>
      <c r="K72" s="136">
        <f t="shared" ref="K72" si="38">J72/I72</f>
        <v>872.72727272727275</v>
      </c>
      <c r="L72" s="134">
        <f t="shared" ref="L72:M72" si="39">AVERAGE(L56:L71)</f>
        <v>4.125</v>
      </c>
      <c r="M72" s="135">
        <f t="shared" si="39"/>
        <v>3285.6383101564334</v>
      </c>
      <c r="N72" s="136">
        <f>M72/L72</f>
        <v>796.51837821974141</v>
      </c>
      <c r="O72" s="137">
        <f>L72-I72</f>
        <v>0</v>
      </c>
      <c r="P72" s="138">
        <f>N72-K72</f>
        <v>-76.20889450753134</v>
      </c>
      <c r="Q72" s="139">
        <f>N72/K72</f>
        <v>0.91267730837678696</v>
      </c>
      <c r="R72" s="309"/>
      <c r="S72" s="140">
        <v>0.25</v>
      </c>
      <c r="T72" s="141">
        <v>0.46979166666666689</v>
      </c>
      <c r="U72" s="142"/>
      <c r="V72" s="164"/>
      <c r="W72" s="165"/>
      <c r="X72" s="136"/>
      <c r="Y72" s="295"/>
      <c r="Z72" s="296"/>
      <c r="AA72" s="166">
        <f>M72-J72</f>
        <v>-314.36168984356664</v>
      </c>
      <c r="AB72" s="139">
        <f>M72/J72</f>
        <v>0.91267730837678707</v>
      </c>
      <c r="AC72" s="314"/>
    </row>
    <row r="73" spans="1:29" ht="15.75" customHeight="1">
      <c r="A73" s="315" t="s">
        <v>131</v>
      </c>
      <c r="B73" s="112" t="s">
        <v>118</v>
      </c>
      <c r="C73" s="305" t="s">
        <v>132</v>
      </c>
      <c r="D73" s="306"/>
      <c r="E73" s="145">
        <v>28.57</v>
      </c>
      <c r="F73" s="95">
        <v>906</v>
      </c>
      <c r="G73" s="146">
        <f t="shared" ref="G73" si="40">E73*F73</f>
        <v>25884.420000000002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3121.9412590235543</v>
      </c>
      <c r="N73" s="150">
        <f>M73/L73</f>
        <v>260.16177158529621</v>
      </c>
      <c r="O73" s="152">
        <f>L73-I73</f>
        <v>0</v>
      </c>
      <c r="P73" s="153">
        <f>N73-K73</f>
        <v>-39.838228414703792</v>
      </c>
      <c r="Q73" s="154">
        <f>N73/K73</f>
        <v>0.86720590528432073</v>
      </c>
      <c r="R73" s="307">
        <f>Q89</f>
        <v>0.86720590528432073</v>
      </c>
      <c r="S73" s="155">
        <v>0.73680555555555549</v>
      </c>
      <c r="T73" s="156">
        <v>0.74888888888888883</v>
      </c>
      <c r="U73" s="157"/>
      <c r="V73" s="158">
        <v>17.412243053221992</v>
      </c>
      <c r="W73" s="156"/>
      <c r="X73" s="167"/>
      <c r="Y73" s="310"/>
      <c r="Z73" s="311"/>
      <c r="AA73" s="113">
        <f>M73-J73</f>
        <v>-478.05874097644573</v>
      </c>
      <c r="AB73" s="154">
        <f>M73/J73</f>
        <v>0.86720590528432062</v>
      </c>
      <c r="AC73" s="312">
        <f>AB89</f>
        <v>0.86720590528432062</v>
      </c>
    </row>
    <row r="74" spans="1:29" ht="15.75" customHeight="1">
      <c r="A74" s="316"/>
      <c r="B74" s="98"/>
      <c r="C74" s="297"/>
      <c r="D74" s="298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8"/>
      <c r="S74" s="46"/>
      <c r="T74" s="47"/>
      <c r="U74" s="109"/>
      <c r="V74" s="110"/>
      <c r="W74" s="111"/>
      <c r="X74" s="13"/>
      <c r="Y74" s="299"/>
      <c r="Z74" s="300"/>
      <c r="AA74" s="115"/>
      <c r="AB74" s="108"/>
      <c r="AC74" s="313"/>
    </row>
    <row r="75" spans="1:29" ht="15.75" customHeight="1">
      <c r="A75" s="316"/>
      <c r="B75" s="98"/>
      <c r="C75" s="297"/>
      <c r="D75" s="298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8"/>
      <c r="S75" s="46"/>
      <c r="T75" s="47"/>
      <c r="U75" s="109"/>
      <c r="V75" s="110"/>
      <c r="W75" s="111"/>
      <c r="X75" s="13"/>
      <c r="Y75" s="299"/>
      <c r="Z75" s="300"/>
      <c r="AA75" s="115"/>
      <c r="AB75" s="108"/>
      <c r="AC75" s="313"/>
    </row>
    <row r="76" spans="1:29" ht="15.75" customHeight="1">
      <c r="A76" s="316"/>
      <c r="B76" s="98"/>
      <c r="C76" s="297"/>
      <c r="D76" s="298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8"/>
      <c r="S76" s="46"/>
      <c r="T76" s="47"/>
      <c r="U76" s="109"/>
      <c r="V76" s="110"/>
      <c r="W76" s="111"/>
      <c r="X76" s="114"/>
      <c r="Y76" s="299"/>
      <c r="Z76" s="300"/>
      <c r="AA76" s="115"/>
      <c r="AB76" s="108"/>
      <c r="AC76" s="313"/>
    </row>
    <row r="77" spans="1:29" ht="15.75" customHeight="1">
      <c r="A77" s="316"/>
      <c r="B77" s="98"/>
      <c r="C77" s="297"/>
      <c r="D77" s="298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8"/>
      <c r="S77" s="46"/>
      <c r="T77" s="47"/>
      <c r="U77" s="109"/>
      <c r="V77" s="110"/>
      <c r="W77" s="111"/>
      <c r="X77" s="114"/>
      <c r="Y77" s="299"/>
      <c r="Z77" s="300"/>
      <c r="AA77" s="115"/>
      <c r="AB77" s="108"/>
      <c r="AC77" s="313"/>
    </row>
    <row r="78" spans="1:29" ht="15.75" customHeight="1">
      <c r="A78" s="316"/>
      <c r="B78" s="98"/>
      <c r="C78" s="297"/>
      <c r="D78" s="298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8"/>
      <c r="S78" s="46"/>
      <c r="T78" s="118"/>
      <c r="U78" s="109"/>
      <c r="V78" s="110"/>
      <c r="W78" s="111"/>
      <c r="X78" s="49"/>
      <c r="Y78" s="299"/>
      <c r="Z78" s="300"/>
      <c r="AA78" s="115"/>
      <c r="AB78" s="108"/>
      <c r="AC78" s="313"/>
    </row>
    <row r="79" spans="1:29" ht="15.75" customHeight="1">
      <c r="A79" s="316"/>
      <c r="B79" s="98"/>
      <c r="C79" s="297"/>
      <c r="D79" s="298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8"/>
      <c r="S79" s="46"/>
      <c r="T79" s="118"/>
      <c r="U79" s="109"/>
      <c r="V79" s="110"/>
      <c r="W79" s="111"/>
      <c r="X79" s="114"/>
      <c r="Y79" s="299"/>
      <c r="Z79" s="300"/>
      <c r="AA79" s="115"/>
      <c r="AB79" s="108"/>
      <c r="AC79" s="313"/>
    </row>
    <row r="80" spans="1:29" ht="15.75" customHeight="1">
      <c r="A80" s="316"/>
      <c r="B80" s="98"/>
      <c r="C80" s="297"/>
      <c r="D80" s="298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8"/>
      <c r="S80" s="46"/>
      <c r="T80" s="118"/>
      <c r="U80" s="109"/>
      <c r="V80" s="110"/>
      <c r="W80" s="111"/>
      <c r="X80" s="114"/>
      <c r="Y80" s="299"/>
      <c r="Z80" s="300"/>
      <c r="AA80" s="115"/>
      <c r="AB80" s="108"/>
      <c r="AC80" s="313"/>
    </row>
    <row r="81" spans="1:29" ht="15.75" customHeight="1">
      <c r="A81" s="316"/>
      <c r="B81" s="98"/>
      <c r="C81" s="297"/>
      <c r="D81" s="298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8"/>
      <c r="S81" s="46"/>
      <c r="T81" s="118"/>
      <c r="U81" s="109"/>
      <c r="V81" s="110"/>
      <c r="W81" s="124"/>
      <c r="X81" s="125"/>
      <c r="Y81" s="299"/>
      <c r="Z81" s="300"/>
      <c r="AA81" s="115"/>
      <c r="AB81" s="108"/>
      <c r="AC81" s="313"/>
    </row>
    <row r="82" spans="1:29" ht="15.75" customHeight="1">
      <c r="A82" s="316"/>
      <c r="B82" s="98"/>
      <c r="C82" s="297"/>
      <c r="D82" s="298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8"/>
      <c r="S82" s="46"/>
      <c r="T82" s="118"/>
      <c r="U82" s="109"/>
      <c r="V82" s="110"/>
      <c r="W82" s="124"/>
      <c r="X82" s="125"/>
      <c r="Y82" s="299"/>
      <c r="Z82" s="300"/>
      <c r="AA82" s="115"/>
      <c r="AB82" s="108"/>
      <c r="AC82" s="313"/>
    </row>
    <row r="83" spans="1:29" ht="15.75" customHeight="1">
      <c r="A83" s="316"/>
      <c r="B83" s="98"/>
      <c r="C83" s="297"/>
      <c r="D83" s="298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8"/>
      <c r="S83" s="46"/>
      <c r="T83" s="118"/>
      <c r="U83" s="109"/>
      <c r="V83" s="110"/>
      <c r="W83" s="124"/>
      <c r="X83" s="125"/>
      <c r="Y83" s="299"/>
      <c r="Z83" s="300"/>
      <c r="AA83" s="115"/>
      <c r="AB83" s="108"/>
      <c r="AC83" s="313"/>
    </row>
    <row r="84" spans="1:29" ht="15.75" customHeight="1">
      <c r="A84" s="316"/>
      <c r="B84" s="98"/>
      <c r="C84" s="297"/>
      <c r="D84" s="298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8"/>
      <c r="S84" s="46"/>
      <c r="T84" s="118"/>
      <c r="U84" s="109"/>
      <c r="V84" s="110"/>
      <c r="W84" s="124"/>
      <c r="X84" s="125"/>
      <c r="Y84" s="299"/>
      <c r="Z84" s="300"/>
      <c r="AA84" s="115"/>
      <c r="AB84" s="108"/>
      <c r="AC84" s="313"/>
    </row>
    <row r="85" spans="1:29" ht="15.75" customHeight="1">
      <c r="A85" s="316"/>
      <c r="B85" s="98"/>
      <c r="C85" s="297"/>
      <c r="D85" s="298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8"/>
      <c r="S85" s="46"/>
      <c r="T85" s="118"/>
      <c r="U85" s="109"/>
      <c r="V85" s="110"/>
      <c r="W85" s="124"/>
      <c r="X85" s="125"/>
      <c r="Y85" s="299"/>
      <c r="Z85" s="300"/>
      <c r="AA85" s="115"/>
      <c r="AB85" s="108"/>
      <c r="AC85" s="313"/>
    </row>
    <row r="86" spans="1:29" ht="15.75" customHeight="1">
      <c r="A86" s="316"/>
      <c r="B86" s="98"/>
      <c r="C86" s="297"/>
      <c r="D86" s="298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8"/>
      <c r="S86" s="46"/>
      <c r="T86" s="118"/>
      <c r="U86" s="109"/>
      <c r="V86" s="110"/>
      <c r="W86" s="124"/>
      <c r="X86" s="125"/>
      <c r="Y86" s="299"/>
      <c r="Z86" s="300"/>
      <c r="AA86" s="115"/>
      <c r="AB86" s="108"/>
      <c r="AC86" s="313"/>
    </row>
    <row r="87" spans="1:29" ht="15.75" customHeight="1">
      <c r="A87" s="316"/>
      <c r="B87" s="98"/>
      <c r="C87" s="297"/>
      <c r="D87" s="298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8"/>
      <c r="S87" s="46"/>
      <c r="T87" s="118"/>
      <c r="U87" s="109"/>
      <c r="V87" s="110"/>
      <c r="W87" s="124"/>
      <c r="X87" s="125"/>
      <c r="Y87" s="299"/>
      <c r="Z87" s="300"/>
      <c r="AA87" s="115"/>
      <c r="AB87" s="108"/>
      <c r="AC87" s="313"/>
    </row>
    <row r="88" spans="1:29" ht="15.75" customHeight="1">
      <c r="A88" s="316"/>
      <c r="B88" s="98"/>
      <c r="C88" s="297"/>
      <c r="D88" s="298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8"/>
      <c r="S88" s="117"/>
      <c r="T88" s="118"/>
      <c r="U88" s="128"/>
      <c r="V88" s="129"/>
      <c r="W88" s="124"/>
      <c r="X88" s="125"/>
      <c r="Y88" s="299"/>
      <c r="Z88" s="300"/>
      <c r="AA88" s="163"/>
      <c r="AB88" s="123"/>
      <c r="AC88" s="313"/>
    </row>
    <row r="89" spans="1:29" ht="15.75" customHeight="1" thickBot="1">
      <c r="A89" s="317"/>
      <c r="B89" s="131" t="s">
        <v>115</v>
      </c>
      <c r="C89" s="294"/>
      <c r="D89" s="294"/>
      <c r="E89" s="132"/>
      <c r="F89" s="165"/>
      <c r="G89" s="133"/>
      <c r="H89" s="67"/>
      <c r="I89" s="134">
        <f t="shared" ref="I89:J89" si="41">AVERAGE(I73:I88)</f>
        <v>12</v>
      </c>
      <c r="J89" s="135">
        <f t="shared" si="41"/>
        <v>3600</v>
      </c>
      <c r="K89" s="136">
        <f t="shared" ref="K89" si="42">J89/I89</f>
        <v>300</v>
      </c>
      <c r="L89" s="134">
        <f t="shared" ref="L89:M89" si="43">AVERAGE(L73:L88)</f>
        <v>12</v>
      </c>
      <c r="M89" s="135">
        <f t="shared" si="43"/>
        <v>3121.9412590235543</v>
      </c>
      <c r="N89" s="136">
        <f>M89/L89</f>
        <v>260.16177158529621</v>
      </c>
      <c r="O89" s="137">
        <f>L89-I89</f>
        <v>0</v>
      </c>
      <c r="P89" s="138">
        <f>N89-K89</f>
        <v>-39.838228414703792</v>
      </c>
      <c r="Q89" s="139">
        <f>N89/K89</f>
        <v>0.86720590528432073</v>
      </c>
      <c r="R89" s="309"/>
      <c r="S89" s="140">
        <v>0.73680555555555549</v>
      </c>
      <c r="T89" s="141">
        <v>0.74888888888888883</v>
      </c>
      <c r="U89" s="142"/>
      <c r="V89" s="164"/>
      <c r="W89" s="165"/>
      <c r="X89" s="136"/>
      <c r="Y89" s="295"/>
      <c r="Z89" s="296"/>
      <c r="AA89" s="166">
        <f>M89-J89</f>
        <v>-478.05874097644573</v>
      </c>
      <c r="AB89" s="139">
        <f>M89/J89</f>
        <v>0.86720590528432062</v>
      </c>
      <c r="AC89" s="314"/>
    </row>
    <row r="90" spans="1:29" ht="15.75" customHeight="1">
      <c r="A90" s="301" t="s">
        <v>135</v>
      </c>
      <c r="B90" s="112" t="s">
        <v>118</v>
      </c>
      <c r="C90" s="305" t="s">
        <v>134</v>
      </c>
      <c r="D90" s="306"/>
      <c r="E90" s="145">
        <v>24.54</v>
      </c>
      <c r="F90" s="95">
        <v>769</v>
      </c>
      <c r="G90" s="146">
        <f t="shared" ref="G90" si="44">E90*F90</f>
        <v>18871.259999999998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2798.7750586001998</v>
      </c>
      <c r="N90" s="150">
        <f>M90/L90</f>
        <v>699.69376465004996</v>
      </c>
      <c r="O90" s="152">
        <f>L90-I90</f>
        <v>0</v>
      </c>
      <c r="P90" s="153">
        <f>N90-K90</f>
        <v>-50.306235349950043</v>
      </c>
      <c r="Q90" s="154">
        <f>N90/K90</f>
        <v>0.9329250195333999</v>
      </c>
      <c r="R90" s="307">
        <f>Q106</f>
        <v>0.9329250195333999</v>
      </c>
      <c r="S90" s="155">
        <v>0.70833333333333337</v>
      </c>
      <c r="T90" s="156">
        <v>0.71978009259259268</v>
      </c>
      <c r="U90" s="157"/>
      <c r="V90" s="158">
        <v>16.485783613877423</v>
      </c>
      <c r="W90" s="159"/>
      <c r="X90" s="160"/>
      <c r="Y90" s="310"/>
      <c r="Z90" s="311"/>
      <c r="AA90" s="113">
        <f>M90-J90</f>
        <v>-201.22494139980017</v>
      </c>
      <c r="AB90" s="154">
        <f>M90/J90</f>
        <v>0.9329250195333999</v>
      </c>
      <c r="AC90" s="312">
        <f>AB106</f>
        <v>0.9329250195333999</v>
      </c>
    </row>
    <row r="91" spans="1:29" ht="15.75" customHeight="1">
      <c r="A91" s="302"/>
      <c r="B91" s="98"/>
      <c r="C91" s="297"/>
      <c r="D91" s="298"/>
      <c r="E91" s="99"/>
      <c r="F91" s="100"/>
      <c r="G91" s="101"/>
      <c r="H91" s="26"/>
      <c r="I91" s="102"/>
      <c r="J91" s="103"/>
      <c r="K91" s="104"/>
      <c r="L91" s="105"/>
      <c r="M91" s="103"/>
      <c r="N91" s="104"/>
      <c r="O91" s="106"/>
      <c r="P91" s="107"/>
      <c r="Q91" s="108"/>
      <c r="R91" s="308"/>
      <c r="S91" s="46"/>
      <c r="T91" s="47"/>
      <c r="U91" s="109"/>
      <c r="V91" s="110"/>
      <c r="W91" s="111"/>
      <c r="X91" s="114"/>
      <c r="Y91" s="299"/>
      <c r="Z91" s="300"/>
      <c r="AA91" s="115"/>
      <c r="AB91" s="108"/>
      <c r="AC91" s="313"/>
    </row>
    <row r="92" spans="1:29" ht="15.75" customHeight="1">
      <c r="A92" s="302"/>
      <c r="B92" s="98"/>
      <c r="C92" s="297"/>
      <c r="D92" s="298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8"/>
      <c r="S92" s="46"/>
      <c r="T92" s="47"/>
      <c r="U92" s="109"/>
      <c r="V92" s="110"/>
      <c r="W92" s="111"/>
      <c r="X92" s="114"/>
      <c r="Y92" s="299"/>
      <c r="Z92" s="300"/>
      <c r="AA92" s="115"/>
      <c r="AB92" s="108"/>
      <c r="AC92" s="313"/>
    </row>
    <row r="93" spans="1:29" ht="15.75" customHeight="1">
      <c r="A93" s="302"/>
      <c r="B93" s="98"/>
      <c r="C93" s="297"/>
      <c r="D93" s="298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8"/>
      <c r="S93" s="46"/>
      <c r="T93" s="47"/>
      <c r="U93" s="109"/>
      <c r="V93" s="110"/>
      <c r="W93" s="111"/>
      <c r="X93" s="114"/>
      <c r="Y93" s="299"/>
      <c r="Z93" s="300"/>
      <c r="AA93" s="115"/>
      <c r="AB93" s="108"/>
      <c r="AC93" s="313"/>
    </row>
    <row r="94" spans="1:29" ht="15.75" customHeight="1">
      <c r="A94" s="303"/>
      <c r="B94" s="98"/>
      <c r="C94" s="297"/>
      <c r="D94" s="298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8"/>
      <c r="S94" s="46"/>
      <c r="T94" s="47"/>
      <c r="U94" s="109"/>
      <c r="V94" s="110"/>
      <c r="W94" s="111"/>
      <c r="X94" s="114"/>
      <c r="Y94" s="299"/>
      <c r="Z94" s="300"/>
      <c r="AA94" s="115"/>
      <c r="AB94" s="108"/>
      <c r="AC94" s="313"/>
    </row>
    <row r="95" spans="1:29" ht="15.75" customHeight="1">
      <c r="A95" s="303"/>
      <c r="B95" s="98"/>
      <c r="C95" s="297"/>
      <c r="D95" s="298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8"/>
      <c r="S95" s="46"/>
      <c r="T95" s="118"/>
      <c r="U95" s="109"/>
      <c r="V95" s="110"/>
      <c r="W95" s="111"/>
      <c r="X95" s="114"/>
      <c r="Y95" s="299"/>
      <c r="Z95" s="300"/>
      <c r="AA95" s="115"/>
      <c r="AB95" s="108"/>
      <c r="AC95" s="313"/>
    </row>
    <row r="96" spans="1:29" ht="15.75" customHeight="1">
      <c r="A96" s="303"/>
      <c r="B96" s="98"/>
      <c r="C96" s="297"/>
      <c r="D96" s="298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8"/>
      <c r="S96" s="46"/>
      <c r="T96" s="118"/>
      <c r="U96" s="109"/>
      <c r="V96" s="110"/>
      <c r="W96" s="111"/>
      <c r="X96" s="114"/>
      <c r="Y96" s="299"/>
      <c r="Z96" s="300"/>
      <c r="AA96" s="115"/>
      <c r="AB96" s="108"/>
      <c r="AC96" s="313"/>
    </row>
    <row r="97" spans="1:29" ht="15.75" customHeight="1">
      <c r="A97" s="303"/>
      <c r="B97" s="98"/>
      <c r="C97" s="297"/>
      <c r="D97" s="298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8"/>
      <c r="S97" s="46"/>
      <c r="T97" s="118"/>
      <c r="U97" s="109"/>
      <c r="V97" s="110"/>
      <c r="W97" s="111"/>
      <c r="X97" s="114"/>
      <c r="Y97" s="299"/>
      <c r="Z97" s="300"/>
      <c r="AA97" s="115"/>
      <c r="AB97" s="108"/>
      <c r="AC97" s="313"/>
    </row>
    <row r="98" spans="1:29" ht="15.75" customHeight="1">
      <c r="A98" s="303"/>
      <c r="B98" s="98"/>
      <c r="C98" s="297"/>
      <c r="D98" s="298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8"/>
      <c r="S98" s="46"/>
      <c r="T98" s="118"/>
      <c r="U98" s="109"/>
      <c r="V98" s="110"/>
      <c r="W98" s="111"/>
      <c r="X98" s="114"/>
      <c r="Y98" s="299"/>
      <c r="Z98" s="300"/>
      <c r="AA98" s="115"/>
      <c r="AB98" s="108"/>
      <c r="AC98" s="313"/>
    </row>
    <row r="99" spans="1:29" ht="15.75" customHeight="1">
      <c r="A99" s="303"/>
      <c r="B99" s="98"/>
      <c r="C99" s="297"/>
      <c r="D99" s="298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8"/>
      <c r="S99" s="46"/>
      <c r="T99" s="118"/>
      <c r="U99" s="109"/>
      <c r="V99" s="110"/>
      <c r="W99" s="111"/>
      <c r="X99" s="114"/>
      <c r="Y99" s="299"/>
      <c r="Z99" s="300"/>
      <c r="AA99" s="115"/>
      <c r="AB99" s="108"/>
      <c r="AC99" s="313"/>
    </row>
    <row r="100" spans="1:29" ht="15.75" customHeight="1">
      <c r="A100" s="303"/>
      <c r="B100" s="98"/>
      <c r="C100" s="297"/>
      <c r="D100" s="298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8"/>
      <c r="S100" s="46"/>
      <c r="T100" s="118"/>
      <c r="U100" s="109"/>
      <c r="V100" s="110"/>
      <c r="W100" s="124"/>
      <c r="X100" s="125"/>
      <c r="Y100" s="299"/>
      <c r="Z100" s="300"/>
      <c r="AA100" s="115"/>
      <c r="AB100" s="108"/>
      <c r="AC100" s="313"/>
    </row>
    <row r="101" spans="1:29" ht="15.75" customHeight="1">
      <c r="A101" s="303"/>
      <c r="B101" s="98"/>
      <c r="C101" s="297"/>
      <c r="D101" s="298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8"/>
      <c r="S101" s="46"/>
      <c r="T101" s="118"/>
      <c r="U101" s="109"/>
      <c r="V101" s="110"/>
      <c r="W101" s="124"/>
      <c r="X101" s="125"/>
      <c r="Y101" s="299"/>
      <c r="Z101" s="300"/>
      <c r="AA101" s="115"/>
      <c r="AB101" s="108"/>
      <c r="AC101" s="313"/>
    </row>
    <row r="102" spans="1:29" ht="15.75" customHeight="1">
      <c r="A102" s="303"/>
      <c r="B102" s="98"/>
      <c r="C102" s="297"/>
      <c r="D102" s="298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8"/>
      <c r="S102" s="46"/>
      <c r="T102" s="118"/>
      <c r="U102" s="109"/>
      <c r="V102" s="110"/>
      <c r="W102" s="124"/>
      <c r="X102" s="125"/>
      <c r="Y102" s="299"/>
      <c r="Z102" s="300"/>
      <c r="AA102" s="115"/>
      <c r="AB102" s="108"/>
      <c r="AC102" s="313"/>
    </row>
    <row r="103" spans="1:29" ht="15.75" customHeight="1">
      <c r="A103" s="303"/>
      <c r="B103" s="98"/>
      <c r="C103" s="297"/>
      <c r="D103" s="298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8"/>
      <c r="S103" s="46"/>
      <c r="T103" s="118"/>
      <c r="U103" s="109"/>
      <c r="V103" s="110"/>
      <c r="W103" s="124"/>
      <c r="X103" s="125"/>
      <c r="Y103" s="299"/>
      <c r="Z103" s="300"/>
      <c r="AA103" s="115"/>
      <c r="AB103" s="108"/>
      <c r="AC103" s="313"/>
    </row>
    <row r="104" spans="1:29" ht="15.75" customHeight="1">
      <c r="A104" s="303"/>
      <c r="B104" s="98"/>
      <c r="C104" s="297"/>
      <c r="D104" s="298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8"/>
      <c r="S104" s="46"/>
      <c r="T104" s="118"/>
      <c r="U104" s="109"/>
      <c r="V104" s="110"/>
      <c r="W104" s="124"/>
      <c r="X104" s="125"/>
      <c r="Y104" s="299"/>
      <c r="Z104" s="300"/>
      <c r="AA104" s="115"/>
      <c r="AB104" s="108"/>
      <c r="AC104" s="313"/>
    </row>
    <row r="105" spans="1:29" ht="15.75" customHeight="1">
      <c r="A105" s="303"/>
      <c r="B105" s="98"/>
      <c r="C105" s="297"/>
      <c r="D105" s="298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8"/>
      <c r="S105" s="117"/>
      <c r="T105" s="118"/>
      <c r="U105" s="128"/>
      <c r="V105" s="129"/>
      <c r="W105" s="124"/>
      <c r="X105" s="125"/>
      <c r="Y105" s="299"/>
      <c r="Z105" s="300"/>
      <c r="AA105" s="163"/>
      <c r="AB105" s="123"/>
      <c r="AC105" s="313"/>
    </row>
    <row r="106" spans="1:29" ht="15.75" customHeight="1" thickBot="1">
      <c r="A106" s="304"/>
      <c r="B106" s="131" t="s">
        <v>115</v>
      </c>
      <c r="C106" s="294"/>
      <c r="D106" s="294"/>
      <c r="E106" s="132"/>
      <c r="F106" s="97"/>
      <c r="G106" s="133"/>
      <c r="H106" s="67"/>
      <c r="I106" s="134">
        <f t="shared" ref="I106:J106" si="45">AVERAGE(I90:I105)</f>
        <v>4</v>
      </c>
      <c r="J106" s="135">
        <f t="shared" si="45"/>
        <v>3000</v>
      </c>
      <c r="K106" s="136">
        <f t="shared" ref="K106" si="46">J106/I106</f>
        <v>750</v>
      </c>
      <c r="L106" s="134">
        <f t="shared" ref="L106:M106" si="47">AVERAGE(L90:L105)</f>
        <v>4</v>
      </c>
      <c r="M106" s="135">
        <f t="shared" si="47"/>
        <v>2798.7750586001998</v>
      </c>
      <c r="N106" s="136">
        <f t="shared" ref="N106:N120" si="48">M106/L106</f>
        <v>699.69376465004996</v>
      </c>
      <c r="O106" s="137">
        <f t="shared" ref="O106:O120" si="49">L106-I106</f>
        <v>0</v>
      </c>
      <c r="P106" s="138">
        <f t="shared" ref="P106:P120" si="50">N106-K106</f>
        <v>-50.306235349950043</v>
      </c>
      <c r="Q106" s="139">
        <f t="shared" ref="Q106:Q120" si="51">N106/K106</f>
        <v>0.9329250195333999</v>
      </c>
      <c r="R106" s="309"/>
      <c r="S106" s="140">
        <v>0.70833333333333337</v>
      </c>
      <c r="T106" s="141">
        <v>0.71978009259259268</v>
      </c>
      <c r="U106" s="142"/>
      <c r="V106" s="164"/>
      <c r="W106" s="97"/>
      <c r="X106" s="67"/>
      <c r="Y106" s="295"/>
      <c r="Z106" s="296"/>
      <c r="AA106" s="166">
        <f t="shared" ref="AA106:AA120" si="52">M106-J106</f>
        <v>-201.22494139980017</v>
      </c>
      <c r="AB106" s="139">
        <f t="shared" ref="AB106:AB120" si="53">M106/J106</f>
        <v>0.9329250195333999</v>
      </c>
      <c r="AC106" s="314"/>
    </row>
    <row r="107" spans="1:29" ht="15.75" customHeight="1">
      <c r="A107" s="315" t="s">
        <v>138</v>
      </c>
      <c r="B107" s="112" t="s">
        <v>118</v>
      </c>
      <c r="C107" s="305" t="s">
        <v>139</v>
      </c>
      <c r="D107" s="306"/>
      <c r="E107" s="145">
        <v>14.03</v>
      </c>
      <c r="F107" s="95">
        <v>293</v>
      </c>
      <c r="G107" s="146">
        <f t="shared" ref="G107:G120" si="54">E107*F107</f>
        <v>4110.79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55">F107/V107*60</f>
        <v>2804.5382829214336</v>
      </c>
      <c r="N107" s="150">
        <f t="shared" si="48"/>
        <v>934.84609430714454</v>
      </c>
      <c r="O107" s="152">
        <f t="shared" si="49"/>
        <v>0</v>
      </c>
      <c r="P107" s="153">
        <f t="shared" si="50"/>
        <v>-65.15390569285546</v>
      </c>
      <c r="Q107" s="154">
        <f t="shared" si="51"/>
        <v>0.93484609430714449</v>
      </c>
      <c r="R107" s="307">
        <f>Q123</f>
        <v>0.91824277008665667</v>
      </c>
      <c r="S107" s="155">
        <v>0.73124999999999996</v>
      </c>
      <c r="T107" s="156">
        <v>0.73560185185185178</v>
      </c>
      <c r="U107" s="157"/>
      <c r="V107" s="158">
        <v>6.2684114911375897</v>
      </c>
      <c r="W107" s="159"/>
      <c r="X107" s="160"/>
      <c r="Y107" s="310"/>
      <c r="Z107" s="311"/>
      <c r="AA107" s="113">
        <f t="shared" si="52"/>
        <v>-195.46171707856638</v>
      </c>
      <c r="AB107" s="154">
        <f t="shared" si="53"/>
        <v>0.93484609430714449</v>
      </c>
      <c r="AC107" s="312">
        <f>AB123</f>
        <v>0.91824277008665667</v>
      </c>
    </row>
    <row r="108" spans="1:29" ht="15.75" customHeight="1">
      <c r="A108" s="316"/>
      <c r="B108" s="98" t="s">
        <v>118</v>
      </c>
      <c r="C108" s="297" t="s">
        <v>140</v>
      </c>
      <c r="D108" s="298"/>
      <c r="E108" s="99">
        <v>18.18</v>
      </c>
      <c r="F108" s="100">
        <v>539</v>
      </c>
      <c r="G108" s="101">
        <f t="shared" si="54"/>
        <v>9799.02</v>
      </c>
      <c r="H108" s="26">
        <v>2</v>
      </c>
      <c r="I108" s="102">
        <v>3</v>
      </c>
      <c r="J108" s="103">
        <v>3000</v>
      </c>
      <c r="K108" s="104">
        <f t="shared" ref="K108:K137" si="56">J108/I108</f>
        <v>1000</v>
      </c>
      <c r="L108" s="105">
        <v>3</v>
      </c>
      <c r="M108" s="103">
        <f t="shared" si="55"/>
        <v>2799.3874183060402</v>
      </c>
      <c r="N108" s="104">
        <f t="shared" si="48"/>
        <v>933.1291394353467</v>
      </c>
      <c r="O108" s="106">
        <f t="shared" si="49"/>
        <v>0</v>
      </c>
      <c r="P108" s="107">
        <f t="shared" si="50"/>
        <v>-66.870860564653299</v>
      </c>
      <c r="Q108" s="108">
        <f t="shared" si="51"/>
        <v>0.9331291394353467</v>
      </c>
      <c r="R108" s="308"/>
      <c r="S108" s="46">
        <v>0.74444444444444435</v>
      </c>
      <c r="T108" s="47">
        <v>0.75246527777777772</v>
      </c>
      <c r="U108" s="109">
        <v>12.733333333333299</v>
      </c>
      <c r="V108" s="110">
        <v>11.552527452441549</v>
      </c>
      <c r="W108" s="111"/>
      <c r="X108" s="114"/>
      <c r="Y108" s="299"/>
      <c r="Z108" s="300"/>
      <c r="AA108" s="115">
        <f t="shared" si="52"/>
        <v>-200.61258169395978</v>
      </c>
      <c r="AB108" s="108">
        <f t="shared" si="53"/>
        <v>0.9331291394353467</v>
      </c>
      <c r="AC108" s="313"/>
    </row>
    <row r="109" spans="1:29" ht="15.75" customHeight="1">
      <c r="A109" s="316"/>
      <c r="B109" s="98" t="s">
        <v>118</v>
      </c>
      <c r="C109" s="297" t="s">
        <v>144</v>
      </c>
      <c r="D109" s="298"/>
      <c r="E109" s="99">
        <v>18.18</v>
      </c>
      <c r="F109" s="100">
        <v>340</v>
      </c>
      <c r="G109" s="101">
        <f t="shared" si="54"/>
        <v>6181.2</v>
      </c>
      <c r="H109" s="26">
        <v>2</v>
      </c>
      <c r="I109" s="102">
        <v>3</v>
      </c>
      <c r="J109" s="103">
        <v>3600</v>
      </c>
      <c r="K109" s="104">
        <f t="shared" si="56"/>
        <v>1200</v>
      </c>
      <c r="L109" s="105">
        <v>3</v>
      </c>
      <c r="M109" s="103">
        <f t="shared" si="55"/>
        <v>3287.8653450014599</v>
      </c>
      <c r="N109" s="104">
        <f t="shared" si="48"/>
        <v>1095.9551150004866</v>
      </c>
      <c r="O109" s="106">
        <f t="shared" si="49"/>
        <v>0</v>
      </c>
      <c r="P109" s="107">
        <f t="shared" si="50"/>
        <v>-104.04488499951344</v>
      </c>
      <c r="Q109" s="108">
        <f t="shared" si="51"/>
        <v>0.91329592916707214</v>
      </c>
      <c r="R109" s="308"/>
      <c r="S109" s="46">
        <v>0.7618055555555554</v>
      </c>
      <c r="T109" s="47">
        <v>0.76611111111111097</v>
      </c>
      <c r="U109" s="109">
        <v>13.449999999999864</v>
      </c>
      <c r="V109" s="110">
        <v>6.2046336633019692</v>
      </c>
      <c r="W109" s="111"/>
      <c r="X109" s="114"/>
      <c r="Y109" s="299"/>
      <c r="Z109" s="300"/>
      <c r="AA109" s="115">
        <f t="shared" si="52"/>
        <v>-312.1346549985401</v>
      </c>
      <c r="AB109" s="108">
        <f t="shared" si="53"/>
        <v>0.91329592916707214</v>
      </c>
      <c r="AC109" s="313"/>
    </row>
    <row r="110" spans="1:29" ht="15.75" customHeight="1">
      <c r="A110" s="316"/>
      <c r="B110" s="98" t="s">
        <v>118</v>
      </c>
      <c r="C110" s="297" t="s">
        <v>133</v>
      </c>
      <c r="D110" s="298"/>
      <c r="E110" s="99">
        <v>16.7</v>
      </c>
      <c r="F110" s="100">
        <v>938</v>
      </c>
      <c r="G110" s="101">
        <f t="shared" si="54"/>
        <v>15664.599999999999</v>
      </c>
      <c r="H110" s="26">
        <v>2</v>
      </c>
      <c r="I110" s="102">
        <v>3</v>
      </c>
      <c r="J110" s="103">
        <v>3600</v>
      </c>
      <c r="K110" s="104">
        <f t="shared" si="56"/>
        <v>1200</v>
      </c>
      <c r="L110" s="105">
        <v>3</v>
      </c>
      <c r="M110" s="103">
        <f t="shared" si="55"/>
        <v>3286.8720307845683</v>
      </c>
      <c r="N110" s="104">
        <f t="shared" si="48"/>
        <v>1095.6240102615227</v>
      </c>
      <c r="O110" s="106">
        <f t="shared" si="49"/>
        <v>0</v>
      </c>
      <c r="P110" s="107">
        <f t="shared" si="50"/>
        <v>-104.3759897384773</v>
      </c>
      <c r="Q110" s="108">
        <f t="shared" si="51"/>
        <v>0.91302000855126897</v>
      </c>
      <c r="R110" s="308"/>
      <c r="S110" s="46">
        <v>0.77569444444444424</v>
      </c>
      <c r="T110" s="47">
        <v>0.78758101851851836</v>
      </c>
      <c r="U110" s="109">
        <v>13.799999999999919</v>
      </c>
      <c r="V110" s="110">
        <v>17.122662358889009</v>
      </c>
      <c r="W110" s="111"/>
      <c r="X110" s="114"/>
      <c r="Y110" s="299"/>
      <c r="Z110" s="300"/>
      <c r="AA110" s="115">
        <f t="shared" si="52"/>
        <v>-313.12796921543168</v>
      </c>
      <c r="AB110" s="108">
        <f t="shared" si="53"/>
        <v>0.91302000855126897</v>
      </c>
      <c r="AC110" s="313"/>
    </row>
    <row r="111" spans="1:29" ht="15.75" customHeight="1">
      <c r="A111" s="316"/>
      <c r="B111" s="98" t="s">
        <v>118</v>
      </c>
      <c r="C111" s="297" t="s">
        <v>193</v>
      </c>
      <c r="D111" s="298"/>
      <c r="E111" s="99">
        <v>30</v>
      </c>
      <c r="F111" s="100">
        <v>593</v>
      </c>
      <c r="G111" s="101">
        <f t="shared" si="54"/>
        <v>17790</v>
      </c>
      <c r="H111" s="26">
        <v>2</v>
      </c>
      <c r="I111" s="102">
        <v>4</v>
      </c>
      <c r="J111" s="103">
        <v>3600</v>
      </c>
      <c r="K111" s="104">
        <f t="shared" si="56"/>
        <v>900</v>
      </c>
      <c r="L111" s="105">
        <v>4</v>
      </c>
      <c r="M111" s="103">
        <f t="shared" si="55"/>
        <v>3287.3137785870522</v>
      </c>
      <c r="N111" s="104">
        <f t="shared" si="48"/>
        <v>821.82844464676305</v>
      </c>
      <c r="O111" s="106">
        <f t="shared" si="49"/>
        <v>0</v>
      </c>
      <c r="P111" s="107">
        <f t="shared" si="50"/>
        <v>-78.171555353236954</v>
      </c>
      <c r="Q111" s="108">
        <f t="shared" si="51"/>
        <v>0.9131427162741812</v>
      </c>
      <c r="R111" s="308"/>
      <c r="S111" s="46">
        <v>0.79722222222222194</v>
      </c>
      <c r="T111" s="47">
        <v>0.80473379629629604</v>
      </c>
      <c r="U111" s="109">
        <v>13.883333333333159</v>
      </c>
      <c r="V111" s="110">
        <v>10.823426784434597</v>
      </c>
      <c r="W111" s="111"/>
      <c r="X111" s="114"/>
      <c r="Y111" s="299"/>
      <c r="Z111" s="300"/>
      <c r="AA111" s="115">
        <f t="shared" si="52"/>
        <v>-312.68622141294782</v>
      </c>
      <c r="AB111" s="108">
        <f t="shared" si="53"/>
        <v>0.9131427162741812</v>
      </c>
      <c r="AC111" s="313"/>
    </row>
    <row r="112" spans="1:29" ht="15.75" customHeight="1">
      <c r="A112" s="316"/>
      <c r="B112" s="98" t="s">
        <v>118</v>
      </c>
      <c r="C112" s="297" t="s">
        <v>146</v>
      </c>
      <c r="D112" s="298"/>
      <c r="E112" s="99">
        <v>25.03</v>
      </c>
      <c r="F112" s="100">
        <v>373</v>
      </c>
      <c r="G112" s="119">
        <f t="shared" si="54"/>
        <v>9336.19</v>
      </c>
      <c r="H112" s="26">
        <v>2</v>
      </c>
      <c r="I112" s="102">
        <v>5</v>
      </c>
      <c r="J112" s="103">
        <v>3600</v>
      </c>
      <c r="K112" s="104">
        <f t="shared" si="56"/>
        <v>720</v>
      </c>
      <c r="L112" s="105">
        <v>5</v>
      </c>
      <c r="M112" s="103">
        <f t="shared" si="55"/>
        <v>3284.4438857107943</v>
      </c>
      <c r="N112" s="104">
        <f t="shared" si="48"/>
        <v>656.88877714215892</v>
      </c>
      <c r="O112" s="106">
        <f t="shared" si="49"/>
        <v>0</v>
      </c>
      <c r="P112" s="107">
        <f t="shared" si="50"/>
        <v>-63.111222857841085</v>
      </c>
      <c r="Q112" s="108">
        <f t="shared" si="51"/>
        <v>0.91234552380855405</v>
      </c>
      <c r="R112" s="308"/>
      <c r="S112" s="46">
        <v>0.81319444444444411</v>
      </c>
      <c r="T112" s="118">
        <v>0.81791666666666629</v>
      </c>
      <c r="U112" s="109">
        <v>12.183333333333213</v>
      </c>
      <c r="V112" s="110">
        <v>6.8139389128752583</v>
      </c>
      <c r="W112" s="111"/>
      <c r="X112" s="114"/>
      <c r="Y112" s="299"/>
      <c r="Z112" s="300"/>
      <c r="AA112" s="115">
        <f t="shared" si="52"/>
        <v>-315.55611428920565</v>
      </c>
      <c r="AB112" s="108">
        <f t="shared" si="53"/>
        <v>0.91234552380855394</v>
      </c>
      <c r="AC112" s="313"/>
    </row>
    <row r="113" spans="1:29" ht="15.75" customHeight="1">
      <c r="A113" s="316"/>
      <c r="B113" s="98" t="s">
        <v>118</v>
      </c>
      <c r="C113" s="297" t="s">
        <v>137</v>
      </c>
      <c r="D113" s="298"/>
      <c r="E113" s="99">
        <v>16.66</v>
      </c>
      <c r="F113" s="100">
        <v>2118</v>
      </c>
      <c r="G113" s="119">
        <f t="shared" si="54"/>
        <v>35285.879999999997</v>
      </c>
      <c r="H113" s="26">
        <v>2</v>
      </c>
      <c r="I113" s="102">
        <v>5</v>
      </c>
      <c r="J113" s="103">
        <v>3600</v>
      </c>
      <c r="K113" s="104">
        <f t="shared" si="56"/>
        <v>720</v>
      </c>
      <c r="L113" s="105">
        <v>5</v>
      </c>
      <c r="M113" s="103">
        <f t="shared" si="55"/>
        <v>3287.4057407684118</v>
      </c>
      <c r="N113" s="104">
        <f t="shared" si="48"/>
        <v>657.4811481536824</v>
      </c>
      <c r="O113" s="121">
        <f t="shared" si="49"/>
        <v>0</v>
      </c>
      <c r="P113" s="122">
        <f t="shared" si="50"/>
        <v>-62.518851846317602</v>
      </c>
      <c r="Q113" s="123">
        <f t="shared" si="51"/>
        <v>0.91316826132455886</v>
      </c>
      <c r="R113" s="308"/>
      <c r="S113" s="46">
        <v>0.82708333333333295</v>
      </c>
      <c r="T113" s="118">
        <v>0.8539236111111107</v>
      </c>
      <c r="U113" s="109">
        <v>13.199999999999985</v>
      </c>
      <c r="V113" s="110">
        <v>38.656621671012779</v>
      </c>
      <c r="W113" s="111"/>
      <c r="X113" s="114"/>
      <c r="Y113" s="299"/>
      <c r="Z113" s="300"/>
      <c r="AA113" s="115">
        <f t="shared" si="52"/>
        <v>-312.59425923158824</v>
      </c>
      <c r="AB113" s="108">
        <f t="shared" si="53"/>
        <v>0.91316826132455886</v>
      </c>
      <c r="AC113" s="313"/>
    </row>
    <row r="114" spans="1:29" ht="15.75" customHeight="1">
      <c r="A114" s="316"/>
      <c r="B114" s="98" t="s">
        <v>118</v>
      </c>
      <c r="C114" s="297" t="s">
        <v>140</v>
      </c>
      <c r="D114" s="298"/>
      <c r="E114" s="99">
        <v>18.18</v>
      </c>
      <c r="F114" s="100">
        <v>746</v>
      </c>
      <c r="G114" s="119">
        <f t="shared" si="54"/>
        <v>13562.28</v>
      </c>
      <c r="H114" s="26"/>
      <c r="I114" s="102">
        <v>3</v>
      </c>
      <c r="J114" s="103">
        <v>3000</v>
      </c>
      <c r="K114" s="104">
        <f t="shared" si="56"/>
        <v>1000</v>
      </c>
      <c r="L114" s="116">
        <v>3</v>
      </c>
      <c r="M114" s="103">
        <f t="shared" si="55"/>
        <v>2799.3874183060402</v>
      </c>
      <c r="N114" s="104">
        <f t="shared" si="48"/>
        <v>933.1291394353467</v>
      </c>
      <c r="O114" s="121">
        <f t="shared" si="49"/>
        <v>0</v>
      </c>
      <c r="P114" s="122">
        <f t="shared" si="50"/>
        <v>-66.870860564653299</v>
      </c>
      <c r="Q114" s="123">
        <f t="shared" si="51"/>
        <v>0.9331291394353467</v>
      </c>
      <c r="R114" s="308"/>
      <c r="S114" s="46">
        <v>0.86319444444444404</v>
      </c>
      <c r="T114" s="118">
        <v>0.87429398148148108</v>
      </c>
      <c r="U114" s="109">
        <v>13.350000000000009</v>
      </c>
      <c r="V114" s="110">
        <v>15.989212392433016</v>
      </c>
      <c r="W114" s="111"/>
      <c r="X114" s="114"/>
      <c r="Y114" s="299"/>
      <c r="Z114" s="300"/>
      <c r="AA114" s="115">
        <f t="shared" si="52"/>
        <v>-200.61258169395978</v>
      </c>
      <c r="AB114" s="108">
        <f t="shared" si="53"/>
        <v>0.9331291394353467</v>
      </c>
      <c r="AC114" s="313"/>
    </row>
    <row r="115" spans="1:29" ht="15.75" customHeight="1">
      <c r="A115" s="316"/>
      <c r="B115" s="98" t="s">
        <v>118</v>
      </c>
      <c r="C115" s="297" t="s">
        <v>144</v>
      </c>
      <c r="D115" s="298"/>
      <c r="E115" s="99">
        <v>18.18</v>
      </c>
      <c r="F115" s="100">
        <v>443</v>
      </c>
      <c r="G115" s="119">
        <f t="shared" si="54"/>
        <v>8053.74</v>
      </c>
      <c r="H115" s="26"/>
      <c r="I115" s="102">
        <v>3</v>
      </c>
      <c r="J115" s="103">
        <v>3600</v>
      </c>
      <c r="K115" s="104">
        <f t="shared" si="56"/>
        <v>1200</v>
      </c>
      <c r="L115" s="116">
        <v>3</v>
      </c>
      <c r="M115" s="103">
        <f t="shared" si="55"/>
        <v>3287.8653450014599</v>
      </c>
      <c r="N115" s="104">
        <f t="shared" si="48"/>
        <v>1095.9551150004866</v>
      </c>
      <c r="O115" s="121">
        <f t="shared" si="49"/>
        <v>0</v>
      </c>
      <c r="P115" s="122">
        <f t="shared" si="50"/>
        <v>-104.04488499951344</v>
      </c>
      <c r="Q115" s="123">
        <f t="shared" si="51"/>
        <v>0.91329592916707214</v>
      </c>
      <c r="R115" s="308"/>
      <c r="S115" s="46">
        <v>0.88333333333333286</v>
      </c>
      <c r="T115" s="118">
        <v>0.88894675925925881</v>
      </c>
      <c r="U115" s="109">
        <v>13.01666666666657</v>
      </c>
      <c r="V115" s="110">
        <v>8.0842726848316833</v>
      </c>
      <c r="W115" s="111"/>
      <c r="X115" s="114"/>
      <c r="Y115" s="299"/>
      <c r="Z115" s="300"/>
      <c r="AA115" s="115">
        <f t="shared" si="52"/>
        <v>-312.1346549985401</v>
      </c>
      <c r="AB115" s="108">
        <f t="shared" si="53"/>
        <v>0.91329592916707214</v>
      </c>
      <c r="AC115" s="313"/>
    </row>
    <row r="116" spans="1:29" ht="15.75" customHeight="1">
      <c r="A116" s="316"/>
      <c r="B116" s="98" t="s">
        <v>118</v>
      </c>
      <c r="C116" s="297" t="s">
        <v>133</v>
      </c>
      <c r="D116" s="298"/>
      <c r="E116" s="99">
        <v>16.7</v>
      </c>
      <c r="F116" s="100">
        <v>1350</v>
      </c>
      <c r="G116" s="119">
        <f t="shared" si="54"/>
        <v>22545</v>
      </c>
      <c r="H116" s="60"/>
      <c r="I116" s="102">
        <v>3</v>
      </c>
      <c r="J116" s="103">
        <v>3600</v>
      </c>
      <c r="K116" s="104">
        <f t="shared" si="56"/>
        <v>1200</v>
      </c>
      <c r="L116" s="116">
        <v>3</v>
      </c>
      <c r="M116" s="103">
        <f t="shared" si="55"/>
        <v>3286.8720307845679</v>
      </c>
      <c r="N116" s="104">
        <f t="shared" si="48"/>
        <v>1095.6240102615227</v>
      </c>
      <c r="O116" s="121">
        <f t="shared" si="49"/>
        <v>0</v>
      </c>
      <c r="P116" s="122">
        <f t="shared" si="50"/>
        <v>-104.3759897384773</v>
      </c>
      <c r="Q116" s="123">
        <f t="shared" si="51"/>
        <v>0.91302000855126897</v>
      </c>
      <c r="R116" s="308"/>
      <c r="S116" s="46">
        <v>0.89791666666666614</v>
      </c>
      <c r="T116" s="118">
        <v>0.91502314814814767</v>
      </c>
      <c r="U116" s="109">
        <v>12.916666666666554</v>
      </c>
      <c r="V116" s="110">
        <v>24.643490601812541</v>
      </c>
      <c r="W116" s="111"/>
      <c r="X116" s="114"/>
      <c r="Y116" s="299"/>
      <c r="Z116" s="300"/>
      <c r="AA116" s="115">
        <f t="shared" si="52"/>
        <v>-313.12796921543213</v>
      </c>
      <c r="AB116" s="108">
        <f t="shared" si="53"/>
        <v>0.91302000855126886</v>
      </c>
      <c r="AC116" s="313"/>
    </row>
    <row r="117" spans="1:29" ht="15.75" customHeight="1">
      <c r="A117" s="316"/>
      <c r="B117" s="98" t="s">
        <v>118</v>
      </c>
      <c r="C117" s="297" t="s">
        <v>193</v>
      </c>
      <c r="D117" s="298"/>
      <c r="E117" s="99">
        <v>30</v>
      </c>
      <c r="F117" s="100">
        <v>824</v>
      </c>
      <c r="G117" s="119">
        <f t="shared" si="54"/>
        <v>24720</v>
      </c>
      <c r="H117" s="60"/>
      <c r="I117" s="102">
        <v>4</v>
      </c>
      <c r="J117" s="103">
        <v>3600</v>
      </c>
      <c r="K117" s="104">
        <f t="shared" si="56"/>
        <v>900</v>
      </c>
      <c r="L117" s="116">
        <v>4</v>
      </c>
      <c r="M117" s="103">
        <f t="shared" si="55"/>
        <v>3287.3137785870522</v>
      </c>
      <c r="N117" s="104">
        <f t="shared" si="48"/>
        <v>821.82844464676305</v>
      </c>
      <c r="O117" s="121">
        <f t="shared" si="49"/>
        <v>0</v>
      </c>
      <c r="P117" s="122">
        <f t="shared" si="50"/>
        <v>-78.171555353236954</v>
      </c>
      <c r="Q117" s="123">
        <f t="shared" si="51"/>
        <v>0.9131427162741812</v>
      </c>
      <c r="R117" s="308"/>
      <c r="S117" s="46">
        <v>0.92430555555555505</v>
      </c>
      <c r="T117" s="118">
        <v>0.93474537037036987</v>
      </c>
      <c r="U117" s="109">
        <v>13.366666666666625</v>
      </c>
      <c r="V117" s="110">
        <v>15.039635194560045</v>
      </c>
      <c r="W117" s="124"/>
      <c r="X117" s="125"/>
      <c r="Y117" s="299"/>
      <c r="Z117" s="300"/>
      <c r="AA117" s="115">
        <f t="shared" si="52"/>
        <v>-312.68622141294782</v>
      </c>
      <c r="AB117" s="108">
        <f t="shared" si="53"/>
        <v>0.9131427162741812</v>
      </c>
      <c r="AC117" s="313"/>
    </row>
    <row r="118" spans="1:29" ht="15.75" customHeight="1">
      <c r="A118" s="316"/>
      <c r="B118" s="98" t="s">
        <v>118</v>
      </c>
      <c r="C118" s="297" t="s">
        <v>146</v>
      </c>
      <c r="D118" s="298"/>
      <c r="E118" s="99">
        <v>25.03</v>
      </c>
      <c r="F118" s="100">
        <v>449</v>
      </c>
      <c r="G118" s="119">
        <f t="shared" si="54"/>
        <v>11238.470000000001</v>
      </c>
      <c r="H118" s="60"/>
      <c r="I118" s="102">
        <v>5</v>
      </c>
      <c r="J118" s="103">
        <v>3600</v>
      </c>
      <c r="K118" s="104">
        <f t="shared" si="56"/>
        <v>720</v>
      </c>
      <c r="L118" s="116">
        <v>5</v>
      </c>
      <c r="M118" s="103">
        <f t="shared" si="55"/>
        <v>3284.4438857107943</v>
      </c>
      <c r="N118" s="104">
        <f t="shared" si="48"/>
        <v>656.88877714215892</v>
      </c>
      <c r="O118" s="121">
        <f t="shared" si="49"/>
        <v>0</v>
      </c>
      <c r="P118" s="122">
        <f t="shared" si="50"/>
        <v>-63.111222857841085</v>
      </c>
      <c r="Q118" s="123">
        <f t="shared" si="51"/>
        <v>0.91234552380855405</v>
      </c>
      <c r="R118" s="308"/>
      <c r="S118" s="46">
        <v>0.94374999999999942</v>
      </c>
      <c r="T118" s="118">
        <v>0.94944444444444387</v>
      </c>
      <c r="U118" s="109">
        <v>12.966666666666562</v>
      </c>
      <c r="V118" s="110">
        <v>8.2023018012895204</v>
      </c>
      <c r="W118" s="124"/>
      <c r="X118" s="125"/>
      <c r="Y118" s="299"/>
      <c r="Z118" s="300"/>
      <c r="AA118" s="115">
        <f t="shared" si="52"/>
        <v>-315.55611428920565</v>
      </c>
      <c r="AB118" s="108">
        <f t="shared" si="53"/>
        <v>0.91234552380855394</v>
      </c>
      <c r="AC118" s="313"/>
    </row>
    <row r="119" spans="1:29" ht="15.75" customHeight="1">
      <c r="A119" s="316"/>
      <c r="B119" s="98" t="s">
        <v>118</v>
      </c>
      <c r="C119" s="297" t="s">
        <v>139</v>
      </c>
      <c r="D119" s="298"/>
      <c r="E119" s="99">
        <v>14.03</v>
      </c>
      <c r="F119" s="100">
        <v>4775</v>
      </c>
      <c r="G119" s="119">
        <f t="shared" si="54"/>
        <v>66993.25</v>
      </c>
      <c r="H119" s="60"/>
      <c r="I119" s="102">
        <v>3</v>
      </c>
      <c r="J119" s="103">
        <v>3000</v>
      </c>
      <c r="K119" s="104">
        <f t="shared" si="56"/>
        <v>1000</v>
      </c>
      <c r="L119" s="116">
        <v>3</v>
      </c>
      <c r="M119" s="103">
        <f t="shared" si="55"/>
        <v>2804.5382829214336</v>
      </c>
      <c r="N119" s="104">
        <f t="shared" si="48"/>
        <v>934.84609430714454</v>
      </c>
      <c r="O119" s="121">
        <f t="shared" si="49"/>
        <v>0</v>
      </c>
      <c r="P119" s="122">
        <f t="shared" si="50"/>
        <v>-65.15390569285546</v>
      </c>
      <c r="Q119" s="123">
        <f t="shared" si="51"/>
        <v>0.93484609430714449</v>
      </c>
      <c r="R119" s="308"/>
      <c r="S119" s="46">
        <v>0.9583333333333327</v>
      </c>
      <c r="T119" s="118">
        <v>1.0292708333333327</v>
      </c>
      <c r="U119" s="109">
        <v>12.799999999999923</v>
      </c>
      <c r="V119" s="110">
        <v>102.15585279925594</v>
      </c>
      <c r="W119" s="124"/>
      <c r="X119" s="125"/>
      <c r="Y119" s="299"/>
      <c r="Z119" s="300"/>
      <c r="AA119" s="115">
        <f t="shared" si="52"/>
        <v>-195.46171707856638</v>
      </c>
      <c r="AB119" s="108">
        <f t="shared" si="53"/>
        <v>0.93484609430714449</v>
      </c>
      <c r="AC119" s="313"/>
    </row>
    <row r="120" spans="1:29" ht="15.75" customHeight="1">
      <c r="A120" s="316"/>
      <c r="B120" s="98" t="s">
        <v>118</v>
      </c>
      <c r="C120" s="297" t="s">
        <v>137</v>
      </c>
      <c r="D120" s="298"/>
      <c r="E120" s="99">
        <v>16.66</v>
      </c>
      <c r="F120" s="100">
        <v>3427</v>
      </c>
      <c r="G120" s="119">
        <f t="shared" si="54"/>
        <v>57093.82</v>
      </c>
      <c r="H120" s="60"/>
      <c r="I120" s="102">
        <v>5</v>
      </c>
      <c r="J120" s="103">
        <v>3600</v>
      </c>
      <c r="K120" s="104">
        <f t="shared" si="56"/>
        <v>720</v>
      </c>
      <c r="L120" s="116">
        <v>5</v>
      </c>
      <c r="M120" s="103">
        <f t="shared" si="55"/>
        <v>3287.4057407684109</v>
      </c>
      <c r="N120" s="104">
        <f t="shared" si="48"/>
        <v>657.48114815368217</v>
      </c>
      <c r="O120" s="121">
        <f t="shared" si="49"/>
        <v>0</v>
      </c>
      <c r="P120" s="122">
        <f t="shared" si="50"/>
        <v>-62.51885184631783</v>
      </c>
      <c r="Q120" s="123">
        <f t="shared" si="51"/>
        <v>0.91316826132455853</v>
      </c>
      <c r="R120" s="308"/>
      <c r="S120" s="46">
        <v>1.038194444444444</v>
      </c>
      <c r="T120" s="118">
        <v>1.08162037037037</v>
      </c>
      <c r="U120" s="109">
        <v>12.85000000000025</v>
      </c>
      <c r="V120" s="110">
        <v>62.547800975713322</v>
      </c>
      <c r="W120" s="124"/>
      <c r="X120" s="125"/>
      <c r="Y120" s="299"/>
      <c r="Z120" s="300"/>
      <c r="AA120" s="115">
        <f t="shared" si="52"/>
        <v>-312.59425923158915</v>
      </c>
      <c r="AB120" s="108">
        <f t="shared" si="53"/>
        <v>0.91316826132455853</v>
      </c>
      <c r="AC120" s="313"/>
    </row>
    <row r="121" spans="1:29" ht="15.75" customHeight="1">
      <c r="A121" s="316"/>
      <c r="B121" s="98"/>
      <c r="C121" s="297"/>
      <c r="D121" s="298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8"/>
      <c r="S121" s="46"/>
      <c r="T121" s="118"/>
      <c r="U121" s="109"/>
      <c r="V121" s="110"/>
      <c r="W121" s="124"/>
      <c r="X121" s="125"/>
      <c r="Y121" s="299"/>
      <c r="Z121" s="300"/>
      <c r="AA121" s="115"/>
      <c r="AB121" s="108"/>
      <c r="AC121" s="313"/>
    </row>
    <row r="122" spans="1:29" ht="15.75" customHeight="1">
      <c r="A122" s="316"/>
      <c r="B122" s="98"/>
      <c r="C122" s="297"/>
      <c r="D122" s="298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8"/>
      <c r="S122" s="117"/>
      <c r="T122" s="118"/>
      <c r="U122" s="128"/>
      <c r="V122" s="129"/>
      <c r="W122" s="124"/>
      <c r="X122" s="125"/>
      <c r="Y122" s="299"/>
      <c r="Z122" s="300"/>
      <c r="AA122" s="163"/>
      <c r="AB122" s="123"/>
      <c r="AC122" s="313"/>
    </row>
    <row r="123" spans="1:29" ht="15.75" customHeight="1" thickBot="1">
      <c r="A123" s="317"/>
      <c r="B123" s="131" t="s">
        <v>115</v>
      </c>
      <c r="C123" s="294"/>
      <c r="D123" s="294"/>
      <c r="E123" s="132"/>
      <c r="F123" s="97"/>
      <c r="G123" s="133"/>
      <c r="H123" s="67"/>
      <c r="I123" s="134">
        <f t="shared" ref="I123:J123" si="57">AVERAGE(I107:I122)</f>
        <v>3.7142857142857144</v>
      </c>
      <c r="J123" s="135">
        <f t="shared" si="57"/>
        <v>3428.5714285714284</v>
      </c>
      <c r="K123" s="136">
        <f t="shared" ref="K123" si="58">J123/I123</f>
        <v>923.07692307692298</v>
      </c>
      <c r="L123" s="134">
        <f t="shared" ref="L123:M123" si="59">AVERAGE(L107:L122)</f>
        <v>3.7142857142857144</v>
      </c>
      <c r="M123" s="135">
        <f t="shared" si="59"/>
        <v>3148.2609260113941</v>
      </c>
      <c r="N123" s="136">
        <f t="shared" ref="N123:N137" si="60">M123/L123</f>
        <v>847.60871084922144</v>
      </c>
      <c r="O123" s="137">
        <f t="shared" ref="O123:O137" si="61">L123-I123</f>
        <v>0</v>
      </c>
      <c r="P123" s="138">
        <f t="shared" ref="P123:P137" si="62">N123-K123</f>
        <v>-75.468212227701542</v>
      </c>
      <c r="Q123" s="139">
        <f t="shared" ref="Q123:Q137" si="63">N123/K123</f>
        <v>0.91824277008665667</v>
      </c>
      <c r="R123" s="309"/>
      <c r="S123" s="140">
        <v>0.73124999999999996</v>
      </c>
      <c r="T123" s="141">
        <v>1.08162037037037</v>
      </c>
      <c r="U123" s="142"/>
      <c r="V123" s="164"/>
      <c r="W123" s="97"/>
      <c r="X123" s="67"/>
      <c r="Y123" s="295"/>
      <c r="Z123" s="296"/>
      <c r="AA123" s="166">
        <f t="shared" ref="AA123:AA137" si="64">M123-J123</f>
        <v>-280.31050256003437</v>
      </c>
      <c r="AB123" s="139">
        <f t="shared" ref="AB123:AB137" si="65">M123/J123</f>
        <v>0.91824277008665667</v>
      </c>
      <c r="AC123" s="314"/>
    </row>
    <row r="124" spans="1:29" ht="15.75" customHeight="1">
      <c r="A124" s="301" t="s">
        <v>142</v>
      </c>
      <c r="B124" s="112" t="s">
        <v>118</v>
      </c>
      <c r="C124" s="305" t="s">
        <v>141</v>
      </c>
      <c r="D124" s="306"/>
      <c r="E124" s="145">
        <v>14.28</v>
      </c>
      <c r="F124" s="95">
        <v>362</v>
      </c>
      <c r="G124" s="146">
        <f t="shared" ref="G124:G137" si="66">E124*F124</f>
        <v>5169.3599999999997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7" si="67">F124/V124*60</f>
        <v>3286.4845142649392</v>
      </c>
      <c r="N124" s="150">
        <f t="shared" si="60"/>
        <v>1095.4948380883131</v>
      </c>
      <c r="O124" s="152">
        <f t="shared" si="61"/>
        <v>0</v>
      </c>
      <c r="P124" s="153">
        <f t="shared" si="62"/>
        <v>-104.50516191168686</v>
      </c>
      <c r="Q124" s="154">
        <f t="shared" si="63"/>
        <v>0.9129123650735943</v>
      </c>
      <c r="R124" s="307">
        <f>Q140</f>
        <v>0.91266581685146531</v>
      </c>
      <c r="S124" s="155">
        <v>0.73055555555555551</v>
      </c>
      <c r="T124" s="156">
        <v>0.7351388888888889</v>
      </c>
      <c r="U124" s="157"/>
      <c r="V124" s="158">
        <v>6.6088855449416082</v>
      </c>
      <c r="W124" s="156"/>
      <c r="X124" s="167"/>
      <c r="Y124" s="310"/>
      <c r="Z124" s="311"/>
      <c r="AA124" s="169">
        <f t="shared" si="64"/>
        <v>-313.51548573506079</v>
      </c>
      <c r="AB124" s="154">
        <f t="shared" si="65"/>
        <v>0.91291236507359419</v>
      </c>
      <c r="AC124" s="312">
        <f>AB140</f>
        <v>0.91266581685146531</v>
      </c>
    </row>
    <row r="125" spans="1:29" ht="15.75" customHeight="1">
      <c r="A125" s="302"/>
      <c r="B125" s="98" t="s">
        <v>118</v>
      </c>
      <c r="C125" s="297" t="s">
        <v>217</v>
      </c>
      <c r="D125" s="298"/>
      <c r="E125" s="99">
        <v>23.8</v>
      </c>
      <c r="F125" s="100">
        <v>247</v>
      </c>
      <c r="G125" s="101">
        <f t="shared" si="66"/>
        <v>5878.6</v>
      </c>
      <c r="H125" s="26">
        <v>2</v>
      </c>
      <c r="I125" s="102">
        <v>4</v>
      </c>
      <c r="J125" s="103">
        <v>3600</v>
      </c>
      <c r="K125" s="104">
        <f t="shared" si="56"/>
        <v>900</v>
      </c>
      <c r="L125" s="105">
        <v>4</v>
      </c>
      <c r="M125" s="103">
        <f t="shared" si="67"/>
        <v>3285.4784763995417</v>
      </c>
      <c r="N125" s="104">
        <f t="shared" si="60"/>
        <v>821.36961909988543</v>
      </c>
      <c r="O125" s="106">
        <f t="shared" si="61"/>
        <v>0</v>
      </c>
      <c r="P125" s="107">
        <f t="shared" si="62"/>
        <v>-78.630380900114574</v>
      </c>
      <c r="Q125" s="108">
        <f t="shared" si="63"/>
        <v>0.9126329101109838</v>
      </c>
      <c r="R125" s="308"/>
      <c r="S125" s="46">
        <v>0.74374999999999991</v>
      </c>
      <c r="T125" s="47">
        <v>0.74687499999999996</v>
      </c>
      <c r="U125" s="109">
        <v>12.39999999999986</v>
      </c>
      <c r="V125" s="110">
        <v>4.5107585109614838</v>
      </c>
      <c r="W125" s="111"/>
      <c r="X125" s="13"/>
      <c r="Y125" s="299"/>
      <c r="Z125" s="300"/>
      <c r="AA125" s="170">
        <f t="shared" si="64"/>
        <v>-314.52152360045829</v>
      </c>
      <c r="AB125" s="108">
        <f t="shared" si="65"/>
        <v>0.9126329101109838</v>
      </c>
      <c r="AC125" s="313"/>
    </row>
    <row r="126" spans="1:29" ht="15.75" customHeight="1">
      <c r="A126" s="302"/>
      <c r="B126" s="98" t="s">
        <v>118</v>
      </c>
      <c r="C126" s="297" t="s">
        <v>145</v>
      </c>
      <c r="D126" s="298"/>
      <c r="E126" s="99">
        <v>24.82</v>
      </c>
      <c r="F126" s="100">
        <v>586</v>
      </c>
      <c r="G126" s="101">
        <f t="shared" si="66"/>
        <v>14544.52</v>
      </c>
      <c r="H126" s="26">
        <v>2</v>
      </c>
      <c r="I126" s="102">
        <v>5</v>
      </c>
      <c r="J126" s="103">
        <v>3600</v>
      </c>
      <c r="K126" s="104">
        <f t="shared" si="56"/>
        <v>720</v>
      </c>
      <c r="L126" s="105">
        <v>5</v>
      </c>
      <c r="M126" s="103">
        <f t="shared" si="67"/>
        <v>3284.8451855282296</v>
      </c>
      <c r="N126" s="104">
        <f t="shared" si="60"/>
        <v>656.96903710564595</v>
      </c>
      <c r="O126" s="106">
        <f t="shared" si="61"/>
        <v>0</v>
      </c>
      <c r="P126" s="107">
        <f t="shared" si="62"/>
        <v>-63.030962894354047</v>
      </c>
      <c r="Q126" s="108">
        <f t="shared" si="63"/>
        <v>0.9124569959800638</v>
      </c>
      <c r="R126" s="308"/>
      <c r="S126" s="46">
        <v>0.75555555555555542</v>
      </c>
      <c r="T126" s="47">
        <v>0.76298611111111103</v>
      </c>
      <c r="U126" s="109">
        <v>12.499999999999876</v>
      </c>
      <c r="V126" s="110">
        <v>10.703700787757517</v>
      </c>
      <c r="W126" s="111"/>
      <c r="X126" s="13"/>
      <c r="Y126" s="299"/>
      <c r="Z126" s="300"/>
      <c r="AA126" s="170">
        <f t="shared" si="64"/>
        <v>-315.15481447177035</v>
      </c>
      <c r="AB126" s="108">
        <f t="shared" si="65"/>
        <v>0.9124569959800638</v>
      </c>
      <c r="AC126" s="313"/>
    </row>
    <row r="127" spans="1:29" ht="15.75" customHeight="1">
      <c r="A127" s="302"/>
      <c r="B127" s="98" t="s">
        <v>118</v>
      </c>
      <c r="C127" s="297" t="s">
        <v>216</v>
      </c>
      <c r="D127" s="298"/>
      <c r="E127" s="99">
        <v>24.76</v>
      </c>
      <c r="F127" s="100">
        <v>377</v>
      </c>
      <c r="G127" s="101">
        <f t="shared" si="66"/>
        <v>9334.52</v>
      </c>
      <c r="H127" s="26">
        <v>2</v>
      </c>
      <c r="I127" s="102">
        <v>4</v>
      </c>
      <c r="J127" s="103">
        <v>3600</v>
      </c>
      <c r="K127" s="104">
        <f t="shared" si="56"/>
        <v>900</v>
      </c>
      <c r="L127" s="105">
        <v>4</v>
      </c>
      <c r="M127" s="103">
        <f t="shared" si="67"/>
        <v>3287.5398108928903</v>
      </c>
      <c r="N127" s="104">
        <f t="shared" si="60"/>
        <v>821.88495272322257</v>
      </c>
      <c r="O127" s="106">
        <f t="shared" si="61"/>
        <v>0</v>
      </c>
      <c r="P127" s="107">
        <f t="shared" si="62"/>
        <v>-78.115047276777432</v>
      </c>
      <c r="Q127" s="108">
        <f t="shared" si="63"/>
        <v>0.91320550302580283</v>
      </c>
      <c r="R127" s="308"/>
      <c r="S127" s="46">
        <v>0.77152777777777759</v>
      </c>
      <c r="T127" s="47">
        <v>0.77629629629629615</v>
      </c>
      <c r="U127" s="109">
        <v>12.299999999999844</v>
      </c>
      <c r="V127" s="110">
        <v>6.8805250433929936</v>
      </c>
      <c r="W127" s="111"/>
      <c r="X127" s="13"/>
      <c r="Y127" s="299"/>
      <c r="Z127" s="300"/>
      <c r="AA127" s="170">
        <f t="shared" si="64"/>
        <v>-312.46018910710973</v>
      </c>
      <c r="AB127" s="108">
        <f t="shared" si="65"/>
        <v>0.91320550302580283</v>
      </c>
      <c r="AC127" s="313"/>
    </row>
    <row r="128" spans="1:29" ht="15.75" customHeight="1">
      <c r="A128" s="303"/>
      <c r="B128" s="98" t="s">
        <v>118</v>
      </c>
      <c r="C128" s="297" t="s">
        <v>212</v>
      </c>
      <c r="D128" s="298"/>
      <c r="E128" s="99">
        <v>22.32</v>
      </c>
      <c r="F128" s="100">
        <v>647</v>
      </c>
      <c r="G128" s="101">
        <f t="shared" si="66"/>
        <v>14441.04</v>
      </c>
      <c r="H128" s="26">
        <v>2</v>
      </c>
      <c r="I128" s="102">
        <v>5</v>
      </c>
      <c r="J128" s="103">
        <v>3600</v>
      </c>
      <c r="K128" s="104">
        <f t="shared" si="56"/>
        <v>720</v>
      </c>
      <c r="L128" s="105">
        <v>5</v>
      </c>
      <c r="M128" s="103">
        <f t="shared" si="67"/>
        <v>3284.2561209884725</v>
      </c>
      <c r="N128" s="104">
        <f t="shared" si="60"/>
        <v>656.85122419769448</v>
      </c>
      <c r="O128" s="106">
        <f t="shared" si="61"/>
        <v>0</v>
      </c>
      <c r="P128" s="107">
        <f t="shared" si="62"/>
        <v>-63.148775802305522</v>
      </c>
      <c r="Q128" s="108">
        <f t="shared" si="63"/>
        <v>0.9122933669412423</v>
      </c>
      <c r="R128" s="308"/>
      <c r="S128" s="46">
        <v>0.78541666666666643</v>
      </c>
      <c r="T128" s="47">
        <v>0.79362268518518497</v>
      </c>
      <c r="U128" s="109">
        <v>13.133333333333201</v>
      </c>
      <c r="V128" s="110">
        <v>11.820028210320038</v>
      </c>
      <c r="W128" s="111"/>
      <c r="X128" s="114"/>
      <c r="Y128" s="299"/>
      <c r="Z128" s="300"/>
      <c r="AA128" s="170">
        <f t="shared" si="64"/>
        <v>-315.7438790115275</v>
      </c>
      <c r="AB128" s="108">
        <f t="shared" si="65"/>
        <v>0.91229336694124241</v>
      </c>
      <c r="AC128" s="313"/>
    </row>
    <row r="129" spans="1:29" ht="15.75" customHeight="1">
      <c r="A129" s="303"/>
      <c r="B129" s="98" t="s">
        <v>118</v>
      </c>
      <c r="C129" s="297" t="s">
        <v>143</v>
      </c>
      <c r="D129" s="298"/>
      <c r="E129" s="99">
        <v>18.18</v>
      </c>
      <c r="F129" s="100">
        <v>893</v>
      </c>
      <c r="G129" s="119">
        <f t="shared" si="66"/>
        <v>16234.74</v>
      </c>
      <c r="H129" s="26">
        <v>2</v>
      </c>
      <c r="I129" s="102">
        <v>3</v>
      </c>
      <c r="J129" s="103">
        <v>3600</v>
      </c>
      <c r="K129" s="104">
        <f t="shared" si="56"/>
        <v>1200</v>
      </c>
      <c r="L129" s="105">
        <v>3</v>
      </c>
      <c r="M129" s="103">
        <f t="shared" si="67"/>
        <v>3283.9093376259557</v>
      </c>
      <c r="N129" s="104">
        <f t="shared" si="60"/>
        <v>1094.6364458753185</v>
      </c>
      <c r="O129" s="106">
        <f t="shared" si="61"/>
        <v>0</v>
      </c>
      <c r="P129" s="107">
        <f t="shared" si="62"/>
        <v>-105.36355412468151</v>
      </c>
      <c r="Q129" s="108">
        <f t="shared" si="63"/>
        <v>0.9121970382294321</v>
      </c>
      <c r="R129" s="308"/>
      <c r="S129" s="46">
        <v>0.80277777777777748</v>
      </c>
      <c r="T129" s="118">
        <v>0.81409722222222192</v>
      </c>
      <c r="U129" s="109">
        <v>13.183333333333209</v>
      </c>
      <c r="V129" s="110">
        <v>16.315919378801947</v>
      </c>
      <c r="W129" s="111"/>
      <c r="X129" s="49"/>
      <c r="Y129" s="299"/>
      <c r="Z129" s="300"/>
      <c r="AA129" s="170">
        <f t="shared" si="64"/>
        <v>-316.09066237404431</v>
      </c>
      <c r="AB129" s="108">
        <f t="shared" si="65"/>
        <v>0.9121970382294321</v>
      </c>
      <c r="AC129" s="313"/>
    </row>
    <row r="130" spans="1:29" ht="15.75" customHeight="1">
      <c r="A130" s="303"/>
      <c r="B130" s="98" t="s">
        <v>118</v>
      </c>
      <c r="C130" s="297" t="s">
        <v>136</v>
      </c>
      <c r="D130" s="298"/>
      <c r="E130" s="99">
        <v>17.89</v>
      </c>
      <c r="F130" s="100">
        <v>1391</v>
      </c>
      <c r="G130" s="119">
        <f t="shared" si="66"/>
        <v>24884.99</v>
      </c>
      <c r="H130" s="26">
        <v>2</v>
      </c>
      <c r="I130" s="102">
        <v>4</v>
      </c>
      <c r="J130" s="103">
        <v>3600</v>
      </c>
      <c r="K130" s="104">
        <f t="shared" si="56"/>
        <v>900</v>
      </c>
      <c r="L130" s="105">
        <v>4</v>
      </c>
      <c r="M130" s="103">
        <f t="shared" si="67"/>
        <v>3286.6651389568929</v>
      </c>
      <c r="N130" s="104">
        <f t="shared" si="60"/>
        <v>821.66628473922322</v>
      </c>
      <c r="O130" s="121">
        <f t="shared" si="61"/>
        <v>0</v>
      </c>
      <c r="P130" s="122">
        <f t="shared" si="62"/>
        <v>-78.333715260776785</v>
      </c>
      <c r="Q130" s="123">
        <f t="shared" si="63"/>
        <v>0.9129625385991369</v>
      </c>
      <c r="R130" s="308"/>
      <c r="S130" s="46">
        <v>0.82361111111111074</v>
      </c>
      <c r="T130" s="118">
        <v>0.84123842592592557</v>
      </c>
      <c r="U130" s="109">
        <v>13.699999999999903</v>
      </c>
      <c r="V130" s="110">
        <v>25.393520931216059</v>
      </c>
      <c r="W130" s="111"/>
      <c r="X130" s="114"/>
      <c r="Y130" s="299"/>
      <c r="Z130" s="300"/>
      <c r="AA130" s="170">
        <f t="shared" si="64"/>
        <v>-313.33486104310714</v>
      </c>
      <c r="AB130" s="108">
        <f t="shared" si="65"/>
        <v>0.9129625385991369</v>
      </c>
      <c r="AC130" s="313"/>
    </row>
    <row r="131" spans="1:29" ht="15.75" customHeight="1">
      <c r="A131" s="303"/>
      <c r="B131" s="98" t="s">
        <v>118</v>
      </c>
      <c r="C131" s="297" t="s">
        <v>217</v>
      </c>
      <c r="D131" s="298"/>
      <c r="E131" s="99">
        <v>23.8</v>
      </c>
      <c r="F131" s="100">
        <v>255</v>
      </c>
      <c r="G131" s="119">
        <f t="shared" si="66"/>
        <v>6069</v>
      </c>
      <c r="H131" s="26"/>
      <c r="I131" s="102">
        <v>4</v>
      </c>
      <c r="J131" s="103">
        <v>3600</v>
      </c>
      <c r="K131" s="104">
        <f t="shared" si="56"/>
        <v>900</v>
      </c>
      <c r="L131" s="116">
        <v>4</v>
      </c>
      <c r="M131" s="103">
        <f t="shared" si="67"/>
        <v>3285.4784763995417</v>
      </c>
      <c r="N131" s="104">
        <f t="shared" si="60"/>
        <v>821.36961909988543</v>
      </c>
      <c r="O131" s="121">
        <f t="shared" si="61"/>
        <v>0</v>
      </c>
      <c r="P131" s="122">
        <f t="shared" si="62"/>
        <v>-78.630380900114574</v>
      </c>
      <c r="Q131" s="123">
        <f t="shared" si="63"/>
        <v>0.9126329101109838</v>
      </c>
      <c r="R131" s="308"/>
      <c r="S131" s="46">
        <v>0.85069444444444409</v>
      </c>
      <c r="T131" s="118">
        <v>0.8539236111111107</v>
      </c>
      <c r="U131" s="109">
        <v>13.616666666666664</v>
      </c>
      <c r="V131" s="110">
        <v>4.6568559526120579</v>
      </c>
      <c r="W131" s="111"/>
      <c r="X131" s="114"/>
      <c r="Y131" s="299"/>
      <c r="Z131" s="300"/>
      <c r="AA131" s="170">
        <f t="shared" si="64"/>
        <v>-314.52152360045829</v>
      </c>
      <c r="AB131" s="108">
        <f t="shared" si="65"/>
        <v>0.9126329101109838</v>
      </c>
      <c r="AC131" s="313"/>
    </row>
    <row r="132" spans="1:29" ht="15.75" customHeight="1">
      <c r="A132" s="303"/>
      <c r="B132" s="98" t="s">
        <v>118</v>
      </c>
      <c r="C132" s="297" t="s">
        <v>145</v>
      </c>
      <c r="D132" s="298"/>
      <c r="E132" s="99">
        <v>24.82</v>
      </c>
      <c r="F132" s="100">
        <v>759</v>
      </c>
      <c r="G132" s="119">
        <f t="shared" si="66"/>
        <v>18838.38</v>
      </c>
      <c r="H132" s="26"/>
      <c r="I132" s="102">
        <v>5</v>
      </c>
      <c r="J132" s="103">
        <v>3600</v>
      </c>
      <c r="K132" s="104">
        <f t="shared" si="56"/>
        <v>720</v>
      </c>
      <c r="L132" s="116">
        <v>5</v>
      </c>
      <c r="M132" s="103">
        <f t="shared" si="67"/>
        <v>3284.8451855282296</v>
      </c>
      <c r="N132" s="104">
        <f t="shared" si="60"/>
        <v>656.96903710564595</v>
      </c>
      <c r="O132" s="121">
        <f t="shared" si="61"/>
        <v>0</v>
      </c>
      <c r="P132" s="122">
        <f t="shared" si="62"/>
        <v>-63.030962894354047</v>
      </c>
      <c r="Q132" s="123">
        <f t="shared" si="63"/>
        <v>0.9124569959800638</v>
      </c>
      <c r="R132" s="308"/>
      <c r="S132" s="46">
        <v>0.86319444444444404</v>
      </c>
      <c r="T132" s="118">
        <v>0.87281249999999955</v>
      </c>
      <c r="U132" s="109">
        <v>13.350000000000009</v>
      </c>
      <c r="V132" s="110">
        <v>13.863667061276374</v>
      </c>
      <c r="W132" s="124"/>
      <c r="X132" s="125"/>
      <c r="Y132" s="299"/>
      <c r="Z132" s="300"/>
      <c r="AA132" s="170">
        <f t="shared" si="64"/>
        <v>-315.15481447177035</v>
      </c>
      <c r="AB132" s="108">
        <f t="shared" si="65"/>
        <v>0.9124569959800638</v>
      </c>
      <c r="AC132" s="313"/>
    </row>
    <row r="133" spans="1:29" ht="15.75" customHeight="1">
      <c r="A133" s="303"/>
      <c r="B133" s="98" t="s">
        <v>118</v>
      </c>
      <c r="C133" s="297" t="s">
        <v>216</v>
      </c>
      <c r="D133" s="298"/>
      <c r="E133" s="99">
        <v>24.76</v>
      </c>
      <c r="F133" s="100">
        <v>543</v>
      </c>
      <c r="G133" s="119">
        <f t="shared" si="66"/>
        <v>13444.68</v>
      </c>
      <c r="H133" s="60"/>
      <c r="I133" s="102">
        <v>4</v>
      </c>
      <c r="J133" s="103">
        <v>3600</v>
      </c>
      <c r="K133" s="104">
        <f t="shared" si="56"/>
        <v>900</v>
      </c>
      <c r="L133" s="116">
        <v>4</v>
      </c>
      <c r="M133" s="103">
        <f t="shared" si="67"/>
        <v>3287.5398108928912</v>
      </c>
      <c r="N133" s="104">
        <f t="shared" si="60"/>
        <v>821.8849527232228</v>
      </c>
      <c r="O133" s="121">
        <f t="shared" si="61"/>
        <v>0</v>
      </c>
      <c r="P133" s="122">
        <f t="shared" si="62"/>
        <v>-78.115047276777204</v>
      </c>
      <c r="Q133" s="123">
        <f t="shared" si="63"/>
        <v>0.91320550302580306</v>
      </c>
      <c r="R133" s="308"/>
      <c r="S133" s="46">
        <v>0.88194444444444398</v>
      </c>
      <c r="T133" s="118">
        <v>0.88881944444444394</v>
      </c>
      <c r="U133" s="109">
        <v>13.149999999999977</v>
      </c>
      <c r="V133" s="110">
        <v>9.9101461500328778</v>
      </c>
      <c r="W133" s="124"/>
      <c r="X133" s="125"/>
      <c r="Y133" s="299"/>
      <c r="Z133" s="300"/>
      <c r="AA133" s="170">
        <f t="shared" si="64"/>
        <v>-312.46018910710882</v>
      </c>
      <c r="AB133" s="108">
        <f t="shared" si="65"/>
        <v>0.91320550302580306</v>
      </c>
      <c r="AC133" s="313"/>
    </row>
    <row r="134" spans="1:29" ht="15.75" customHeight="1">
      <c r="A134" s="303"/>
      <c r="B134" s="98" t="s">
        <v>118</v>
      </c>
      <c r="C134" s="297" t="s">
        <v>212</v>
      </c>
      <c r="D134" s="298"/>
      <c r="E134" s="99">
        <v>22.32</v>
      </c>
      <c r="F134" s="100">
        <v>1075</v>
      </c>
      <c r="G134" s="119">
        <f t="shared" si="66"/>
        <v>23994</v>
      </c>
      <c r="H134" s="60"/>
      <c r="I134" s="102">
        <v>5</v>
      </c>
      <c r="J134" s="103">
        <v>3600</v>
      </c>
      <c r="K134" s="104">
        <f t="shared" si="56"/>
        <v>720</v>
      </c>
      <c r="L134" s="116">
        <v>5</v>
      </c>
      <c r="M134" s="103">
        <f t="shared" si="67"/>
        <v>3284.2561209884725</v>
      </c>
      <c r="N134" s="104">
        <f t="shared" si="60"/>
        <v>656.85122419769448</v>
      </c>
      <c r="O134" s="121">
        <f t="shared" si="61"/>
        <v>0</v>
      </c>
      <c r="P134" s="122">
        <f t="shared" si="62"/>
        <v>-63.148775802305522</v>
      </c>
      <c r="Q134" s="123">
        <f t="shared" si="63"/>
        <v>0.9122933669412423</v>
      </c>
      <c r="R134" s="308"/>
      <c r="S134" s="46">
        <v>0.89791666666666614</v>
      </c>
      <c r="T134" s="118">
        <v>0.91155092592592535</v>
      </c>
      <c r="U134" s="109">
        <v>13.099999999999969</v>
      </c>
      <c r="V134" s="110">
        <v>19.639150426729582</v>
      </c>
      <c r="W134" s="124"/>
      <c r="X134" s="125"/>
      <c r="Y134" s="299"/>
      <c r="Z134" s="300"/>
      <c r="AA134" s="170">
        <f t="shared" si="64"/>
        <v>-315.7438790115275</v>
      </c>
      <c r="AB134" s="108">
        <f t="shared" si="65"/>
        <v>0.91229336694124241</v>
      </c>
      <c r="AC134" s="313"/>
    </row>
    <row r="135" spans="1:29" ht="15.75" customHeight="1">
      <c r="A135" s="303"/>
      <c r="B135" s="98" t="s">
        <v>118</v>
      </c>
      <c r="C135" s="297" t="s">
        <v>143</v>
      </c>
      <c r="D135" s="298"/>
      <c r="E135" s="99">
        <v>18.18</v>
      </c>
      <c r="F135" s="100">
        <v>1475</v>
      </c>
      <c r="G135" s="119">
        <f t="shared" si="66"/>
        <v>26815.5</v>
      </c>
      <c r="H135" s="60"/>
      <c r="I135" s="102">
        <v>3</v>
      </c>
      <c r="J135" s="103">
        <v>3600</v>
      </c>
      <c r="K135" s="104">
        <f t="shared" si="56"/>
        <v>1200</v>
      </c>
      <c r="L135" s="116">
        <v>3</v>
      </c>
      <c r="M135" s="103">
        <f t="shared" si="67"/>
        <v>3283.9093376259561</v>
      </c>
      <c r="N135" s="104">
        <f t="shared" si="60"/>
        <v>1094.6364458753187</v>
      </c>
      <c r="O135" s="121">
        <f t="shared" si="61"/>
        <v>0</v>
      </c>
      <c r="P135" s="122">
        <f t="shared" si="62"/>
        <v>-105.36355412468129</v>
      </c>
      <c r="Q135" s="123">
        <f t="shared" si="63"/>
        <v>0.91219703822943221</v>
      </c>
      <c r="R135" s="308"/>
      <c r="S135" s="46">
        <v>0.92013888888888828</v>
      </c>
      <c r="T135" s="118">
        <v>0.93884259259259195</v>
      </c>
      <c r="U135" s="109">
        <v>12.366666666666628</v>
      </c>
      <c r="V135" s="110">
        <v>26.949586879880034</v>
      </c>
      <c r="W135" s="124"/>
      <c r="X135" s="125"/>
      <c r="Y135" s="299"/>
      <c r="Z135" s="300"/>
      <c r="AA135" s="170">
        <f t="shared" si="64"/>
        <v>-316.09066237404386</v>
      </c>
      <c r="AB135" s="108">
        <f t="shared" si="65"/>
        <v>0.91219703822943221</v>
      </c>
      <c r="AC135" s="313"/>
    </row>
    <row r="136" spans="1:29" ht="15.75" customHeight="1">
      <c r="A136" s="303"/>
      <c r="B136" s="98" t="s">
        <v>118</v>
      </c>
      <c r="C136" s="297" t="s">
        <v>136</v>
      </c>
      <c r="D136" s="298"/>
      <c r="E136" s="99">
        <v>17.89</v>
      </c>
      <c r="F136" s="100">
        <v>2338</v>
      </c>
      <c r="G136" s="119">
        <f t="shared" si="66"/>
        <v>41826.82</v>
      </c>
      <c r="H136" s="60"/>
      <c r="I136" s="102">
        <v>4</v>
      </c>
      <c r="J136" s="103">
        <v>3600</v>
      </c>
      <c r="K136" s="104">
        <f t="shared" si="56"/>
        <v>900</v>
      </c>
      <c r="L136" s="116">
        <v>4</v>
      </c>
      <c r="M136" s="103">
        <f t="shared" si="67"/>
        <v>3286.6651389568933</v>
      </c>
      <c r="N136" s="104">
        <f t="shared" si="60"/>
        <v>821.66628473922333</v>
      </c>
      <c r="O136" s="121">
        <f t="shared" si="61"/>
        <v>0</v>
      </c>
      <c r="P136" s="122">
        <f t="shared" si="62"/>
        <v>-78.333715260776671</v>
      </c>
      <c r="Q136" s="123">
        <f t="shared" si="63"/>
        <v>0.91296253859913701</v>
      </c>
      <c r="R136" s="308"/>
      <c r="S136" s="46">
        <v>0.94791666666666607</v>
      </c>
      <c r="T136" s="118">
        <v>0.97754629629629575</v>
      </c>
      <c r="U136" s="109">
        <v>13.066666666666737</v>
      </c>
      <c r="V136" s="110">
        <v>42.681561421411317</v>
      </c>
      <c r="W136" s="124"/>
      <c r="X136" s="125"/>
      <c r="Y136" s="299"/>
      <c r="Z136" s="300"/>
      <c r="AA136" s="170">
        <f t="shared" si="64"/>
        <v>-313.33486104310668</v>
      </c>
      <c r="AB136" s="108">
        <f t="shared" si="65"/>
        <v>0.91296253859913701</v>
      </c>
      <c r="AC136" s="313"/>
    </row>
    <row r="137" spans="1:29" ht="15.75" customHeight="1">
      <c r="A137" s="303"/>
      <c r="B137" s="98" t="s">
        <v>118</v>
      </c>
      <c r="C137" s="297" t="s">
        <v>141</v>
      </c>
      <c r="D137" s="298"/>
      <c r="E137" s="99">
        <v>14.28</v>
      </c>
      <c r="F137" s="100">
        <v>6534</v>
      </c>
      <c r="G137" s="119">
        <f t="shared" si="66"/>
        <v>93305.51999999999</v>
      </c>
      <c r="H137" s="60"/>
      <c r="I137" s="102">
        <v>3</v>
      </c>
      <c r="J137" s="103">
        <v>3600</v>
      </c>
      <c r="K137" s="104">
        <f t="shared" si="56"/>
        <v>1200</v>
      </c>
      <c r="L137" s="116">
        <v>3</v>
      </c>
      <c r="M137" s="103">
        <f t="shared" si="67"/>
        <v>3286.4845142649392</v>
      </c>
      <c r="N137" s="104">
        <f t="shared" si="60"/>
        <v>1095.4948380883131</v>
      </c>
      <c r="O137" s="121">
        <f t="shared" si="61"/>
        <v>0</v>
      </c>
      <c r="P137" s="122">
        <f t="shared" si="62"/>
        <v>-104.50516191168686</v>
      </c>
      <c r="Q137" s="123">
        <f t="shared" si="63"/>
        <v>0.9129123650735943</v>
      </c>
      <c r="R137" s="308"/>
      <c r="S137" s="46">
        <v>0.98611111111111049</v>
      </c>
      <c r="T137" s="118">
        <v>1.0689467592592585</v>
      </c>
      <c r="U137" s="109">
        <v>12.333333333333236</v>
      </c>
      <c r="V137" s="110">
        <v>119.28855842720571</v>
      </c>
      <c r="W137" s="111"/>
      <c r="X137" s="114"/>
      <c r="Y137" s="299"/>
      <c r="Z137" s="300"/>
      <c r="AA137" s="170">
        <f t="shared" si="64"/>
        <v>-313.51548573506079</v>
      </c>
      <c r="AB137" s="108">
        <f t="shared" si="65"/>
        <v>0.91291236507359419</v>
      </c>
      <c r="AC137" s="313"/>
    </row>
    <row r="138" spans="1:29" ht="15.75" customHeight="1">
      <c r="A138" s="303"/>
      <c r="B138" s="98"/>
      <c r="C138" s="297"/>
      <c r="D138" s="298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8"/>
      <c r="S138" s="46"/>
      <c r="T138" s="118"/>
      <c r="U138" s="109"/>
      <c r="V138" s="110"/>
      <c r="W138" s="124"/>
      <c r="X138" s="125"/>
      <c r="Y138" s="299"/>
      <c r="Z138" s="300"/>
      <c r="AA138" s="170"/>
      <c r="AB138" s="108"/>
      <c r="AC138" s="313"/>
    </row>
    <row r="139" spans="1:29" ht="15.75" customHeight="1">
      <c r="A139" s="303"/>
      <c r="B139" s="98"/>
      <c r="C139" s="297"/>
      <c r="D139" s="298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8"/>
      <c r="S139" s="117"/>
      <c r="T139" s="118"/>
      <c r="U139" s="128"/>
      <c r="V139" s="129"/>
      <c r="W139" s="124"/>
      <c r="X139" s="125"/>
      <c r="Y139" s="299"/>
      <c r="Z139" s="300"/>
      <c r="AA139" s="171"/>
      <c r="AB139" s="123"/>
      <c r="AC139" s="313"/>
    </row>
    <row r="140" spans="1:29" ht="15.75" customHeight="1" thickBot="1">
      <c r="A140" s="304"/>
      <c r="B140" s="131" t="s">
        <v>115</v>
      </c>
      <c r="C140" s="294"/>
      <c r="D140" s="294"/>
      <c r="E140" s="132"/>
      <c r="F140" s="165"/>
      <c r="G140" s="133"/>
      <c r="H140" s="67"/>
      <c r="I140" s="134">
        <f t="shared" ref="I140:J140" si="68">AVERAGE(I124:I139)</f>
        <v>4</v>
      </c>
      <c r="J140" s="135">
        <f t="shared" si="68"/>
        <v>3600</v>
      </c>
      <c r="K140" s="136">
        <f t="shared" ref="K140" si="69">J140/I140</f>
        <v>900</v>
      </c>
      <c r="L140" s="134">
        <f t="shared" ref="L140:M140" si="70">AVERAGE(L124:L139)</f>
        <v>4</v>
      </c>
      <c r="M140" s="135">
        <f t="shared" si="70"/>
        <v>3285.5969406652753</v>
      </c>
      <c r="N140" s="136">
        <f>M140/L140</f>
        <v>821.39923516631882</v>
      </c>
      <c r="O140" s="137">
        <f>L140-I140</f>
        <v>0</v>
      </c>
      <c r="P140" s="138">
        <f>N140-K140</f>
        <v>-78.600764833681183</v>
      </c>
      <c r="Q140" s="139">
        <f>N140/K140</f>
        <v>0.91266581685146531</v>
      </c>
      <c r="R140" s="309"/>
      <c r="S140" s="140">
        <v>0.73055555555555551</v>
      </c>
      <c r="T140" s="141">
        <v>1.0689467592592585</v>
      </c>
      <c r="U140" s="142"/>
      <c r="V140" s="164"/>
      <c r="W140" s="165"/>
      <c r="X140" s="136"/>
      <c r="Y140" s="295"/>
      <c r="Z140" s="296"/>
      <c r="AA140" s="172">
        <f>M140-J140</f>
        <v>-314.40305933472473</v>
      </c>
      <c r="AB140" s="139">
        <f>M140/J140</f>
        <v>0.91266581685146531</v>
      </c>
      <c r="AC140" s="314"/>
    </row>
    <row r="142" spans="1:29">
      <c r="Y142" s="293" t="s">
        <v>147</v>
      </c>
      <c r="Z142" s="293"/>
    </row>
    <row r="143" spans="1:29">
      <c r="Y143" s="293" t="s">
        <v>148</v>
      </c>
      <c r="Z143" s="293"/>
    </row>
    <row r="144" spans="1:29">
      <c r="Y144" s="293" t="s">
        <v>149</v>
      </c>
      <c r="Z144" s="293"/>
    </row>
    <row r="145" spans="25:26">
      <c r="Y145" s="293" t="s">
        <v>150</v>
      </c>
      <c r="Z145" s="293"/>
    </row>
    <row r="146" spans="25:26">
      <c r="Y146" s="293" t="s">
        <v>151</v>
      </c>
      <c r="Z146" s="293"/>
    </row>
    <row r="147" spans="25:26">
      <c r="Y147" s="293" t="s">
        <v>152</v>
      </c>
      <c r="Z147" s="293"/>
    </row>
    <row r="148" spans="25:26">
      <c r="Y148" s="293" t="s">
        <v>153</v>
      </c>
      <c r="Z148" s="293"/>
    </row>
    <row r="149" spans="25:26">
      <c r="Y149" s="293" t="s">
        <v>154</v>
      </c>
      <c r="Z149" s="293"/>
    </row>
    <row r="150" spans="25:26">
      <c r="Y150" s="293" t="s">
        <v>155</v>
      </c>
      <c r="Z150" s="293"/>
    </row>
    <row r="151" spans="25:26">
      <c r="Y151" s="293" t="s">
        <v>156</v>
      </c>
      <c r="Z151" s="293"/>
    </row>
    <row r="152" spans="25:26">
      <c r="Y152" s="293" t="s">
        <v>157</v>
      </c>
      <c r="Z152" s="293"/>
    </row>
    <row r="153" spans="25:26">
      <c r="Y153" s="293" t="s">
        <v>158</v>
      </c>
      <c r="Z153" s="293"/>
    </row>
    <row r="154" spans="25:26">
      <c r="Y154" s="293" t="s">
        <v>159</v>
      </c>
      <c r="Z154" s="293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11:Z111"/>
    <mergeCell ref="C112:D112"/>
    <mergeCell ref="Y127:Z127"/>
    <mergeCell ref="C128:D128"/>
    <mergeCell ref="Y128:Z128"/>
    <mergeCell ref="C129:D129"/>
    <mergeCell ref="Y129:Z129"/>
    <mergeCell ref="C130:D130"/>
    <mergeCell ref="Y130:Z130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160" priority="1" operator="greaterThan">
      <formula>0</formula>
    </cfRule>
  </conditionalFormatting>
  <conditionalFormatting sqref="P5:P140 AA5:AA140">
    <cfRule type="cellIs" dxfId="159" priority="4" operator="lessThan">
      <formula>0</formula>
    </cfRule>
  </conditionalFormatting>
  <conditionalFormatting sqref="Q5:Q140 AB5:AB140">
    <cfRule type="cellIs" dxfId="158" priority="2" operator="greaterThan">
      <formula>1</formula>
    </cfRule>
    <cfRule type="cellIs" dxfId="157" priority="3" operator="lessThan">
      <formula>0.8</formula>
    </cfRule>
  </conditionalFormatting>
  <conditionalFormatting sqref="AC5:AC6 R5:R140 AC73:AC78">
    <cfRule type="cellIs" dxfId="156" priority="5" operator="lessThan">
      <formula>0.8</formula>
    </cfRule>
  </conditionalFormatting>
  <conditionalFormatting sqref="AC12:AC20">
    <cfRule type="cellIs" dxfId="155" priority="12" operator="lessThan">
      <formula>0.8</formula>
    </cfRule>
  </conditionalFormatting>
  <conditionalFormatting sqref="AC22">
    <cfRule type="cellIs" dxfId="154" priority="11" operator="lessThan">
      <formula>0.8</formula>
    </cfRule>
  </conditionalFormatting>
  <conditionalFormatting sqref="AC39">
    <cfRule type="cellIs" dxfId="153" priority="7" operator="lessThan">
      <formula>0.8</formula>
    </cfRule>
  </conditionalFormatting>
  <conditionalFormatting sqref="AC56:AC61">
    <cfRule type="cellIs" dxfId="152" priority="6" operator="lessThan">
      <formula>0.8</formula>
    </cfRule>
  </conditionalFormatting>
  <conditionalFormatting sqref="AC90">
    <cfRule type="cellIs" dxfId="151" priority="10" operator="lessThan">
      <formula>0.8</formula>
    </cfRule>
  </conditionalFormatting>
  <conditionalFormatting sqref="AC107">
    <cfRule type="cellIs" dxfId="150" priority="9" operator="lessThan">
      <formula>0.8</formula>
    </cfRule>
  </conditionalFormatting>
  <conditionalFormatting sqref="AC124:AC129">
    <cfRule type="cellIs" dxfId="149" priority="8" operator="lessThan">
      <formula>0.8</formula>
    </cfRule>
  </conditionalFormatting>
  <dataValidations count="1">
    <dataValidation type="list" allowBlank="1" showInputMessage="1" showErrorMessage="1" sqref="Y5:Z140" xr:uid="{F6FEAEAF-FCB0-4C66-81C0-4AAFAB7BA522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29FA4-B64D-489C-A05A-79B34D05A3DB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Q42" sqref="Q42"/>
      <selection pane="bottomLeft" activeCell="Q42" sqref="Q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71485</v>
      </c>
      <c r="E1" s="86" t="s">
        <v>3</v>
      </c>
      <c r="F1" s="87">
        <f>SUM(G5:G140)</f>
        <v>3083963.41</v>
      </c>
      <c r="G1" s="88" t="s">
        <v>84</v>
      </c>
      <c r="H1" s="89">
        <f>L21+L38+L55+L72+L89+L106+L123+L140</f>
        <v>137.55000000000001</v>
      </c>
      <c r="I1" s="359" t="s">
        <v>85</v>
      </c>
      <c r="J1" s="360"/>
      <c r="K1" s="361"/>
      <c r="L1" s="365" t="s">
        <v>86</v>
      </c>
      <c r="M1" s="366"/>
      <c r="N1" s="367"/>
      <c r="O1" s="360" t="s">
        <v>87</v>
      </c>
      <c r="P1" s="360"/>
      <c r="Q1" s="360"/>
      <c r="R1" s="371"/>
      <c r="S1" s="359" t="s">
        <v>88</v>
      </c>
      <c r="T1" s="360"/>
      <c r="U1" s="360"/>
      <c r="V1" s="360"/>
      <c r="W1" s="360"/>
      <c r="X1" s="371"/>
      <c r="Y1" s="190" t="s">
        <v>183</v>
      </c>
      <c r="Z1" s="190" t="s">
        <v>184</v>
      </c>
      <c r="AA1" s="391" t="s">
        <v>161</v>
      </c>
      <c r="AB1" s="392"/>
      <c r="AC1" s="174" t="s">
        <v>19</v>
      </c>
      <c r="AD1" s="175" t="s">
        <v>160</v>
      </c>
      <c r="AE1" s="359" t="s">
        <v>90</v>
      </c>
      <c r="AF1" s="374"/>
      <c r="AG1" s="375"/>
    </row>
    <row r="2" spans="1:33" ht="26.25" customHeight="1" thickBot="1">
      <c r="A2" s="352">
        <v>46302</v>
      </c>
      <c r="B2" s="353"/>
      <c r="C2" s="90" t="s">
        <v>40</v>
      </c>
      <c r="D2" s="91">
        <f>AVERAGE(N21,N38,N55,N72,N89,N106,N123,N140)</f>
        <v>208.52519389485593</v>
      </c>
      <c r="E2" s="91" t="s">
        <v>91</v>
      </c>
      <c r="F2" s="92">
        <f>F1/D1</f>
        <v>43.141406029236904</v>
      </c>
      <c r="G2" s="93" t="s">
        <v>92</v>
      </c>
      <c r="H2" s="94">
        <f>COUNT(H5:H140)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1">
        <f>SUM(Y21,Y38,Y55,Y72,Y89,Y106,Y123,Y140)</f>
        <v>0</v>
      </c>
      <c r="Z2" s="191">
        <f>SUM(Z21,Z38,Z55,Z72,Z89,Z106,Z123,Z140)</f>
        <v>0</v>
      </c>
      <c r="AA2" s="393"/>
      <c r="AB2" s="394"/>
      <c r="AC2" s="199">
        <f>SUM(AC21,AC38,AC55,AC72,AC89,AC106,AC123,AC140)</f>
        <v>0</v>
      </c>
      <c r="AD2" s="200">
        <f>SUM(AD21,AD38,AD55,AD72,AD89,AD106,AD123,AD140)</f>
        <v>0</v>
      </c>
      <c r="AE2" s="376"/>
      <c r="AF2" s="377"/>
      <c r="AG2" s="378"/>
    </row>
    <row r="3" spans="1:33" ht="23.25" customHeight="1">
      <c r="A3" s="354" t="s">
        <v>93</v>
      </c>
      <c r="B3" s="356" t="s">
        <v>94</v>
      </c>
      <c r="C3" s="326" t="s">
        <v>95</v>
      </c>
      <c r="D3" s="326"/>
      <c r="E3" s="346" t="s">
        <v>96</v>
      </c>
      <c r="F3" s="326" t="s">
        <v>97</v>
      </c>
      <c r="G3" s="346" t="s">
        <v>98</v>
      </c>
      <c r="H3" s="348" t="s">
        <v>99</v>
      </c>
      <c r="I3" s="338" t="s">
        <v>100</v>
      </c>
      <c r="J3" s="334" t="s">
        <v>101</v>
      </c>
      <c r="K3" s="336" t="s">
        <v>40</v>
      </c>
      <c r="L3" s="350" t="s">
        <v>100</v>
      </c>
      <c r="M3" s="334" t="s">
        <v>101</v>
      </c>
      <c r="N3" s="336" t="s">
        <v>40</v>
      </c>
      <c r="O3" s="338" t="s">
        <v>100</v>
      </c>
      <c r="P3" s="340" t="s">
        <v>40</v>
      </c>
      <c r="Q3" s="342" t="s">
        <v>102</v>
      </c>
      <c r="R3" s="344" t="s">
        <v>103</v>
      </c>
      <c r="S3" s="322" t="s">
        <v>104</v>
      </c>
      <c r="T3" s="323"/>
      <c r="U3" s="324" t="s">
        <v>105</v>
      </c>
      <c r="V3" s="324" t="s">
        <v>106</v>
      </c>
      <c r="W3" s="326" t="s">
        <v>107</v>
      </c>
      <c r="X3" s="327"/>
      <c r="Y3" s="383" t="s">
        <v>185</v>
      </c>
      <c r="Z3" s="384"/>
      <c r="AA3" s="387" t="s">
        <v>108</v>
      </c>
      <c r="AB3" s="388"/>
      <c r="AC3" s="383" t="s">
        <v>186</v>
      </c>
      <c r="AD3" s="384"/>
      <c r="AE3" s="332" t="s">
        <v>101</v>
      </c>
      <c r="AF3" s="318" t="s">
        <v>102</v>
      </c>
      <c r="AG3" s="320" t="s">
        <v>109</v>
      </c>
    </row>
    <row r="4" spans="1:33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201" t="s">
        <v>110</v>
      </c>
      <c r="T4" s="202" t="s">
        <v>111</v>
      </c>
      <c r="U4" s="325"/>
      <c r="V4" s="325"/>
      <c r="W4" s="97" t="s">
        <v>112</v>
      </c>
      <c r="X4" s="67" t="s">
        <v>113</v>
      </c>
      <c r="Y4" s="192" t="s">
        <v>49</v>
      </c>
      <c r="Z4" s="193" t="s">
        <v>50</v>
      </c>
      <c r="AA4" s="389"/>
      <c r="AB4" s="390"/>
      <c r="AC4" s="192" t="s">
        <v>162</v>
      </c>
      <c r="AD4" s="193" t="s">
        <v>163</v>
      </c>
      <c r="AE4" s="333"/>
      <c r="AF4" s="319"/>
      <c r="AG4" s="321"/>
    </row>
    <row r="5" spans="1:33" ht="15.75" customHeight="1">
      <c r="A5" s="315" t="s">
        <v>168</v>
      </c>
      <c r="B5" s="112" t="s">
        <v>164</v>
      </c>
      <c r="C5" s="385" t="s">
        <v>165</v>
      </c>
      <c r="D5" s="385"/>
      <c r="E5" s="145">
        <v>19.7</v>
      </c>
      <c r="F5" s="149">
        <v>4140</v>
      </c>
      <c r="G5" s="146">
        <f t="shared" ref="G5:G7" si="0">E5*F5</f>
        <v>81558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1085.6072881768487</v>
      </c>
      <c r="N5" s="150">
        <f>M5/L5</f>
        <v>83.508252936680663</v>
      </c>
      <c r="O5" s="152">
        <f>L5-I5</f>
        <v>0</v>
      </c>
      <c r="P5" s="153">
        <f>N5-K5</f>
        <v>-8.7994393710116441</v>
      </c>
      <c r="Q5" s="154">
        <f>N5/K5</f>
        <v>0.90467274014737387</v>
      </c>
      <c r="R5" s="307">
        <f>Q21</f>
        <v>0.90280621129620298</v>
      </c>
      <c r="S5" s="155">
        <v>0.20833333333333334</v>
      </c>
      <c r="T5" s="156">
        <v>0.36722222222222223</v>
      </c>
      <c r="U5" s="157"/>
      <c r="V5" s="158">
        <v>228.81202319225301</v>
      </c>
      <c r="W5" s="179"/>
      <c r="X5" s="150"/>
      <c r="Y5" s="12"/>
      <c r="Z5" s="196"/>
      <c r="AA5" s="310"/>
      <c r="AB5" s="311"/>
      <c r="AC5" s="12"/>
      <c r="AD5" s="196"/>
      <c r="AE5" s="176">
        <f>M5-J5</f>
        <v>-114.39271182315133</v>
      </c>
      <c r="AF5" s="130">
        <f>M5/J5</f>
        <v>0.90467274014737387</v>
      </c>
      <c r="AG5" s="386">
        <f>AF21</f>
        <v>0.90280621129620298</v>
      </c>
    </row>
    <row r="6" spans="1:33" ht="15.75" customHeight="1">
      <c r="A6" s="316"/>
      <c r="B6" s="98" t="s">
        <v>169</v>
      </c>
      <c r="C6" s="382" t="s">
        <v>170</v>
      </c>
      <c r="D6" s="382"/>
      <c r="E6" s="99">
        <v>56.43</v>
      </c>
      <c r="F6" s="100">
        <v>4491</v>
      </c>
      <c r="G6" s="101">
        <f t="shared" si="0"/>
        <v>253427.13</v>
      </c>
      <c r="H6" s="26"/>
      <c r="I6" s="102">
        <v>24</v>
      </c>
      <c r="J6" s="103">
        <v>2000</v>
      </c>
      <c r="K6" s="104">
        <f t="shared" ref="K6:K43" si="1">J6/I6</f>
        <v>83.333333333333329</v>
      </c>
      <c r="L6" s="105">
        <v>24</v>
      </c>
      <c r="M6" s="103">
        <f>F6/V6*60</f>
        <v>1801.9548219448441</v>
      </c>
      <c r="N6" s="104">
        <f>M6/L6</f>
        <v>75.081450914368503</v>
      </c>
      <c r="O6" s="106">
        <f>L6-I6</f>
        <v>0</v>
      </c>
      <c r="P6" s="107">
        <f>N6-K6</f>
        <v>-8.2518824189648257</v>
      </c>
      <c r="Q6" s="108">
        <f>N6/K6</f>
        <v>0.90097741097242212</v>
      </c>
      <c r="R6" s="308"/>
      <c r="S6" s="46">
        <v>0.37013888888888891</v>
      </c>
      <c r="T6" s="47">
        <v>0.4739814814814815</v>
      </c>
      <c r="U6" s="109">
        <v>5</v>
      </c>
      <c r="V6" s="110">
        <v>149.53760034292796</v>
      </c>
      <c r="W6" s="111">
        <v>0.4739814814814815</v>
      </c>
      <c r="X6" s="114">
        <v>0.51249999999999996</v>
      </c>
      <c r="Y6" s="12"/>
      <c r="Z6" s="196"/>
      <c r="AA6" s="299"/>
      <c r="AB6" s="300"/>
      <c r="AC6" s="12"/>
      <c r="AD6" s="196"/>
      <c r="AE6" s="115">
        <f>M6-J6</f>
        <v>-198.04517805515593</v>
      </c>
      <c r="AF6" s="108">
        <f>M6/J6</f>
        <v>0.90097741097242201</v>
      </c>
      <c r="AG6" s="380"/>
    </row>
    <row r="7" spans="1:33" ht="15.75" customHeight="1">
      <c r="A7" s="316"/>
      <c r="B7" s="98" t="s">
        <v>171</v>
      </c>
      <c r="C7" s="382" t="s">
        <v>173</v>
      </c>
      <c r="D7" s="382"/>
      <c r="E7" s="99">
        <v>59.52</v>
      </c>
      <c r="F7" s="100">
        <v>4328</v>
      </c>
      <c r="G7" s="101">
        <f t="shared" si="0"/>
        <v>257602.56000000003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1807.030188618563</v>
      </c>
      <c r="N7" s="104">
        <f>M7/L7</f>
        <v>75.292924525773458</v>
      </c>
      <c r="O7" s="106">
        <f>L7-I7</f>
        <v>0</v>
      </c>
      <c r="P7" s="107">
        <f>N7-K7</f>
        <v>-8.0404088075598708</v>
      </c>
      <c r="Q7" s="108">
        <f>N7/K7</f>
        <v>0.90351509430928156</v>
      </c>
      <c r="R7" s="308"/>
      <c r="S7" s="46">
        <v>0.51249999999999996</v>
      </c>
      <c r="T7" s="47">
        <v>0.61229166666666668</v>
      </c>
      <c r="U7" s="109">
        <v>55.466666666666569</v>
      </c>
      <c r="V7" s="110">
        <v>143.70540217621928</v>
      </c>
      <c r="W7" s="111"/>
      <c r="X7" s="114"/>
      <c r="Y7" s="12"/>
      <c r="Z7" s="196"/>
      <c r="AA7" s="299"/>
      <c r="AB7" s="300"/>
      <c r="AC7" s="12"/>
      <c r="AD7" s="196"/>
      <c r="AE7" s="115">
        <f>M7-J7</f>
        <v>-192.96981138143701</v>
      </c>
      <c r="AF7" s="108">
        <f>M7/J7</f>
        <v>0.90351509430928145</v>
      </c>
      <c r="AG7" s="380"/>
    </row>
    <row r="8" spans="1:33" ht="15.75" customHeight="1">
      <c r="A8" s="316"/>
      <c r="B8" s="98"/>
      <c r="C8" s="382"/>
      <c r="D8" s="382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8"/>
      <c r="S8" s="46"/>
      <c r="T8" s="47"/>
      <c r="U8" s="109"/>
      <c r="V8" s="110"/>
      <c r="W8" s="111"/>
      <c r="X8" s="114"/>
      <c r="Y8" s="12"/>
      <c r="Z8" s="196"/>
      <c r="AA8" s="299"/>
      <c r="AB8" s="300"/>
      <c r="AC8" s="12"/>
      <c r="AD8" s="196"/>
      <c r="AE8" s="115"/>
      <c r="AF8" s="108"/>
      <c r="AG8" s="380"/>
    </row>
    <row r="9" spans="1:33" ht="15.75" customHeight="1">
      <c r="A9" s="316"/>
      <c r="B9" s="98"/>
      <c r="C9" s="382"/>
      <c r="D9" s="382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8"/>
      <c r="S9" s="46"/>
      <c r="T9" s="47"/>
      <c r="U9" s="109"/>
      <c r="V9" s="110"/>
      <c r="W9" s="111"/>
      <c r="X9" s="114"/>
      <c r="Y9" s="12"/>
      <c r="Z9" s="196"/>
      <c r="AA9" s="299"/>
      <c r="AB9" s="300"/>
      <c r="AC9" s="12"/>
      <c r="AD9" s="196"/>
      <c r="AE9" s="115"/>
      <c r="AF9" s="108"/>
      <c r="AG9" s="380"/>
    </row>
    <row r="10" spans="1:33" ht="15.75" customHeight="1">
      <c r="A10" s="316"/>
      <c r="B10" s="98"/>
      <c r="C10" s="382"/>
      <c r="D10" s="382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8"/>
      <c r="S10" s="46"/>
      <c r="T10" s="118"/>
      <c r="U10" s="109"/>
      <c r="V10" s="110"/>
      <c r="W10" s="111"/>
      <c r="X10" s="114"/>
      <c r="Y10" s="12"/>
      <c r="Z10" s="196"/>
      <c r="AA10" s="299"/>
      <c r="AB10" s="300"/>
      <c r="AC10" s="12"/>
      <c r="AD10" s="196"/>
      <c r="AE10" s="115"/>
      <c r="AF10" s="108"/>
      <c r="AG10" s="380"/>
    </row>
    <row r="11" spans="1:33" ht="15.75" customHeight="1">
      <c r="A11" s="316"/>
      <c r="B11" s="98"/>
      <c r="C11" s="382"/>
      <c r="D11" s="382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8"/>
      <c r="S11" s="46"/>
      <c r="T11" s="118"/>
      <c r="U11" s="109"/>
      <c r="V11" s="110"/>
      <c r="W11" s="111"/>
      <c r="X11" s="114"/>
      <c r="Y11" s="12"/>
      <c r="Z11" s="196"/>
      <c r="AA11" s="299"/>
      <c r="AB11" s="300"/>
      <c r="AC11" s="12"/>
      <c r="AD11" s="196"/>
      <c r="AE11" s="115"/>
      <c r="AF11" s="108"/>
      <c r="AG11" s="380"/>
    </row>
    <row r="12" spans="1:33" ht="15.75" customHeight="1">
      <c r="A12" s="316"/>
      <c r="B12" s="98"/>
      <c r="C12" s="382"/>
      <c r="D12" s="382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8"/>
      <c r="S12" s="46"/>
      <c r="T12" s="118"/>
      <c r="U12" s="109"/>
      <c r="V12" s="110"/>
      <c r="W12" s="111"/>
      <c r="X12" s="114"/>
      <c r="Y12" s="12"/>
      <c r="Z12" s="196"/>
      <c r="AA12" s="299"/>
      <c r="AB12" s="300"/>
      <c r="AC12" s="12"/>
      <c r="AD12" s="196"/>
      <c r="AE12" s="115"/>
      <c r="AF12" s="108"/>
      <c r="AG12" s="380"/>
    </row>
    <row r="13" spans="1:33" ht="15.75" customHeight="1">
      <c r="A13" s="316"/>
      <c r="B13" s="98"/>
      <c r="C13" s="382"/>
      <c r="D13" s="382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8"/>
      <c r="S13" s="46"/>
      <c r="T13" s="118"/>
      <c r="U13" s="109"/>
      <c r="V13" s="110"/>
      <c r="W13" s="111"/>
      <c r="X13" s="114"/>
      <c r="Y13" s="12"/>
      <c r="Z13" s="196"/>
      <c r="AA13" s="299"/>
      <c r="AB13" s="300"/>
      <c r="AC13" s="12"/>
      <c r="AD13" s="196"/>
      <c r="AE13" s="115"/>
      <c r="AF13" s="108"/>
      <c r="AG13" s="380"/>
    </row>
    <row r="14" spans="1:33" ht="15.75" customHeight="1">
      <c r="A14" s="316"/>
      <c r="B14" s="98"/>
      <c r="C14" s="382"/>
      <c r="D14" s="382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8"/>
      <c r="S14" s="46"/>
      <c r="T14" s="118"/>
      <c r="U14" s="109"/>
      <c r="V14" s="110"/>
      <c r="W14" s="111"/>
      <c r="X14" s="114"/>
      <c r="Y14" s="12"/>
      <c r="Z14" s="196"/>
      <c r="AA14" s="299"/>
      <c r="AB14" s="300"/>
      <c r="AC14" s="12"/>
      <c r="AD14" s="196"/>
      <c r="AE14" s="115"/>
      <c r="AF14" s="108"/>
      <c r="AG14" s="380"/>
    </row>
    <row r="15" spans="1:33" ht="15.75" customHeight="1">
      <c r="A15" s="316"/>
      <c r="B15" s="98"/>
      <c r="C15" s="382"/>
      <c r="D15" s="382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8"/>
      <c r="S15" s="46"/>
      <c r="T15" s="118"/>
      <c r="U15" s="109"/>
      <c r="V15" s="110"/>
      <c r="W15" s="111"/>
      <c r="X15" s="114"/>
      <c r="Y15" s="12"/>
      <c r="Z15" s="196"/>
      <c r="AA15" s="299"/>
      <c r="AB15" s="300"/>
      <c r="AC15" s="12"/>
      <c r="AD15" s="196"/>
      <c r="AE15" s="115"/>
      <c r="AF15" s="108"/>
      <c r="AG15" s="380"/>
    </row>
    <row r="16" spans="1:33" ht="15.75" customHeight="1">
      <c r="A16" s="316"/>
      <c r="B16" s="98"/>
      <c r="C16" s="382"/>
      <c r="D16" s="382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8"/>
      <c r="S16" s="46"/>
      <c r="T16" s="118"/>
      <c r="U16" s="109"/>
      <c r="V16" s="110"/>
      <c r="W16" s="111"/>
      <c r="X16" s="114"/>
      <c r="Y16" s="12"/>
      <c r="Z16" s="196"/>
      <c r="AA16" s="299"/>
      <c r="AB16" s="300"/>
      <c r="AC16" s="12"/>
      <c r="AD16" s="196"/>
      <c r="AE16" s="115"/>
      <c r="AF16" s="108"/>
      <c r="AG16" s="380"/>
    </row>
    <row r="17" spans="1:33" ht="15.75" customHeight="1">
      <c r="A17" s="316"/>
      <c r="B17" s="98"/>
      <c r="C17" s="382"/>
      <c r="D17" s="382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8"/>
      <c r="S17" s="46"/>
      <c r="T17" s="118"/>
      <c r="U17" s="109"/>
      <c r="V17" s="110"/>
      <c r="W17" s="111"/>
      <c r="X17" s="114"/>
      <c r="Y17" s="12"/>
      <c r="Z17" s="196"/>
      <c r="AA17" s="299"/>
      <c r="AB17" s="300"/>
      <c r="AC17" s="12"/>
      <c r="AD17" s="196"/>
      <c r="AE17" s="115"/>
      <c r="AF17" s="108"/>
      <c r="AG17" s="380"/>
    </row>
    <row r="18" spans="1:33" ht="15.75" customHeight="1">
      <c r="A18" s="316"/>
      <c r="B18" s="98"/>
      <c r="C18" s="382"/>
      <c r="D18" s="382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8"/>
      <c r="S18" s="46"/>
      <c r="T18" s="118"/>
      <c r="U18" s="109"/>
      <c r="V18" s="110"/>
      <c r="W18" s="111"/>
      <c r="X18" s="114"/>
      <c r="Y18" s="12"/>
      <c r="Z18" s="196"/>
      <c r="AA18" s="299"/>
      <c r="AB18" s="300"/>
      <c r="AC18" s="12"/>
      <c r="AD18" s="196"/>
      <c r="AE18" s="115"/>
      <c r="AF18" s="108"/>
      <c r="AG18" s="380"/>
    </row>
    <row r="19" spans="1:33" ht="15.75" customHeight="1">
      <c r="A19" s="316"/>
      <c r="B19" s="98"/>
      <c r="C19" s="382"/>
      <c r="D19" s="382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8"/>
      <c r="S19" s="46"/>
      <c r="T19" s="118"/>
      <c r="U19" s="109"/>
      <c r="V19" s="110"/>
      <c r="W19" s="111"/>
      <c r="X19" s="114"/>
      <c r="Y19" s="12"/>
      <c r="Z19" s="196"/>
      <c r="AA19" s="299"/>
      <c r="AB19" s="300"/>
      <c r="AC19" s="12"/>
      <c r="AD19" s="196"/>
      <c r="AE19" s="115"/>
      <c r="AF19" s="108"/>
      <c r="AG19" s="380"/>
    </row>
    <row r="20" spans="1:33" ht="15.75" customHeight="1">
      <c r="A20" s="316"/>
      <c r="B20" s="98"/>
      <c r="C20" s="382"/>
      <c r="D20" s="382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8"/>
      <c r="S20" s="46"/>
      <c r="T20" s="118"/>
      <c r="U20" s="128"/>
      <c r="V20" s="110"/>
      <c r="W20" s="111"/>
      <c r="X20" s="114"/>
      <c r="Y20" s="12"/>
      <c r="Z20" s="196"/>
      <c r="AA20" s="299"/>
      <c r="AB20" s="300"/>
      <c r="AC20" s="12"/>
      <c r="AD20" s="196"/>
      <c r="AE20" s="115"/>
      <c r="AF20" s="108"/>
      <c r="AG20" s="380"/>
    </row>
    <row r="21" spans="1:33" ht="15.75" customHeight="1" thickBot="1">
      <c r="A21" s="317"/>
      <c r="B21" s="131" t="s">
        <v>115</v>
      </c>
      <c r="C21" s="294"/>
      <c r="D21" s="294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1564.8640995800852</v>
      </c>
      <c r="N21" s="136">
        <f t="shared" ref="N21:N26" si="5">M21/L21</f>
        <v>76.960529487545173</v>
      </c>
      <c r="O21" s="137">
        <f t="shared" ref="O21:O26" si="6">L21-I21</f>
        <v>0</v>
      </c>
      <c r="P21" s="138">
        <f t="shared" ref="P21:P26" si="7">N21-K21</f>
        <v>-8.2853721517990948</v>
      </c>
      <c r="Q21" s="139">
        <f t="shared" ref="Q21:Q26" si="8">N21/K21</f>
        <v>0.90280621129620298</v>
      </c>
      <c r="R21" s="309"/>
      <c r="S21" s="140">
        <v>0.20833333333333334</v>
      </c>
      <c r="T21" s="141">
        <v>0.61229166666666668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5"/>
      <c r="AB21" s="296"/>
      <c r="AC21" s="177">
        <f>SUM(AC5:AC20)</f>
        <v>0</v>
      </c>
      <c r="AD21" s="178">
        <f>SUM(AD5:AD20)</f>
        <v>0</v>
      </c>
      <c r="AE21" s="166">
        <f t="shared" ref="AE21:AE26" si="9">M21-J21</f>
        <v>-168.46923375324809</v>
      </c>
      <c r="AF21" s="139">
        <f t="shared" ref="AF21:AF26" si="10">M21/J21</f>
        <v>0.90280621129620298</v>
      </c>
      <c r="AG21" s="381"/>
    </row>
    <row r="22" spans="1:33" ht="15.75" customHeight="1">
      <c r="A22" s="301" t="s">
        <v>174</v>
      </c>
      <c r="B22" s="144" t="s">
        <v>166</v>
      </c>
      <c r="C22" s="305" t="s">
        <v>221</v>
      </c>
      <c r="D22" s="306"/>
      <c r="E22" s="145">
        <v>24.35</v>
      </c>
      <c r="F22" s="157">
        <v>2447</v>
      </c>
      <c r="G22" s="146">
        <f t="shared" ref="G22:G26" si="11">E22*F22</f>
        <v>59584.450000000004</v>
      </c>
      <c r="H22" s="147"/>
      <c r="I22" s="151">
        <v>21</v>
      </c>
      <c r="J22" s="149">
        <v>2790</v>
      </c>
      <c r="K22" s="150">
        <f>J22/I22</f>
        <v>132.85714285714286</v>
      </c>
      <c r="L22" s="105">
        <v>22</v>
      </c>
      <c r="M22" s="149">
        <f>F22/V22*60</f>
        <v>2626.6346153846152</v>
      </c>
      <c r="N22" s="150">
        <f t="shared" si="5"/>
        <v>119.39248251748251</v>
      </c>
      <c r="O22" s="152">
        <f t="shared" si="6"/>
        <v>1</v>
      </c>
      <c r="P22" s="153">
        <f t="shared" si="7"/>
        <v>-13.464660339660355</v>
      </c>
      <c r="Q22" s="154">
        <f t="shared" si="8"/>
        <v>0.89865309421761019</v>
      </c>
      <c r="R22" s="307">
        <f>Q38</f>
        <v>0.9028530456122642</v>
      </c>
      <c r="S22" s="155">
        <v>0.20833333333333334</v>
      </c>
      <c r="T22" s="156">
        <v>0.24714120370370371</v>
      </c>
      <c r="U22" s="157"/>
      <c r="V22" s="158">
        <v>55.896621151663801</v>
      </c>
      <c r="W22" s="95"/>
      <c r="X22" s="96"/>
      <c r="Y22" s="12"/>
      <c r="Z22" s="196"/>
      <c r="AA22" s="310"/>
      <c r="AB22" s="311"/>
      <c r="AC22" s="12"/>
      <c r="AD22" s="196"/>
      <c r="AE22" s="113">
        <f t="shared" si="9"/>
        <v>-163.36538461538476</v>
      </c>
      <c r="AF22" s="154">
        <f t="shared" si="10"/>
        <v>0.94144609870416318</v>
      </c>
      <c r="AG22" s="379">
        <f>AF38</f>
        <v>0.92055604650662237</v>
      </c>
    </row>
    <row r="23" spans="1:33" ht="15.75" customHeight="1">
      <c r="A23" s="302"/>
      <c r="B23" s="161" t="s">
        <v>166</v>
      </c>
      <c r="C23" s="297" t="s">
        <v>223</v>
      </c>
      <c r="D23" s="298"/>
      <c r="E23" s="99">
        <v>29.87</v>
      </c>
      <c r="F23" s="109">
        <v>4798</v>
      </c>
      <c r="G23" s="101">
        <f t="shared" si="11"/>
        <v>143316.26</v>
      </c>
      <c r="H23" s="26"/>
      <c r="I23" s="105">
        <v>21</v>
      </c>
      <c r="J23" s="103">
        <v>2790</v>
      </c>
      <c r="K23" s="104">
        <f t="shared" si="1"/>
        <v>132.85714285714286</v>
      </c>
      <c r="L23" s="105">
        <v>22</v>
      </c>
      <c r="M23" s="103">
        <f>F23/V23*60</f>
        <v>2626.6346153846152</v>
      </c>
      <c r="N23" s="104">
        <f t="shared" si="5"/>
        <v>119.39248251748251</v>
      </c>
      <c r="O23" s="106">
        <f t="shared" si="6"/>
        <v>1</v>
      </c>
      <c r="P23" s="107">
        <f t="shared" si="7"/>
        <v>-13.464660339660355</v>
      </c>
      <c r="Q23" s="108">
        <f t="shared" si="8"/>
        <v>0.89865309421761019</v>
      </c>
      <c r="R23" s="308"/>
      <c r="S23" s="46">
        <v>0.25069444444444444</v>
      </c>
      <c r="T23" s="47">
        <v>0.32680555555555557</v>
      </c>
      <c r="U23" s="109">
        <v>5.1166666666666538</v>
      </c>
      <c r="V23" s="110">
        <v>109.60032214372004</v>
      </c>
      <c r="W23" s="111"/>
      <c r="X23" s="114"/>
      <c r="Y23" s="12"/>
      <c r="Z23" s="196"/>
      <c r="AA23" s="299"/>
      <c r="AB23" s="300"/>
      <c r="AC23" s="12"/>
      <c r="AD23" s="196"/>
      <c r="AE23" s="115">
        <f t="shared" si="9"/>
        <v>-163.36538461538476</v>
      </c>
      <c r="AF23" s="108">
        <f t="shared" si="10"/>
        <v>0.94144609870416318</v>
      </c>
      <c r="AG23" s="380"/>
    </row>
    <row r="24" spans="1:33" ht="15.75" customHeight="1">
      <c r="A24" s="302"/>
      <c r="B24" s="161" t="s">
        <v>188</v>
      </c>
      <c r="C24" s="297" t="s">
        <v>204</v>
      </c>
      <c r="D24" s="298"/>
      <c r="E24" s="99">
        <v>36.450000000000003</v>
      </c>
      <c r="F24" s="109">
        <v>1855</v>
      </c>
      <c r="G24" s="101">
        <f t="shared" si="11"/>
        <v>67614.75</v>
      </c>
      <c r="H24" s="26"/>
      <c r="I24" s="105">
        <v>20</v>
      </c>
      <c r="J24" s="103">
        <v>2100</v>
      </c>
      <c r="K24" s="104">
        <f t="shared" si="1"/>
        <v>105</v>
      </c>
      <c r="L24" s="105">
        <v>20</v>
      </c>
      <c r="M24" s="103">
        <f>F24/V24*60</f>
        <v>1890.3383422375005</v>
      </c>
      <c r="N24" s="104">
        <f t="shared" si="5"/>
        <v>94.516917111875017</v>
      </c>
      <c r="O24" s="106">
        <f t="shared" si="6"/>
        <v>0</v>
      </c>
      <c r="P24" s="107">
        <f t="shared" si="7"/>
        <v>-10.483082888124983</v>
      </c>
      <c r="Q24" s="108">
        <f t="shared" si="8"/>
        <v>0.90016111535119059</v>
      </c>
      <c r="R24" s="308"/>
      <c r="S24" s="46">
        <v>0.3298611111111111</v>
      </c>
      <c r="T24" s="47">
        <v>0.3707407407407407</v>
      </c>
      <c r="U24" s="109">
        <v>5</v>
      </c>
      <c r="V24" s="110">
        <v>58.878348660197872</v>
      </c>
      <c r="W24" s="111"/>
      <c r="X24" s="114"/>
      <c r="Y24" s="12"/>
      <c r="Z24" s="196"/>
      <c r="AA24" s="299"/>
      <c r="AB24" s="300"/>
      <c r="AC24" s="12"/>
      <c r="AD24" s="196"/>
      <c r="AE24" s="115">
        <f t="shared" si="9"/>
        <v>-209.66165776249954</v>
      </c>
      <c r="AF24" s="108">
        <f t="shared" si="10"/>
        <v>0.9001611153511907</v>
      </c>
      <c r="AG24" s="380"/>
    </row>
    <row r="25" spans="1:33" ht="15.75" customHeight="1">
      <c r="A25" s="302"/>
      <c r="B25" s="161" t="s">
        <v>171</v>
      </c>
      <c r="C25" s="297" t="s">
        <v>200</v>
      </c>
      <c r="D25" s="298"/>
      <c r="E25" s="99">
        <v>61.09</v>
      </c>
      <c r="F25" s="109">
        <v>3057</v>
      </c>
      <c r="G25" s="101">
        <f t="shared" si="11"/>
        <v>186752.13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>F25/V25*60</f>
        <v>1806.0426614057969</v>
      </c>
      <c r="N25" s="104">
        <f t="shared" si="5"/>
        <v>90.302133070289841</v>
      </c>
      <c r="O25" s="106">
        <f t="shared" si="6"/>
        <v>0</v>
      </c>
      <c r="P25" s="107">
        <f t="shared" si="7"/>
        <v>-9.697866929710159</v>
      </c>
      <c r="Q25" s="108">
        <f t="shared" si="8"/>
        <v>0.90302133070289836</v>
      </c>
      <c r="R25" s="308"/>
      <c r="S25" s="46">
        <v>0.37430555555555556</v>
      </c>
      <c r="T25" s="47">
        <v>0.44482638888888892</v>
      </c>
      <c r="U25" s="109">
        <v>5.1333333333333897</v>
      </c>
      <c r="V25" s="110">
        <v>101.55906276168946</v>
      </c>
      <c r="W25" s="111">
        <v>0.44482638888888892</v>
      </c>
      <c r="X25" s="114">
        <v>0.48263888888888884</v>
      </c>
      <c r="Y25" s="12"/>
      <c r="Z25" s="196"/>
      <c r="AA25" s="299"/>
      <c r="AB25" s="300"/>
      <c r="AC25" s="12"/>
      <c r="AD25" s="196"/>
      <c r="AE25" s="115">
        <f t="shared" si="9"/>
        <v>-193.95733859420307</v>
      </c>
      <c r="AF25" s="108">
        <f t="shared" si="10"/>
        <v>0.90302133070289847</v>
      </c>
      <c r="AG25" s="380"/>
    </row>
    <row r="26" spans="1:33" ht="15.75" customHeight="1">
      <c r="A26" s="303"/>
      <c r="B26" s="161" t="s">
        <v>171</v>
      </c>
      <c r="C26" s="297" t="s">
        <v>177</v>
      </c>
      <c r="D26" s="298"/>
      <c r="E26" s="99">
        <v>53.76</v>
      </c>
      <c r="F26" s="109">
        <v>3086</v>
      </c>
      <c r="G26" s="101">
        <f t="shared" si="11"/>
        <v>165903.35999999999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>F26/V26*60</f>
        <v>1802.4443887848192</v>
      </c>
      <c r="N26" s="104">
        <f t="shared" si="5"/>
        <v>90.122219439240965</v>
      </c>
      <c r="O26" s="106">
        <f t="shared" si="6"/>
        <v>0</v>
      </c>
      <c r="P26" s="107">
        <f t="shared" si="7"/>
        <v>-9.8777805607590352</v>
      </c>
      <c r="Q26" s="108">
        <f t="shared" si="8"/>
        <v>0.90122219439240969</v>
      </c>
      <c r="R26" s="308"/>
      <c r="S26" s="46">
        <v>0.48263888888888884</v>
      </c>
      <c r="T26" s="47">
        <v>0.55396990740740737</v>
      </c>
      <c r="U26" s="109">
        <v>55</v>
      </c>
      <c r="V26" s="110">
        <v>102.72716381825909</v>
      </c>
      <c r="W26" s="111"/>
      <c r="X26" s="114"/>
      <c r="Y26" s="12"/>
      <c r="Z26" s="196"/>
      <c r="AA26" s="299"/>
      <c r="AB26" s="300"/>
      <c r="AC26" s="12"/>
      <c r="AD26" s="196"/>
      <c r="AE26" s="115">
        <f t="shared" si="9"/>
        <v>-197.55561121518076</v>
      </c>
      <c r="AF26" s="108">
        <f t="shared" si="10"/>
        <v>0.90122219439240958</v>
      </c>
      <c r="AG26" s="380"/>
    </row>
    <row r="27" spans="1:33" ht="15.75" customHeight="1">
      <c r="A27" s="303"/>
      <c r="B27" s="161"/>
      <c r="C27" s="297"/>
      <c r="D27" s="298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08"/>
      <c r="S27" s="46"/>
      <c r="T27" s="118"/>
      <c r="U27" s="109"/>
      <c r="V27" s="110"/>
      <c r="W27" s="111"/>
      <c r="X27" s="114"/>
      <c r="Y27" s="12"/>
      <c r="Z27" s="196"/>
      <c r="AA27" s="299"/>
      <c r="AB27" s="300"/>
      <c r="AC27" s="12"/>
      <c r="AD27" s="196"/>
      <c r="AE27" s="115"/>
      <c r="AF27" s="108"/>
      <c r="AG27" s="380"/>
    </row>
    <row r="28" spans="1:33" ht="15.75" customHeight="1">
      <c r="A28" s="303"/>
      <c r="B28" s="161"/>
      <c r="C28" s="297"/>
      <c r="D28" s="298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8"/>
      <c r="S28" s="46"/>
      <c r="T28" s="118"/>
      <c r="U28" s="109"/>
      <c r="V28" s="110"/>
      <c r="W28" s="111"/>
      <c r="X28" s="114"/>
      <c r="Y28" s="12"/>
      <c r="Z28" s="196"/>
      <c r="AA28" s="299"/>
      <c r="AB28" s="300"/>
      <c r="AC28" s="12"/>
      <c r="AD28" s="196"/>
      <c r="AE28" s="115"/>
      <c r="AF28" s="108"/>
      <c r="AG28" s="380"/>
    </row>
    <row r="29" spans="1:33" ht="15.75" customHeight="1">
      <c r="A29" s="303"/>
      <c r="B29" s="161"/>
      <c r="C29" s="297"/>
      <c r="D29" s="298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8"/>
      <c r="S29" s="46"/>
      <c r="T29" s="118"/>
      <c r="U29" s="109"/>
      <c r="V29" s="110"/>
      <c r="W29" s="111"/>
      <c r="X29" s="114"/>
      <c r="Y29" s="12"/>
      <c r="Z29" s="196"/>
      <c r="AA29" s="299"/>
      <c r="AB29" s="300"/>
      <c r="AC29" s="12"/>
      <c r="AD29" s="196"/>
      <c r="AE29" s="115"/>
      <c r="AF29" s="108"/>
      <c r="AG29" s="380"/>
    </row>
    <row r="30" spans="1:33" ht="15.75" customHeight="1">
      <c r="A30" s="303"/>
      <c r="B30" s="161"/>
      <c r="C30" s="297"/>
      <c r="D30" s="298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8"/>
      <c r="S30" s="46"/>
      <c r="T30" s="118"/>
      <c r="U30" s="109"/>
      <c r="V30" s="110"/>
      <c r="W30" s="111"/>
      <c r="X30" s="114"/>
      <c r="Y30" s="12"/>
      <c r="Z30" s="196"/>
      <c r="AA30" s="299"/>
      <c r="AB30" s="300"/>
      <c r="AC30" s="12"/>
      <c r="AD30" s="196"/>
      <c r="AE30" s="115"/>
      <c r="AF30" s="108"/>
      <c r="AG30" s="380"/>
    </row>
    <row r="31" spans="1:33" ht="15.75" customHeight="1">
      <c r="A31" s="303"/>
      <c r="B31" s="161"/>
      <c r="C31" s="297"/>
      <c r="D31" s="298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8"/>
      <c r="S31" s="46"/>
      <c r="T31" s="118"/>
      <c r="U31" s="109"/>
      <c r="V31" s="110"/>
      <c r="W31" s="111"/>
      <c r="X31" s="114"/>
      <c r="Y31" s="12"/>
      <c r="Z31" s="196"/>
      <c r="AA31" s="299"/>
      <c r="AB31" s="300"/>
      <c r="AC31" s="12"/>
      <c r="AD31" s="196"/>
      <c r="AE31" s="115"/>
      <c r="AF31" s="108"/>
      <c r="AG31" s="380"/>
    </row>
    <row r="32" spans="1:33" ht="15.75" customHeight="1">
      <c r="A32" s="303"/>
      <c r="B32" s="161"/>
      <c r="C32" s="297"/>
      <c r="D32" s="298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8"/>
      <c r="S32" s="46"/>
      <c r="T32" s="118"/>
      <c r="U32" s="109"/>
      <c r="V32" s="110"/>
      <c r="W32" s="111"/>
      <c r="X32" s="114"/>
      <c r="Y32" s="12"/>
      <c r="Z32" s="196"/>
      <c r="AA32" s="299"/>
      <c r="AB32" s="300"/>
      <c r="AC32" s="12"/>
      <c r="AD32" s="196"/>
      <c r="AE32" s="115"/>
      <c r="AF32" s="108"/>
      <c r="AG32" s="380"/>
    </row>
    <row r="33" spans="1:33" ht="15.75" customHeight="1">
      <c r="A33" s="303"/>
      <c r="B33" s="161"/>
      <c r="C33" s="297"/>
      <c r="D33" s="298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8"/>
      <c r="S33" s="46"/>
      <c r="T33" s="118"/>
      <c r="U33" s="109"/>
      <c r="V33" s="110"/>
      <c r="W33" s="111"/>
      <c r="X33" s="114"/>
      <c r="Y33" s="12"/>
      <c r="Z33" s="196"/>
      <c r="AA33" s="299"/>
      <c r="AB33" s="300"/>
      <c r="AC33" s="12"/>
      <c r="AD33" s="196"/>
      <c r="AE33" s="115"/>
      <c r="AF33" s="108"/>
      <c r="AG33" s="380"/>
    </row>
    <row r="34" spans="1:33" ht="15.75" customHeight="1">
      <c r="A34" s="303"/>
      <c r="B34" s="161"/>
      <c r="C34" s="297"/>
      <c r="D34" s="298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8"/>
      <c r="S34" s="46"/>
      <c r="T34" s="118"/>
      <c r="U34" s="109"/>
      <c r="V34" s="110"/>
      <c r="W34" s="111"/>
      <c r="X34" s="114"/>
      <c r="Y34" s="12"/>
      <c r="Z34" s="196"/>
      <c r="AA34" s="299"/>
      <c r="AB34" s="300"/>
      <c r="AC34" s="12"/>
      <c r="AD34" s="196"/>
      <c r="AE34" s="115"/>
      <c r="AF34" s="108"/>
      <c r="AG34" s="380"/>
    </row>
    <row r="35" spans="1:33" ht="15.75" customHeight="1">
      <c r="A35" s="303"/>
      <c r="B35" s="161"/>
      <c r="C35" s="297"/>
      <c r="D35" s="298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8"/>
      <c r="S35" s="46"/>
      <c r="T35" s="118"/>
      <c r="U35" s="109"/>
      <c r="V35" s="110"/>
      <c r="W35" s="181"/>
      <c r="X35" s="182"/>
      <c r="Y35" s="12"/>
      <c r="Z35" s="196"/>
      <c r="AA35" s="299"/>
      <c r="AB35" s="300"/>
      <c r="AC35" s="12"/>
      <c r="AD35" s="196"/>
      <c r="AE35" s="115"/>
      <c r="AF35" s="108"/>
      <c r="AG35" s="380"/>
    </row>
    <row r="36" spans="1:33" ht="15.75" customHeight="1">
      <c r="A36" s="303"/>
      <c r="B36" s="161"/>
      <c r="C36" s="297"/>
      <c r="D36" s="298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8"/>
      <c r="S36" s="46"/>
      <c r="T36" s="118"/>
      <c r="U36" s="109"/>
      <c r="V36" s="110"/>
      <c r="W36" s="183"/>
      <c r="X36" s="184"/>
      <c r="Y36" s="12"/>
      <c r="Z36" s="196"/>
      <c r="AA36" s="299"/>
      <c r="AB36" s="300"/>
      <c r="AC36" s="12"/>
      <c r="AD36" s="196"/>
      <c r="AE36" s="115"/>
      <c r="AF36" s="108"/>
      <c r="AG36" s="380"/>
    </row>
    <row r="37" spans="1:33" ht="15.75" customHeight="1">
      <c r="A37" s="303"/>
      <c r="B37" s="98"/>
      <c r="C37" s="297"/>
      <c r="D37" s="298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8"/>
      <c r="S37" s="46"/>
      <c r="T37" s="118"/>
      <c r="U37" s="128"/>
      <c r="V37" s="110"/>
      <c r="W37" s="183"/>
      <c r="X37" s="184"/>
      <c r="Y37" s="12"/>
      <c r="Z37" s="196"/>
      <c r="AA37" s="299"/>
      <c r="AB37" s="300"/>
      <c r="AC37" s="12"/>
      <c r="AD37" s="196"/>
      <c r="AE37" s="115"/>
      <c r="AF37" s="108"/>
      <c r="AG37" s="380"/>
    </row>
    <row r="38" spans="1:33" ht="15.75" customHeight="1" thickBot="1">
      <c r="A38" s="304"/>
      <c r="B38" s="131" t="s">
        <v>115</v>
      </c>
      <c r="C38" s="294"/>
      <c r="D38" s="294"/>
      <c r="E38" s="132"/>
      <c r="F38" s="165"/>
      <c r="G38" s="133"/>
      <c r="H38" s="67"/>
      <c r="I38" s="134">
        <f t="shared" ref="I38:J38" si="12">AVERAGE(I22:I37)</f>
        <v>20.399999999999999</v>
      </c>
      <c r="J38" s="135">
        <f t="shared" si="12"/>
        <v>2336</v>
      </c>
      <c r="K38" s="136">
        <f t="shared" ref="K38" si="13">J38/I38</f>
        <v>114.50980392156863</v>
      </c>
      <c r="L38" s="134">
        <f t="shared" ref="L38:M38" si="14">AVERAGE(L22:L37)</f>
        <v>20.8</v>
      </c>
      <c r="M38" s="135">
        <f t="shared" si="14"/>
        <v>2150.4189246394699</v>
      </c>
      <c r="N38" s="136">
        <f t="shared" ref="N38:N43" si="15">M38/L38</f>
        <v>103.38552522305143</v>
      </c>
      <c r="O38" s="137">
        <f t="shared" ref="O38:O43" si="16">L38-I38</f>
        <v>0.40000000000000213</v>
      </c>
      <c r="P38" s="138">
        <f t="shared" ref="P38:P43" si="17">N38-K38</f>
        <v>-11.124278698517202</v>
      </c>
      <c r="Q38" s="139">
        <f t="shared" ref="Q38:Q43" si="18">N38/K38</f>
        <v>0.9028530456122642</v>
      </c>
      <c r="R38" s="309"/>
      <c r="S38" s="140">
        <v>0.20833333333333334</v>
      </c>
      <c r="T38" s="141">
        <v>0.55396990740740737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5"/>
      <c r="AB38" s="296"/>
      <c r="AC38" s="177">
        <f>SUM(AC22:AC37)</f>
        <v>0</v>
      </c>
      <c r="AD38" s="178">
        <f>SUM(AD22:AD37)</f>
        <v>0</v>
      </c>
      <c r="AE38" s="166">
        <f t="shared" ref="AE38:AE43" si="19">M38-J38</f>
        <v>-185.58107536053012</v>
      </c>
      <c r="AF38" s="139">
        <f t="shared" ref="AF38:AF43" si="20">M38/J38</f>
        <v>0.92055604650662237</v>
      </c>
      <c r="AG38" s="381"/>
    </row>
    <row r="39" spans="1:33" ht="15.75" customHeight="1">
      <c r="A39" s="315" t="s">
        <v>175</v>
      </c>
      <c r="B39" s="144" t="s">
        <v>171</v>
      </c>
      <c r="C39" s="305" t="s">
        <v>178</v>
      </c>
      <c r="D39" s="306"/>
      <c r="E39" s="145">
        <v>71.55</v>
      </c>
      <c r="F39" s="95">
        <v>2328</v>
      </c>
      <c r="G39" s="146">
        <f t="shared" ref="G39:G43" si="21">E39*F39</f>
        <v>166568.4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>F39/V39*60</f>
        <v>1807.4185926713999</v>
      </c>
      <c r="N39" s="150">
        <f t="shared" si="15"/>
        <v>82.155390575972717</v>
      </c>
      <c r="O39" s="152">
        <f t="shared" si="16"/>
        <v>0</v>
      </c>
      <c r="P39" s="153">
        <f t="shared" si="17"/>
        <v>-8.7537003331181893</v>
      </c>
      <c r="Q39" s="154">
        <f t="shared" si="18"/>
        <v>0.90370929633569996</v>
      </c>
      <c r="R39" s="307">
        <f>Q55</f>
        <v>0.90317759756539617</v>
      </c>
      <c r="S39" s="155">
        <v>0.20833333333333334</v>
      </c>
      <c r="T39" s="156">
        <v>0.26199074074074075</v>
      </c>
      <c r="U39" s="157"/>
      <c r="V39" s="158">
        <v>77.281488951350354</v>
      </c>
      <c r="W39" s="156"/>
      <c r="X39" s="167"/>
      <c r="Y39" s="12"/>
      <c r="Z39" s="196"/>
      <c r="AA39" s="310"/>
      <c r="AB39" s="311"/>
      <c r="AC39" s="12"/>
      <c r="AD39" s="196"/>
      <c r="AE39" s="113">
        <f t="shared" si="19"/>
        <v>-192.58140732860011</v>
      </c>
      <c r="AF39" s="154">
        <f t="shared" si="20"/>
        <v>0.90370929633569996</v>
      </c>
      <c r="AG39" s="312">
        <f>AF55</f>
        <v>0.90317759756539617</v>
      </c>
    </row>
    <row r="40" spans="1:33" ht="15.75" customHeight="1">
      <c r="A40" s="316"/>
      <c r="B40" s="161" t="s">
        <v>171</v>
      </c>
      <c r="C40" s="297" t="s">
        <v>176</v>
      </c>
      <c r="D40" s="298"/>
      <c r="E40" s="99">
        <v>59.54</v>
      </c>
      <c r="F40" s="100">
        <v>2406</v>
      </c>
      <c r="G40" s="101">
        <f t="shared" si="21"/>
        <v>143253.24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>F40/V40*60</f>
        <v>1807.4273887531588</v>
      </c>
      <c r="N40" s="104">
        <f t="shared" si="15"/>
        <v>78.583799511006902</v>
      </c>
      <c r="O40" s="106">
        <f t="shared" si="16"/>
        <v>0</v>
      </c>
      <c r="P40" s="107">
        <f t="shared" si="17"/>
        <v>-8.3727222281235356</v>
      </c>
      <c r="Q40" s="108">
        <f t="shared" si="18"/>
        <v>0.90371369437657934</v>
      </c>
      <c r="R40" s="308"/>
      <c r="S40" s="46">
        <v>0.26597222222222222</v>
      </c>
      <c r="T40" s="47">
        <v>0.32143518518518521</v>
      </c>
      <c r="U40" s="109">
        <v>5.7333333333333236</v>
      </c>
      <c r="V40" s="110">
        <v>79.870428487633873</v>
      </c>
      <c r="W40" s="111"/>
      <c r="X40" s="114"/>
      <c r="Y40" s="12"/>
      <c r="Z40" s="196"/>
      <c r="AA40" s="299"/>
      <c r="AB40" s="300"/>
      <c r="AC40" s="12"/>
      <c r="AD40" s="196"/>
      <c r="AE40" s="115">
        <f t="shared" si="19"/>
        <v>-192.57261124684123</v>
      </c>
      <c r="AF40" s="108">
        <f t="shared" si="20"/>
        <v>0.90371369437657934</v>
      </c>
      <c r="AG40" s="313"/>
    </row>
    <row r="41" spans="1:33" ht="15.75" customHeight="1">
      <c r="A41" s="316"/>
      <c r="B41" s="161" t="s">
        <v>171</v>
      </c>
      <c r="C41" s="297" t="s">
        <v>172</v>
      </c>
      <c r="D41" s="298"/>
      <c r="E41" s="99">
        <v>58.67</v>
      </c>
      <c r="F41" s="100">
        <v>3509</v>
      </c>
      <c r="G41" s="101">
        <f t="shared" si="21"/>
        <v>205873.03</v>
      </c>
      <c r="H41" s="26"/>
      <c r="I41" s="102">
        <v>23</v>
      </c>
      <c r="J41" s="103">
        <v>2000</v>
      </c>
      <c r="K41" s="104">
        <f t="shared" si="1"/>
        <v>86.956521739130437</v>
      </c>
      <c r="L41" s="105">
        <v>23</v>
      </c>
      <c r="M41" s="103">
        <f>F41/V41*60</f>
        <v>1802.7093623021283</v>
      </c>
      <c r="N41" s="104">
        <f t="shared" si="15"/>
        <v>78.378667926179489</v>
      </c>
      <c r="O41" s="106">
        <f t="shared" si="16"/>
        <v>0</v>
      </c>
      <c r="P41" s="107">
        <f t="shared" si="17"/>
        <v>-8.5778538129509485</v>
      </c>
      <c r="Q41" s="108">
        <f t="shared" si="18"/>
        <v>0.9013546811510641</v>
      </c>
      <c r="R41" s="308"/>
      <c r="S41" s="46">
        <v>0.32499999999999996</v>
      </c>
      <c r="T41" s="47">
        <v>0.406099537037037</v>
      </c>
      <c r="U41" s="109">
        <v>5.1333333333332298</v>
      </c>
      <c r="V41" s="110">
        <v>116.79087289541361</v>
      </c>
      <c r="W41" s="111"/>
      <c r="X41" s="114"/>
      <c r="Y41" s="12"/>
      <c r="Z41" s="196"/>
      <c r="AA41" s="299"/>
      <c r="AB41" s="300"/>
      <c r="AC41" s="12"/>
      <c r="AD41" s="196"/>
      <c r="AE41" s="115">
        <f t="shared" si="19"/>
        <v>-197.29063769787172</v>
      </c>
      <c r="AF41" s="108">
        <f t="shared" si="20"/>
        <v>0.9013546811510641</v>
      </c>
      <c r="AG41" s="313"/>
    </row>
    <row r="42" spans="1:33" ht="15.75" customHeight="1">
      <c r="A42" s="316"/>
      <c r="B42" s="161" t="s">
        <v>171</v>
      </c>
      <c r="C42" s="297" t="s">
        <v>211</v>
      </c>
      <c r="D42" s="298"/>
      <c r="E42" s="99">
        <v>69.260000000000005</v>
      </c>
      <c r="F42" s="100">
        <v>513</v>
      </c>
      <c r="G42" s="101">
        <f t="shared" si="21"/>
        <v>35530.380000000005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>F42/V42*60</f>
        <v>1803.5151935597889</v>
      </c>
      <c r="N42" s="104">
        <f t="shared" si="15"/>
        <v>75.146466398324534</v>
      </c>
      <c r="O42" s="106">
        <f t="shared" si="16"/>
        <v>0</v>
      </c>
      <c r="P42" s="107">
        <f t="shared" si="17"/>
        <v>-8.1868669350087941</v>
      </c>
      <c r="Q42" s="108">
        <f t="shared" si="18"/>
        <v>0.90175759677989442</v>
      </c>
      <c r="R42" s="308"/>
      <c r="S42" s="46">
        <v>0.40972222222222215</v>
      </c>
      <c r="T42" s="47">
        <v>0.42157407407407399</v>
      </c>
      <c r="U42" s="109">
        <v>5.2166666666666295</v>
      </c>
      <c r="V42" s="110">
        <v>17.066670749385956</v>
      </c>
      <c r="W42" s="111">
        <v>0.42157407407407399</v>
      </c>
      <c r="X42" s="114">
        <v>0.46111111111111103</v>
      </c>
      <c r="Y42" s="12"/>
      <c r="Z42" s="196"/>
      <c r="AA42" s="299"/>
      <c r="AB42" s="300"/>
      <c r="AC42" s="12"/>
      <c r="AD42" s="196"/>
      <c r="AE42" s="115">
        <f t="shared" si="19"/>
        <v>-196.48480644021106</v>
      </c>
      <c r="AF42" s="108">
        <f t="shared" si="20"/>
        <v>0.90175759677989442</v>
      </c>
      <c r="AG42" s="313"/>
    </row>
    <row r="43" spans="1:33" ht="15.75" customHeight="1">
      <c r="A43" s="316"/>
      <c r="B43" s="161" t="s">
        <v>171</v>
      </c>
      <c r="C43" s="297" t="s">
        <v>206</v>
      </c>
      <c r="D43" s="298"/>
      <c r="E43" s="99">
        <v>63.92</v>
      </c>
      <c r="F43" s="100">
        <v>1568</v>
      </c>
      <c r="G43" s="101">
        <f t="shared" si="21"/>
        <v>100226.56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>F43/V43*60</f>
        <v>1810.7054383674854</v>
      </c>
      <c r="N43" s="104">
        <f t="shared" si="15"/>
        <v>75.446059931978553</v>
      </c>
      <c r="O43" s="106">
        <f t="shared" si="16"/>
        <v>0</v>
      </c>
      <c r="P43" s="107">
        <f t="shared" si="17"/>
        <v>-7.8872734013547756</v>
      </c>
      <c r="Q43" s="108">
        <f t="shared" si="18"/>
        <v>0.90535271918374272</v>
      </c>
      <c r="R43" s="308"/>
      <c r="S43" s="46">
        <v>0.46111111111111103</v>
      </c>
      <c r="T43" s="47">
        <v>0.49718749999999989</v>
      </c>
      <c r="U43" s="109">
        <v>56.933333333333337</v>
      </c>
      <c r="V43" s="110">
        <v>51.957650320430702</v>
      </c>
      <c r="W43" s="111"/>
      <c r="X43" s="114"/>
      <c r="Y43" s="12"/>
      <c r="Z43" s="196"/>
      <c r="AA43" s="299"/>
      <c r="AB43" s="300"/>
      <c r="AC43" s="12"/>
      <c r="AD43" s="196"/>
      <c r="AE43" s="115">
        <f t="shared" si="19"/>
        <v>-189.29456163251461</v>
      </c>
      <c r="AF43" s="108">
        <f t="shared" si="20"/>
        <v>0.90535271918374272</v>
      </c>
      <c r="AG43" s="313"/>
    </row>
    <row r="44" spans="1:33" ht="15.75" customHeight="1">
      <c r="A44" s="316"/>
      <c r="B44" s="161"/>
      <c r="C44" s="297"/>
      <c r="D44" s="298"/>
      <c r="E44" s="99"/>
      <c r="F44" s="100"/>
      <c r="G44" s="119"/>
      <c r="H44" s="120"/>
      <c r="I44" s="102"/>
      <c r="J44" s="103"/>
      <c r="K44" s="104"/>
      <c r="L44" s="105"/>
      <c r="M44" s="103"/>
      <c r="N44" s="104"/>
      <c r="O44" s="106"/>
      <c r="P44" s="107"/>
      <c r="Q44" s="108"/>
      <c r="R44" s="308"/>
      <c r="S44" s="46"/>
      <c r="T44" s="118"/>
      <c r="U44" s="109"/>
      <c r="V44" s="110"/>
      <c r="W44" s="111"/>
      <c r="X44" s="114"/>
      <c r="Y44" s="12"/>
      <c r="Z44" s="196"/>
      <c r="AA44" s="299"/>
      <c r="AB44" s="300"/>
      <c r="AC44" s="12"/>
      <c r="AD44" s="196"/>
      <c r="AE44" s="115"/>
      <c r="AF44" s="108"/>
      <c r="AG44" s="313"/>
    </row>
    <row r="45" spans="1:33" ht="15.75" customHeight="1">
      <c r="A45" s="316"/>
      <c r="B45" s="161"/>
      <c r="C45" s="297"/>
      <c r="D45" s="298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8"/>
      <c r="S45" s="117"/>
      <c r="T45" s="118"/>
      <c r="U45" s="109"/>
      <c r="V45" s="110"/>
      <c r="W45" s="118"/>
      <c r="X45" s="187"/>
      <c r="Y45" s="12"/>
      <c r="Z45" s="196"/>
      <c r="AA45" s="299"/>
      <c r="AB45" s="300"/>
      <c r="AC45" s="12"/>
      <c r="AD45" s="196"/>
      <c r="AE45" s="115"/>
      <c r="AF45" s="108"/>
      <c r="AG45" s="313"/>
    </row>
    <row r="46" spans="1:33" ht="15.75" customHeight="1">
      <c r="A46" s="316"/>
      <c r="B46" s="161"/>
      <c r="C46" s="297"/>
      <c r="D46" s="298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8"/>
      <c r="S46" s="117"/>
      <c r="T46" s="118"/>
      <c r="U46" s="109"/>
      <c r="V46" s="110"/>
      <c r="W46" s="118"/>
      <c r="X46" s="187"/>
      <c r="Y46" s="12"/>
      <c r="Z46" s="196"/>
      <c r="AA46" s="299"/>
      <c r="AB46" s="300"/>
      <c r="AC46" s="12"/>
      <c r="AD46" s="196"/>
      <c r="AE46" s="115"/>
      <c r="AF46" s="108"/>
      <c r="AG46" s="313"/>
    </row>
    <row r="47" spans="1:33" ht="15.75" customHeight="1">
      <c r="A47" s="316"/>
      <c r="B47" s="161"/>
      <c r="C47" s="297"/>
      <c r="D47" s="298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8"/>
      <c r="S47" s="117"/>
      <c r="T47" s="118"/>
      <c r="U47" s="109"/>
      <c r="V47" s="110"/>
      <c r="W47" s="118"/>
      <c r="X47" s="187"/>
      <c r="Y47" s="12"/>
      <c r="Z47" s="196"/>
      <c r="AA47" s="299"/>
      <c r="AB47" s="300"/>
      <c r="AC47" s="12"/>
      <c r="AD47" s="196"/>
      <c r="AE47" s="115"/>
      <c r="AF47" s="108"/>
      <c r="AG47" s="313"/>
    </row>
    <row r="48" spans="1:33" ht="15.75" customHeight="1">
      <c r="A48" s="316"/>
      <c r="B48" s="161"/>
      <c r="C48" s="297"/>
      <c r="D48" s="298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8"/>
      <c r="S48" s="117"/>
      <c r="T48" s="118"/>
      <c r="U48" s="109"/>
      <c r="V48" s="110"/>
      <c r="W48" s="118"/>
      <c r="X48" s="187"/>
      <c r="Y48" s="12"/>
      <c r="Z48" s="196"/>
      <c r="AA48" s="299"/>
      <c r="AB48" s="300"/>
      <c r="AC48" s="12"/>
      <c r="AD48" s="196"/>
      <c r="AE48" s="115"/>
      <c r="AF48" s="108"/>
      <c r="AG48" s="313"/>
    </row>
    <row r="49" spans="1:33" ht="15.75" customHeight="1">
      <c r="A49" s="316"/>
      <c r="B49" s="161"/>
      <c r="C49" s="297"/>
      <c r="D49" s="298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8"/>
      <c r="S49" s="117"/>
      <c r="T49" s="118"/>
      <c r="U49" s="109"/>
      <c r="V49" s="110"/>
      <c r="W49" s="118"/>
      <c r="X49" s="187"/>
      <c r="Y49" s="12"/>
      <c r="Z49" s="196"/>
      <c r="AA49" s="299"/>
      <c r="AB49" s="300"/>
      <c r="AC49" s="12"/>
      <c r="AD49" s="196"/>
      <c r="AE49" s="115"/>
      <c r="AF49" s="108"/>
      <c r="AG49" s="313"/>
    </row>
    <row r="50" spans="1:33" ht="15.75" customHeight="1">
      <c r="A50" s="316"/>
      <c r="B50" s="161"/>
      <c r="C50" s="297"/>
      <c r="D50" s="298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8"/>
      <c r="S50" s="117"/>
      <c r="T50" s="118"/>
      <c r="U50" s="109"/>
      <c r="V50" s="110"/>
      <c r="W50" s="118"/>
      <c r="X50" s="187"/>
      <c r="Y50" s="12"/>
      <c r="Z50" s="196"/>
      <c r="AA50" s="299"/>
      <c r="AB50" s="300"/>
      <c r="AC50" s="12"/>
      <c r="AD50" s="196"/>
      <c r="AE50" s="115"/>
      <c r="AF50" s="108"/>
      <c r="AG50" s="313"/>
    </row>
    <row r="51" spans="1:33" ht="15.75" customHeight="1">
      <c r="A51" s="316"/>
      <c r="B51" s="161"/>
      <c r="C51" s="297"/>
      <c r="D51" s="298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8"/>
      <c r="S51" s="117"/>
      <c r="T51" s="118"/>
      <c r="U51" s="109"/>
      <c r="V51" s="110"/>
      <c r="W51" s="118"/>
      <c r="X51" s="187"/>
      <c r="Y51" s="12"/>
      <c r="Z51" s="196"/>
      <c r="AA51" s="299"/>
      <c r="AB51" s="300"/>
      <c r="AC51" s="12"/>
      <c r="AD51" s="196"/>
      <c r="AE51" s="115"/>
      <c r="AF51" s="108"/>
      <c r="AG51" s="313"/>
    </row>
    <row r="52" spans="1:33" ht="15.75" customHeight="1">
      <c r="A52" s="316"/>
      <c r="B52" s="161"/>
      <c r="C52" s="297"/>
      <c r="D52" s="298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8"/>
      <c r="S52" s="117"/>
      <c r="T52" s="118"/>
      <c r="U52" s="109"/>
      <c r="V52" s="110"/>
      <c r="W52" s="118"/>
      <c r="X52" s="187"/>
      <c r="Y52" s="12"/>
      <c r="Z52" s="196"/>
      <c r="AA52" s="299"/>
      <c r="AB52" s="300"/>
      <c r="AC52" s="12"/>
      <c r="AD52" s="196"/>
      <c r="AE52" s="115"/>
      <c r="AF52" s="108"/>
      <c r="AG52" s="313"/>
    </row>
    <row r="53" spans="1:33" ht="15.75" customHeight="1">
      <c r="A53" s="316"/>
      <c r="B53" s="161"/>
      <c r="C53" s="297"/>
      <c r="D53" s="298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8"/>
      <c r="S53" s="117"/>
      <c r="T53" s="118"/>
      <c r="U53" s="109"/>
      <c r="V53" s="110"/>
      <c r="W53" s="118"/>
      <c r="X53" s="187"/>
      <c r="Y53" s="12"/>
      <c r="Z53" s="196"/>
      <c r="AA53" s="299"/>
      <c r="AB53" s="300"/>
      <c r="AC53" s="12"/>
      <c r="AD53" s="196"/>
      <c r="AE53" s="115"/>
      <c r="AF53" s="108"/>
      <c r="AG53" s="313"/>
    </row>
    <row r="54" spans="1:33" ht="15.75" customHeight="1">
      <c r="A54" s="316"/>
      <c r="B54" s="161"/>
      <c r="C54" s="297"/>
      <c r="D54" s="298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8"/>
      <c r="S54" s="117"/>
      <c r="T54" s="118"/>
      <c r="U54" s="128"/>
      <c r="V54" s="129"/>
      <c r="W54" s="124"/>
      <c r="X54" s="125"/>
      <c r="Y54" s="12"/>
      <c r="Z54" s="196"/>
      <c r="AA54" s="299"/>
      <c r="AB54" s="300"/>
      <c r="AC54" s="12"/>
      <c r="AD54" s="196"/>
      <c r="AE54" s="163"/>
      <c r="AF54" s="123"/>
      <c r="AG54" s="313"/>
    </row>
    <row r="55" spans="1:33" ht="15.75" customHeight="1" thickBot="1">
      <c r="A55" s="317"/>
      <c r="B55" s="131" t="s">
        <v>115</v>
      </c>
      <c r="C55" s="294"/>
      <c r="D55" s="294"/>
      <c r="E55" s="132"/>
      <c r="F55" s="165"/>
      <c r="G55" s="133"/>
      <c r="H55" s="67"/>
      <c r="I55" s="134">
        <f t="shared" ref="I55:J55" si="22">AVERAGE(I39:I54)</f>
        <v>23.2</v>
      </c>
      <c r="J55" s="135">
        <f t="shared" si="22"/>
        <v>2000</v>
      </c>
      <c r="K55" s="136">
        <f t="shared" ref="K55" si="23">J55/I55</f>
        <v>86.206896551724142</v>
      </c>
      <c r="L55" s="134">
        <f t="shared" ref="L55:M55" si="24">AVERAGE(L39:L54)</f>
        <v>23.2</v>
      </c>
      <c r="M55" s="135">
        <f t="shared" si="24"/>
        <v>1806.3551951307923</v>
      </c>
      <c r="N55" s="136">
        <f t="shared" ref="N55:N60" si="25">M55/L55</f>
        <v>77.860137721154842</v>
      </c>
      <c r="O55" s="137">
        <f t="shared" ref="O55:O60" si="26">L55-I55</f>
        <v>0</v>
      </c>
      <c r="P55" s="138">
        <f t="shared" ref="P55:P60" si="27">N55-K55</f>
        <v>-8.3467588305692999</v>
      </c>
      <c r="Q55" s="139">
        <f t="shared" ref="Q55:Q60" si="28">N55/K55</f>
        <v>0.90317759756539617</v>
      </c>
      <c r="R55" s="309"/>
      <c r="S55" s="140">
        <v>0.20833333333333334</v>
      </c>
      <c r="T55" s="141">
        <v>0.49718749999999989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5"/>
      <c r="AB55" s="296"/>
      <c r="AC55" s="177">
        <f>SUM(AC39:AC54)</f>
        <v>0</v>
      </c>
      <c r="AD55" s="189">
        <f>SUM(AD39:AD54)</f>
        <v>0</v>
      </c>
      <c r="AE55" s="166">
        <f t="shared" ref="AE55:AE60" si="29">M55-J55</f>
        <v>-193.64480486920775</v>
      </c>
      <c r="AF55" s="139">
        <f t="shared" ref="AF55:AF60" si="30">M55/J55</f>
        <v>0.90317759756539617</v>
      </c>
      <c r="AG55" s="314"/>
    </row>
    <row r="56" spans="1:33" ht="15.75" customHeight="1">
      <c r="A56" s="301" t="s">
        <v>187</v>
      </c>
      <c r="B56" s="112" t="s">
        <v>194</v>
      </c>
      <c r="C56" s="385" t="s">
        <v>195</v>
      </c>
      <c r="D56" s="385"/>
      <c r="E56" s="145">
        <v>28.86</v>
      </c>
      <c r="F56" s="95">
        <v>1246</v>
      </c>
      <c r="G56" s="146">
        <f t="shared" ref="G56:G60" si="31">E56*F56</f>
        <v>35959.56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>F56/V56*60</f>
        <v>3192.8277202368772</v>
      </c>
      <c r="N56" s="150">
        <f t="shared" si="25"/>
        <v>177.37931779093762</v>
      </c>
      <c r="O56" s="152">
        <f t="shared" si="26"/>
        <v>0</v>
      </c>
      <c r="P56" s="153">
        <f t="shared" si="27"/>
        <v>-22.62068220906238</v>
      </c>
      <c r="Q56" s="154">
        <f t="shared" si="28"/>
        <v>0.88689658895468815</v>
      </c>
      <c r="R56" s="307">
        <f>Q72</f>
        <v>0.8962218760088938</v>
      </c>
      <c r="S56" s="155">
        <v>0.25</v>
      </c>
      <c r="T56" s="156">
        <v>0.26624999999999999</v>
      </c>
      <c r="U56" s="157"/>
      <c r="V56" s="158">
        <v>23.41498087295907</v>
      </c>
      <c r="W56" s="156"/>
      <c r="X56" s="167"/>
      <c r="Y56" s="12"/>
      <c r="Z56" s="196"/>
      <c r="AA56" s="310"/>
      <c r="AB56" s="311"/>
      <c r="AC56" s="12"/>
      <c r="AD56" s="196"/>
      <c r="AE56" s="113">
        <f t="shared" si="29"/>
        <v>-407.17227976312279</v>
      </c>
      <c r="AF56" s="154">
        <f t="shared" si="30"/>
        <v>0.88689658895468815</v>
      </c>
      <c r="AG56" s="312">
        <f>AF72</f>
        <v>0.89622187600889369</v>
      </c>
    </row>
    <row r="57" spans="1:33" ht="15.75" customHeight="1">
      <c r="A57" s="302"/>
      <c r="B57" s="98" t="s">
        <v>194</v>
      </c>
      <c r="C57" s="382" t="s">
        <v>210</v>
      </c>
      <c r="D57" s="382"/>
      <c r="E57" s="99">
        <v>36.729999999999997</v>
      </c>
      <c r="F57" s="100">
        <v>1388</v>
      </c>
      <c r="G57" s="101">
        <f t="shared" si="31"/>
        <v>50981.24</v>
      </c>
      <c r="H57" s="26"/>
      <c r="I57" s="102">
        <v>21</v>
      </c>
      <c r="J57" s="103">
        <v>3600</v>
      </c>
      <c r="K57" s="104">
        <f t="shared" ref="K57:K91" si="32">J57/I57</f>
        <v>171.42857142857142</v>
      </c>
      <c r="L57" s="105">
        <v>21</v>
      </c>
      <c r="M57" s="103">
        <f>F57/V57*60</f>
        <v>3193.445605345813</v>
      </c>
      <c r="N57" s="104">
        <f t="shared" si="25"/>
        <v>152.06883834980061</v>
      </c>
      <c r="O57" s="106">
        <f t="shared" si="26"/>
        <v>0</v>
      </c>
      <c r="P57" s="107">
        <f t="shared" si="27"/>
        <v>-19.359733078770802</v>
      </c>
      <c r="Q57" s="108">
        <f t="shared" si="28"/>
        <v>0.88706822370717031</v>
      </c>
      <c r="R57" s="308"/>
      <c r="S57" s="46">
        <v>0.26944444444444443</v>
      </c>
      <c r="T57" s="47">
        <v>0.2875462962962963</v>
      </c>
      <c r="U57" s="109">
        <v>4.5999999999999996</v>
      </c>
      <c r="V57" s="110">
        <v>26.07841507010161</v>
      </c>
      <c r="W57" s="111"/>
      <c r="X57" s="114"/>
      <c r="Y57" s="12"/>
      <c r="Z57" s="196"/>
      <c r="AA57" s="299"/>
      <c r="AB57" s="300"/>
      <c r="AC57" s="12"/>
      <c r="AD57" s="196"/>
      <c r="AE57" s="115">
        <f t="shared" si="29"/>
        <v>-406.55439465418704</v>
      </c>
      <c r="AF57" s="108">
        <f t="shared" si="30"/>
        <v>0.88706822370717031</v>
      </c>
      <c r="AG57" s="313"/>
    </row>
    <row r="58" spans="1:33" ht="15.75" customHeight="1">
      <c r="A58" s="302"/>
      <c r="B58" s="98" t="s">
        <v>194</v>
      </c>
      <c r="C58" s="382" t="s">
        <v>197</v>
      </c>
      <c r="D58" s="382"/>
      <c r="E58" s="99">
        <v>37.799999999999997</v>
      </c>
      <c r="F58" s="100">
        <v>3641</v>
      </c>
      <c r="G58" s="101">
        <f t="shared" si="31"/>
        <v>137629.79999999999</v>
      </c>
      <c r="H58" s="26"/>
      <c r="I58" s="102">
        <v>20</v>
      </c>
      <c r="J58" s="103">
        <v>3600</v>
      </c>
      <c r="K58" s="104">
        <f t="shared" si="32"/>
        <v>180</v>
      </c>
      <c r="L58" s="105">
        <v>20</v>
      </c>
      <c r="M58" s="103">
        <f>F58/V58*60</f>
        <v>3271.5289188004167</v>
      </c>
      <c r="N58" s="104">
        <f t="shared" si="25"/>
        <v>163.57644594002085</v>
      </c>
      <c r="O58" s="106">
        <f t="shared" si="26"/>
        <v>0</v>
      </c>
      <c r="P58" s="107">
        <f t="shared" si="27"/>
        <v>-16.423554059979153</v>
      </c>
      <c r="Q58" s="108">
        <f t="shared" si="28"/>
        <v>0.90875803300011582</v>
      </c>
      <c r="R58" s="308"/>
      <c r="S58" s="46">
        <v>0.29097222222222219</v>
      </c>
      <c r="T58" s="47">
        <v>0.33733796296296292</v>
      </c>
      <c r="U58" s="109">
        <v>4.9333333333332785</v>
      </c>
      <c r="V58" s="110">
        <v>66.776117656971081</v>
      </c>
      <c r="W58" s="111"/>
      <c r="X58" s="114"/>
      <c r="Y58" s="12"/>
      <c r="Z58" s="196"/>
      <c r="AA58" s="299"/>
      <c r="AB58" s="300"/>
      <c r="AC58" s="12"/>
      <c r="AD58" s="196"/>
      <c r="AE58" s="115">
        <f t="shared" si="29"/>
        <v>-328.4710811995833</v>
      </c>
      <c r="AF58" s="108">
        <f t="shared" si="30"/>
        <v>0.90875803300011571</v>
      </c>
      <c r="AG58" s="313"/>
    </row>
    <row r="59" spans="1:33" ht="15.75" customHeight="1">
      <c r="A59" s="302"/>
      <c r="B59" s="98" t="s">
        <v>194</v>
      </c>
      <c r="C59" s="382" t="s">
        <v>196</v>
      </c>
      <c r="D59" s="382"/>
      <c r="E59" s="99">
        <v>38.479999999999997</v>
      </c>
      <c r="F59" s="100">
        <v>2780</v>
      </c>
      <c r="G59" s="101">
        <f t="shared" si="31"/>
        <v>106974.39999999999</v>
      </c>
      <c r="H59" s="26"/>
      <c r="I59" s="102">
        <v>19</v>
      </c>
      <c r="J59" s="103">
        <v>3600</v>
      </c>
      <c r="K59" s="104">
        <f t="shared" si="32"/>
        <v>189.47368421052633</v>
      </c>
      <c r="L59" s="105">
        <v>19</v>
      </c>
      <c r="M59" s="103">
        <f>F59/V59*60</f>
        <v>3264.0787272866974</v>
      </c>
      <c r="N59" s="104">
        <f t="shared" si="25"/>
        <v>171.79361722561566</v>
      </c>
      <c r="O59" s="106">
        <f t="shared" si="26"/>
        <v>0</v>
      </c>
      <c r="P59" s="107">
        <f t="shared" si="27"/>
        <v>-17.680066984910667</v>
      </c>
      <c r="Q59" s="108">
        <f t="shared" si="28"/>
        <v>0.90668853535741589</v>
      </c>
      <c r="R59" s="308"/>
      <c r="S59" s="46">
        <v>0.34027777777777773</v>
      </c>
      <c r="T59" s="47">
        <v>0.37576388888888884</v>
      </c>
      <c r="U59" s="109">
        <v>5</v>
      </c>
      <c r="V59" s="110">
        <v>51.101708609416534</v>
      </c>
      <c r="W59" s="111"/>
      <c r="X59" s="114"/>
      <c r="Y59" s="12"/>
      <c r="Z59" s="196"/>
      <c r="AA59" s="299"/>
      <c r="AB59" s="300"/>
      <c r="AC59" s="12"/>
      <c r="AD59" s="196"/>
      <c r="AE59" s="197">
        <f t="shared" si="29"/>
        <v>-335.92127271330264</v>
      </c>
      <c r="AF59" s="198">
        <f t="shared" si="30"/>
        <v>0.90668853535741589</v>
      </c>
      <c r="AG59" s="313"/>
    </row>
    <row r="60" spans="1:33" ht="15.75" customHeight="1">
      <c r="A60" s="303"/>
      <c r="B60" s="98" t="s">
        <v>166</v>
      </c>
      <c r="C60" s="382" t="s">
        <v>167</v>
      </c>
      <c r="D60" s="382"/>
      <c r="E60" s="99">
        <v>29.97</v>
      </c>
      <c r="F60" s="103">
        <v>2104</v>
      </c>
      <c r="G60" s="101">
        <f t="shared" si="31"/>
        <v>63056.88</v>
      </c>
      <c r="H60" s="13"/>
      <c r="I60" s="102">
        <v>21</v>
      </c>
      <c r="J60" s="103">
        <v>2790</v>
      </c>
      <c r="K60" s="104">
        <f t="shared" si="32"/>
        <v>132.85714285714286</v>
      </c>
      <c r="L60" s="105">
        <v>21</v>
      </c>
      <c r="M60" s="103">
        <f>F60/V60*60</f>
        <v>2484.1730769230767</v>
      </c>
      <c r="N60" s="104">
        <f t="shared" si="25"/>
        <v>118.29395604395603</v>
      </c>
      <c r="O60" s="106">
        <f t="shared" si="26"/>
        <v>0</v>
      </c>
      <c r="P60" s="107">
        <f t="shared" si="27"/>
        <v>-14.563186813186832</v>
      </c>
      <c r="Q60" s="108">
        <f t="shared" si="28"/>
        <v>0.89038461538461522</v>
      </c>
      <c r="R60" s="308"/>
      <c r="S60" s="46">
        <v>0.37986111111111104</v>
      </c>
      <c r="T60" s="47">
        <v>0.41515046296296287</v>
      </c>
      <c r="U60" s="109">
        <v>5.8999999999999631</v>
      </c>
      <c r="V60" s="110">
        <v>50.817715227943054</v>
      </c>
      <c r="W60" s="111"/>
      <c r="X60" s="114"/>
      <c r="Y60" s="12"/>
      <c r="Z60" s="196"/>
      <c r="AA60" s="299"/>
      <c r="AB60" s="300"/>
      <c r="AC60" s="12"/>
      <c r="AD60" s="196"/>
      <c r="AE60" s="197">
        <f t="shared" si="29"/>
        <v>-305.82692307692332</v>
      </c>
      <c r="AF60" s="198">
        <f t="shared" si="30"/>
        <v>0.89038461538461533</v>
      </c>
      <c r="AG60" s="313"/>
    </row>
    <row r="61" spans="1:33" ht="15.75" customHeight="1">
      <c r="A61" s="303"/>
      <c r="B61" s="98"/>
      <c r="C61" s="382"/>
      <c r="D61" s="382"/>
      <c r="E61" s="99"/>
      <c r="F61" s="103"/>
      <c r="G61" s="119"/>
      <c r="H61" s="120"/>
      <c r="I61" s="102"/>
      <c r="J61" s="103"/>
      <c r="K61" s="104"/>
      <c r="L61" s="105"/>
      <c r="M61" s="103"/>
      <c r="N61" s="104"/>
      <c r="O61" s="106"/>
      <c r="P61" s="107"/>
      <c r="Q61" s="108"/>
      <c r="R61" s="308"/>
      <c r="S61" s="46"/>
      <c r="T61" s="118"/>
      <c r="U61" s="109"/>
      <c r="V61" s="110"/>
      <c r="W61" s="111"/>
      <c r="X61" s="114"/>
      <c r="Y61" s="12"/>
      <c r="Z61" s="196"/>
      <c r="AA61" s="299"/>
      <c r="AB61" s="300"/>
      <c r="AC61" s="12"/>
      <c r="AD61" s="196"/>
      <c r="AE61" s="197"/>
      <c r="AF61" s="198"/>
      <c r="AG61" s="313"/>
    </row>
    <row r="62" spans="1:33" ht="15.75" customHeight="1">
      <c r="A62" s="303"/>
      <c r="B62" s="98"/>
      <c r="C62" s="382"/>
      <c r="D62" s="382"/>
      <c r="E62" s="99"/>
      <c r="F62" s="103"/>
      <c r="G62" s="119"/>
      <c r="H62" s="60"/>
      <c r="I62" s="102"/>
      <c r="J62" s="103"/>
      <c r="K62" s="104"/>
      <c r="L62" s="105"/>
      <c r="M62" s="103"/>
      <c r="N62" s="104"/>
      <c r="O62" s="121"/>
      <c r="P62" s="122"/>
      <c r="Q62" s="123"/>
      <c r="R62" s="308"/>
      <c r="S62" s="46"/>
      <c r="T62" s="118"/>
      <c r="U62" s="109"/>
      <c r="V62" s="110"/>
      <c r="W62" s="111"/>
      <c r="X62" s="114"/>
      <c r="Y62" s="12"/>
      <c r="Z62" s="196"/>
      <c r="AA62" s="299"/>
      <c r="AB62" s="300"/>
      <c r="AC62" s="12"/>
      <c r="AD62" s="196"/>
      <c r="AE62" s="197"/>
      <c r="AF62" s="198"/>
      <c r="AG62" s="313"/>
    </row>
    <row r="63" spans="1:33" ht="15.75" customHeight="1">
      <c r="A63" s="303"/>
      <c r="B63" s="98"/>
      <c r="C63" s="382"/>
      <c r="D63" s="382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8"/>
      <c r="S63" s="46"/>
      <c r="T63" s="118"/>
      <c r="U63" s="109"/>
      <c r="V63" s="110"/>
      <c r="W63" s="111"/>
      <c r="X63" s="114"/>
      <c r="Y63" s="12"/>
      <c r="Z63" s="196"/>
      <c r="AA63" s="299"/>
      <c r="AB63" s="300"/>
      <c r="AC63" s="12"/>
      <c r="AD63" s="196"/>
      <c r="AE63" s="197"/>
      <c r="AF63" s="198"/>
      <c r="AG63" s="313"/>
    </row>
    <row r="64" spans="1:33" ht="15.75" customHeight="1">
      <c r="A64" s="303"/>
      <c r="B64" s="98"/>
      <c r="C64" s="382"/>
      <c r="D64" s="382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8"/>
      <c r="S64" s="46"/>
      <c r="T64" s="118"/>
      <c r="U64" s="109"/>
      <c r="V64" s="110"/>
      <c r="W64" s="111"/>
      <c r="X64" s="114"/>
      <c r="Y64" s="12"/>
      <c r="Z64" s="196"/>
      <c r="AA64" s="299"/>
      <c r="AB64" s="300"/>
      <c r="AC64" s="12"/>
      <c r="AD64" s="196"/>
      <c r="AE64" s="197"/>
      <c r="AF64" s="198"/>
      <c r="AG64" s="313"/>
    </row>
    <row r="65" spans="1:33" ht="15.75" customHeight="1">
      <c r="A65" s="303"/>
      <c r="B65" s="98"/>
      <c r="C65" s="382"/>
      <c r="D65" s="382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8"/>
      <c r="S65" s="46"/>
      <c r="T65" s="118"/>
      <c r="U65" s="109"/>
      <c r="V65" s="110"/>
      <c r="W65" s="111"/>
      <c r="X65" s="114"/>
      <c r="Y65" s="12"/>
      <c r="Z65" s="196"/>
      <c r="AA65" s="299"/>
      <c r="AB65" s="300"/>
      <c r="AC65" s="12"/>
      <c r="AD65" s="196"/>
      <c r="AE65" s="197"/>
      <c r="AF65" s="198"/>
      <c r="AG65" s="313"/>
    </row>
    <row r="66" spans="1:33" ht="15.75" customHeight="1">
      <c r="A66" s="303"/>
      <c r="B66" s="98"/>
      <c r="C66" s="382"/>
      <c r="D66" s="382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8"/>
      <c r="S66" s="46"/>
      <c r="T66" s="118"/>
      <c r="U66" s="109"/>
      <c r="V66" s="110"/>
      <c r="W66" s="111"/>
      <c r="X66" s="114"/>
      <c r="Y66" s="12"/>
      <c r="Z66" s="196"/>
      <c r="AA66" s="299"/>
      <c r="AB66" s="300"/>
      <c r="AC66" s="12"/>
      <c r="AD66" s="196"/>
      <c r="AE66" s="197"/>
      <c r="AF66" s="198"/>
      <c r="AG66" s="313"/>
    </row>
    <row r="67" spans="1:33" ht="15.75" customHeight="1">
      <c r="A67" s="303"/>
      <c r="B67" s="98"/>
      <c r="C67" s="382"/>
      <c r="D67" s="382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8"/>
      <c r="S67" s="46"/>
      <c r="T67" s="118"/>
      <c r="U67" s="109"/>
      <c r="V67" s="110"/>
      <c r="W67" s="111"/>
      <c r="X67" s="114"/>
      <c r="Y67" s="12"/>
      <c r="Z67" s="196"/>
      <c r="AA67" s="299"/>
      <c r="AB67" s="300"/>
      <c r="AC67" s="12"/>
      <c r="AD67" s="196"/>
      <c r="AE67" s="197"/>
      <c r="AF67" s="198"/>
      <c r="AG67" s="313"/>
    </row>
    <row r="68" spans="1:33" ht="15.75" customHeight="1">
      <c r="A68" s="303"/>
      <c r="B68" s="98"/>
      <c r="C68" s="382"/>
      <c r="D68" s="382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8"/>
      <c r="S68" s="46"/>
      <c r="T68" s="118"/>
      <c r="U68" s="109"/>
      <c r="V68" s="110"/>
      <c r="W68" s="111"/>
      <c r="X68" s="114"/>
      <c r="Y68" s="12"/>
      <c r="Z68" s="196"/>
      <c r="AA68" s="299"/>
      <c r="AB68" s="300"/>
      <c r="AC68" s="12"/>
      <c r="AD68" s="196"/>
      <c r="AE68" s="197"/>
      <c r="AF68" s="198"/>
      <c r="AG68" s="313"/>
    </row>
    <row r="69" spans="1:33" ht="15.75" customHeight="1">
      <c r="A69" s="303"/>
      <c r="B69" s="98"/>
      <c r="C69" s="382"/>
      <c r="D69" s="382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8"/>
      <c r="S69" s="46"/>
      <c r="T69" s="118"/>
      <c r="U69" s="109"/>
      <c r="V69" s="110"/>
      <c r="W69" s="111"/>
      <c r="X69" s="114"/>
      <c r="Y69" s="12"/>
      <c r="Z69" s="196"/>
      <c r="AA69" s="299"/>
      <c r="AB69" s="300"/>
      <c r="AC69" s="12"/>
      <c r="AD69" s="196"/>
      <c r="AE69" s="197"/>
      <c r="AF69" s="198"/>
      <c r="AG69" s="313"/>
    </row>
    <row r="70" spans="1:33" ht="15.75" customHeight="1">
      <c r="A70" s="303"/>
      <c r="B70" s="98"/>
      <c r="C70" s="382"/>
      <c r="D70" s="382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8"/>
      <c r="S70" s="46"/>
      <c r="T70" s="118"/>
      <c r="U70" s="109"/>
      <c r="V70" s="110"/>
      <c r="W70" s="111"/>
      <c r="X70" s="114"/>
      <c r="Y70" s="12"/>
      <c r="Z70" s="196"/>
      <c r="AA70" s="299"/>
      <c r="AB70" s="300"/>
      <c r="AC70" s="12"/>
      <c r="AD70" s="196"/>
      <c r="AE70" s="197"/>
      <c r="AF70" s="198"/>
      <c r="AG70" s="313"/>
    </row>
    <row r="71" spans="1:33" ht="15.75" customHeight="1">
      <c r="A71" s="303"/>
      <c r="B71" s="98"/>
      <c r="C71" s="382"/>
      <c r="D71" s="382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8"/>
      <c r="S71" s="117"/>
      <c r="T71" s="118"/>
      <c r="U71" s="128"/>
      <c r="V71" s="129"/>
      <c r="W71" s="124"/>
      <c r="X71" s="125"/>
      <c r="Y71" s="12"/>
      <c r="Z71" s="196"/>
      <c r="AA71" s="299"/>
      <c r="AB71" s="300"/>
      <c r="AC71" s="12"/>
      <c r="AD71" s="196"/>
      <c r="AE71" s="163"/>
      <c r="AF71" s="123"/>
      <c r="AG71" s="313"/>
    </row>
    <row r="72" spans="1:33" ht="15.75" customHeight="1" thickBot="1">
      <c r="A72" s="304"/>
      <c r="B72" s="131" t="s">
        <v>115</v>
      </c>
      <c r="C72" s="294"/>
      <c r="D72" s="294"/>
      <c r="E72" s="132"/>
      <c r="F72" s="165"/>
      <c r="G72" s="133"/>
      <c r="H72" s="67"/>
      <c r="I72" s="134">
        <f t="shared" ref="I72:J72" si="33">AVERAGE(I56:I71)</f>
        <v>19.8</v>
      </c>
      <c r="J72" s="135">
        <f t="shared" si="33"/>
        <v>3438</v>
      </c>
      <c r="K72" s="136">
        <f t="shared" ref="K72:K76" si="34">J72/I72</f>
        <v>173.63636363636363</v>
      </c>
      <c r="L72" s="134">
        <f t="shared" ref="L72:M72" si="35">AVERAGE(L56:L71)</f>
        <v>19.8</v>
      </c>
      <c r="M72" s="135">
        <f t="shared" si="35"/>
        <v>3081.2108097185765</v>
      </c>
      <c r="N72" s="136">
        <f>M72/L72</f>
        <v>155.61670756154427</v>
      </c>
      <c r="O72" s="137">
        <f>L72-I72</f>
        <v>0</v>
      </c>
      <c r="P72" s="138">
        <f>N72-K72</f>
        <v>-18.019656074819352</v>
      </c>
      <c r="Q72" s="139">
        <f>N72/K72</f>
        <v>0.8962218760088938</v>
      </c>
      <c r="R72" s="309"/>
      <c r="S72" s="140">
        <v>0.25</v>
      </c>
      <c r="T72" s="141">
        <v>0.41515046296296287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5"/>
      <c r="AB72" s="296"/>
      <c r="AC72" s="177">
        <f>SUM(AC56:AC71)</f>
        <v>0</v>
      </c>
      <c r="AD72" s="189">
        <f>SUM(AD56:AD71)</f>
        <v>0</v>
      </c>
      <c r="AE72" s="166">
        <f>M72-J72</f>
        <v>-356.78919028142354</v>
      </c>
      <c r="AF72" s="139">
        <f>M72/J72</f>
        <v>0.89622187600889369</v>
      </c>
      <c r="AG72" s="314"/>
    </row>
    <row r="73" spans="1:33" ht="15.75" customHeight="1">
      <c r="A73" s="315" t="s">
        <v>116</v>
      </c>
      <c r="B73" s="98" t="s">
        <v>188</v>
      </c>
      <c r="C73" s="297" t="s">
        <v>222</v>
      </c>
      <c r="D73" s="298"/>
      <c r="E73" s="99">
        <v>22.83</v>
      </c>
      <c r="F73" s="100">
        <v>1320</v>
      </c>
      <c r="G73" s="119">
        <f t="shared" ref="G73:G76" si="36">E73*F73</f>
        <v>30135.599999999999</v>
      </c>
      <c r="H73" s="60"/>
      <c r="I73" s="102">
        <v>6</v>
      </c>
      <c r="J73" s="103">
        <v>2500</v>
      </c>
      <c r="K73" s="104">
        <f t="shared" si="34"/>
        <v>416.66666666666669</v>
      </c>
      <c r="L73" s="105">
        <v>6</v>
      </c>
      <c r="M73" s="103">
        <f>F73/V73*60</f>
        <v>2264.5449247448341</v>
      </c>
      <c r="N73" s="104">
        <f>M73/L73</f>
        <v>377.42415412413902</v>
      </c>
      <c r="O73" s="121">
        <f>L73-I73</f>
        <v>0</v>
      </c>
      <c r="P73" s="122">
        <f>N73-K73</f>
        <v>-39.242512542527663</v>
      </c>
      <c r="Q73" s="123">
        <f>N73/K73</f>
        <v>0.90581796989793362</v>
      </c>
      <c r="R73" s="307">
        <f>Q89</f>
        <v>0.88695109051412235</v>
      </c>
      <c r="S73" s="46">
        <v>0.34027777777777773</v>
      </c>
      <c r="T73" s="118">
        <v>0.36456018518518513</v>
      </c>
      <c r="U73" s="109">
        <v>5.7833333333333314</v>
      </c>
      <c r="V73" s="110">
        <v>34.973914244127499</v>
      </c>
      <c r="W73" s="111"/>
      <c r="X73" s="160"/>
      <c r="Y73" s="12"/>
      <c r="Z73" s="196"/>
      <c r="AA73" s="310"/>
      <c r="AB73" s="311"/>
      <c r="AC73" s="12"/>
      <c r="AD73" s="196"/>
      <c r="AE73" s="113">
        <f>M73-J73</f>
        <v>-235.45507525516587</v>
      </c>
      <c r="AF73" s="154">
        <f>M73/J73</f>
        <v>0.90581796989793362</v>
      </c>
      <c r="AG73" s="312">
        <f>AF89</f>
        <v>0.88695109051412235</v>
      </c>
    </row>
    <row r="74" spans="1:33" ht="15.75" customHeight="1">
      <c r="A74" s="316"/>
      <c r="B74" s="98" t="s">
        <v>188</v>
      </c>
      <c r="C74" s="297" t="s">
        <v>214</v>
      </c>
      <c r="D74" s="298"/>
      <c r="E74" s="99">
        <v>23.19</v>
      </c>
      <c r="F74" s="100">
        <v>525</v>
      </c>
      <c r="G74" s="119">
        <f t="shared" si="36"/>
        <v>12174.75</v>
      </c>
      <c r="H74" s="60"/>
      <c r="I74" s="102">
        <v>6</v>
      </c>
      <c r="J74" s="103">
        <v>2500</v>
      </c>
      <c r="K74" s="104">
        <f t="shared" si="34"/>
        <v>416.66666666666669</v>
      </c>
      <c r="L74" s="116">
        <v>6</v>
      </c>
      <c r="M74" s="103">
        <f>F74/V74*60</f>
        <v>2265.088525943926</v>
      </c>
      <c r="N74" s="104">
        <f>M74/L74</f>
        <v>377.51475432398769</v>
      </c>
      <c r="O74" s="121">
        <f>L74-I74</f>
        <v>0</v>
      </c>
      <c r="P74" s="122">
        <f>N74-K74</f>
        <v>-39.151912342678997</v>
      </c>
      <c r="Q74" s="123">
        <f>N74/K74</f>
        <v>0.9060354103775704</v>
      </c>
      <c r="R74" s="308"/>
      <c r="S74" s="46">
        <v>0.36736111111111103</v>
      </c>
      <c r="T74" s="118">
        <v>0.37701388888888882</v>
      </c>
      <c r="U74" s="109">
        <v>5</v>
      </c>
      <c r="V74" s="110">
        <v>13.906741232938373</v>
      </c>
      <c r="W74" s="111"/>
      <c r="X74" s="114"/>
      <c r="Y74" s="12"/>
      <c r="Z74" s="196"/>
      <c r="AA74" s="299"/>
      <c r="AB74" s="300"/>
      <c r="AC74" s="12"/>
      <c r="AD74" s="196"/>
      <c r="AE74" s="115">
        <f>M74-J74</f>
        <v>-234.91147405607398</v>
      </c>
      <c r="AF74" s="108">
        <f>M74/J74</f>
        <v>0.9060354103775704</v>
      </c>
      <c r="AG74" s="313"/>
    </row>
    <row r="75" spans="1:33" ht="15.75" customHeight="1">
      <c r="A75" s="316"/>
      <c r="B75" s="98" t="s">
        <v>188</v>
      </c>
      <c r="C75" s="297" t="s">
        <v>215</v>
      </c>
      <c r="D75" s="298"/>
      <c r="E75" s="99">
        <v>35.89</v>
      </c>
      <c r="F75" s="100">
        <v>1700</v>
      </c>
      <c r="G75" s="119">
        <f t="shared" si="36"/>
        <v>61013</v>
      </c>
      <c r="H75" s="60"/>
      <c r="I75" s="102">
        <v>5</v>
      </c>
      <c r="J75" s="103">
        <v>3273</v>
      </c>
      <c r="K75" s="104">
        <f t="shared" si="34"/>
        <v>654.6</v>
      </c>
      <c r="L75" s="116">
        <v>5</v>
      </c>
      <c r="M75" s="103">
        <f>F75/V75*60</f>
        <v>2960.232839187297</v>
      </c>
      <c r="N75" s="104">
        <f>M75/L75</f>
        <v>592.04656783745941</v>
      </c>
      <c r="O75" s="121">
        <f>L75-I75</f>
        <v>0</v>
      </c>
      <c r="P75" s="122">
        <f>N75-K75</f>
        <v>-62.553432162540616</v>
      </c>
      <c r="Q75" s="123">
        <f>N75/K75</f>
        <v>0.90444021973336297</v>
      </c>
      <c r="R75" s="308"/>
      <c r="S75" s="46">
        <v>0.38055555555555548</v>
      </c>
      <c r="T75" s="118">
        <v>0.40447916666666661</v>
      </c>
      <c r="U75" s="109">
        <v>5.0999999999999979</v>
      </c>
      <c r="V75" s="110">
        <v>34.456749026540464</v>
      </c>
      <c r="W75" s="111"/>
      <c r="X75" s="114"/>
      <c r="Y75" s="12"/>
      <c r="Z75" s="196"/>
      <c r="AA75" s="299"/>
      <c r="AB75" s="300"/>
      <c r="AC75" s="12"/>
      <c r="AD75" s="196"/>
      <c r="AE75" s="115">
        <f>M75-J75</f>
        <v>-312.76716081270297</v>
      </c>
      <c r="AF75" s="108">
        <f>M75/J75</f>
        <v>0.90444021973336297</v>
      </c>
      <c r="AG75" s="313"/>
    </row>
    <row r="76" spans="1:33" ht="15.75" customHeight="1">
      <c r="A76" s="316"/>
      <c r="B76" s="98" t="s">
        <v>188</v>
      </c>
      <c r="C76" s="297" t="s">
        <v>233</v>
      </c>
      <c r="D76" s="298"/>
      <c r="E76" s="99">
        <v>30.84</v>
      </c>
      <c r="F76" s="100">
        <v>4902</v>
      </c>
      <c r="G76" s="119">
        <f t="shared" si="36"/>
        <v>151177.68</v>
      </c>
      <c r="H76" s="60"/>
      <c r="I76" s="102">
        <v>6</v>
      </c>
      <c r="J76" s="103">
        <v>3273</v>
      </c>
      <c r="K76" s="104">
        <f t="shared" si="34"/>
        <v>545.5</v>
      </c>
      <c r="L76" s="116">
        <v>6</v>
      </c>
      <c r="M76" s="103">
        <f>F76/V76*60</f>
        <v>2750.8710011999992</v>
      </c>
      <c r="N76" s="104">
        <f>M76/L76</f>
        <v>458.47850019999987</v>
      </c>
      <c r="O76" s="121">
        <f>L76-I76</f>
        <v>0</v>
      </c>
      <c r="P76" s="122">
        <f>N76-K76</f>
        <v>-87.021499800000129</v>
      </c>
      <c r="Q76" s="123">
        <f>N76/K76</f>
        <v>0.84047387754353775</v>
      </c>
      <c r="R76" s="308"/>
      <c r="S76" s="46">
        <v>0.40833333333333321</v>
      </c>
      <c r="T76" s="118">
        <v>0.48258101851851842</v>
      </c>
      <c r="U76" s="109">
        <v>5.5499999999999083</v>
      </c>
      <c r="V76" s="110">
        <v>106.91886310615708</v>
      </c>
      <c r="W76" s="111"/>
      <c r="X76" s="114"/>
      <c r="Y76" s="12"/>
      <c r="Z76" s="196"/>
      <c r="AA76" s="299"/>
      <c r="AB76" s="300"/>
      <c r="AC76" s="12"/>
      <c r="AD76" s="196"/>
      <c r="AE76" s="115">
        <f>M76-J76</f>
        <v>-522.12899880000077</v>
      </c>
      <c r="AF76" s="108">
        <f>M76/J76</f>
        <v>0.84047387754353775</v>
      </c>
      <c r="AG76" s="313"/>
    </row>
    <row r="77" spans="1:33" ht="15.75" customHeight="1">
      <c r="A77" s="316"/>
      <c r="B77" s="98"/>
      <c r="C77" s="297"/>
      <c r="D77" s="298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8"/>
      <c r="S77" s="46"/>
      <c r="T77" s="47"/>
      <c r="U77" s="109"/>
      <c r="V77" s="110"/>
      <c r="W77" s="111"/>
      <c r="X77" s="114"/>
      <c r="Y77" s="12"/>
      <c r="Z77" s="196"/>
      <c r="AA77" s="299"/>
      <c r="AB77" s="300"/>
      <c r="AC77" s="12"/>
      <c r="AD77" s="196"/>
      <c r="AE77" s="115"/>
      <c r="AF77" s="108"/>
      <c r="AG77" s="313"/>
    </row>
    <row r="78" spans="1:33" ht="15.75" customHeight="1">
      <c r="A78" s="316"/>
      <c r="B78" s="98"/>
      <c r="C78" s="297"/>
      <c r="D78" s="298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8"/>
      <c r="S78" s="46"/>
      <c r="T78" s="118"/>
      <c r="U78" s="109"/>
      <c r="V78" s="110"/>
      <c r="W78" s="111"/>
      <c r="X78" s="114"/>
      <c r="Y78" s="12"/>
      <c r="Z78" s="196"/>
      <c r="AA78" s="299"/>
      <c r="AB78" s="300"/>
      <c r="AC78" s="12"/>
      <c r="AD78" s="196"/>
      <c r="AE78" s="115"/>
      <c r="AF78" s="108"/>
      <c r="AG78" s="313"/>
    </row>
    <row r="79" spans="1:33" ht="15.75" customHeight="1">
      <c r="A79" s="316"/>
      <c r="B79" s="98"/>
      <c r="C79" s="297"/>
      <c r="D79" s="298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8"/>
      <c r="S79" s="46"/>
      <c r="T79" s="118"/>
      <c r="U79" s="109"/>
      <c r="V79" s="110"/>
      <c r="W79" s="111"/>
      <c r="X79" s="114"/>
      <c r="Y79" s="12"/>
      <c r="Z79" s="196"/>
      <c r="AA79" s="299"/>
      <c r="AB79" s="300"/>
      <c r="AC79" s="12"/>
      <c r="AD79" s="196"/>
      <c r="AE79" s="115"/>
      <c r="AF79" s="108"/>
      <c r="AG79" s="313"/>
    </row>
    <row r="80" spans="1:33" ht="15.75" customHeight="1">
      <c r="A80" s="316"/>
      <c r="B80" s="98"/>
      <c r="C80" s="297"/>
      <c r="D80" s="298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8"/>
      <c r="S80" s="46"/>
      <c r="T80" s="118"/>
      <c r="U80" s="109"/>
      <c r="V80" s="110"/>
      <c r="W80" s="111"/>
      <c r="X80" s="114"/>
      <c r="Y80" s="12"/>
      <c r="Z80" s="196"/>
      <c r="AA80" s="299"/>
      <c r="AB80" s="300"/>
      <c r="AC80" s="12"/>
      <c r="AD80" s="196"/>
      <c r="AE80" s="115"/>
      <c r="AF80" s="108"/>
      <c r="AG80" s="313"/>
    </row>
    <row r="81" spans="1:33" ht="15.75" customHeight="1">
      <c r="A81" s="316"/>
      <c r="B81" s="98"/>
      <c r="C81" s="297"/>
      <c r="D81" s="298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8"/>
      <c r="S81" s="46"/>
      <c r="T81" s="118"/>
      <c r="U81" s="109"/>
      <c r="V81" s="110"/>
      <c r="W81" s="111"/>
      <c r="X81" s="125"/>
      <c r="Y81" s="12"/>
      <c r="Z81" s="196"/>
      <c r="AA81" s="299"/>
      <c r="AB81" s="300"/>
      <c r="AC81" s="12"/>
      <c r="AD81" s="196"/>
      <c r="AE81" s="115"/>
      <c r="AF81" s="108"/>
      <c r="AG81" s="313"/>
    </row>
    <row r="82" spans="1:33" ht="15.75" customHeight="1">
      <c r="A82" s="316"/>
      <c r="B82" s="98"/>
      <c r="C82" s="297"/>
      <c r="D82" s="298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8"/>
      <c r="S82" s="46"/>
      <c r="T82" s="118"/>
      <c r="U82" s="109"/>
      <c r="V82" s="110"/>
      <c r="W82" s="111"/>
      <c r="X82" s="125"/>
      <c r="Y82" s="12"/>
      <c r="Z82" s="196"/>
      <c r="AA82" s="299"/>
      <c r="AB82" s="300"/>
      <c r="AC82" s="12"/>
      <c r="AD82" s="196"/>
      <c r="AE82" s="115"/>
      <c r="AF82" s="108"/>
      <c r="AG82" s="313"/>
    </row>
    <row r="83" spans="1:33" ht="15.75" customHeight="1">
      <c r="A83" s="316"/>
      <c r="B83" s="98"/>
      <c r="C83" s="297"/>
      <c r="D83" s="298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8"/>
      <c r="S83" s="46"/>
      <c r="T83" s="118"/>
      <c r="U83" s="109"/>
      <c r="V83" s="110"/>
      <c r="W83" s="111"/>
      <c r="X83" s="125"/>
      <c r="Y83" s="12"/>
      <c r="Z83" s="196"/>
      <c r="AA83" s="299"/>
      <c r="AB83" s="300"/>
      <c r="AC83" s="12"/>
      <c r="AD83" s="196"/>
      <c r="AE83" s="115"/>
      <c r="AF83" s="108"/>
      <c r="AG83" s="313"/>
    </row>
    <row r="84" spans="1:33" ht="15.75" customHeight="1">
      <c r="A84" s="316"/>
      <c r="B84" s="98"/>
      <c r="C84" s="297"/>
      <c r="D84" s="298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8"/>
      <c r="S84" s="46"/>
      <c r="T84" s="118"/>
      <c r="U84" s="109"/>
      <c r="V84" s="110"/>
      <c r="W84" s="111"/>
      <c r="X84" s="125"/>
      <c r="Y84" s="12"/>
      <c r="Z84" s="196"/>
      <c r="AA84" s="299"/>
      <c r="AB84" s="300"/>
      <c r="AC84" s="12"/>
      <c r="AD84" s="196"/>
      <c r="AE84" s="115"/>
      <c r="AF84" s="108"/>
      <c r="AG84" s="313"/>
    </row>
    <row r="85" spans="1:33" ht="15.75" customHeight="1">
      <c r="A85" s="316"/>
      <c r="B85" s="98"/>
      <c r="C85" s="297"/>
      <c r="D85" s="298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8"/>
      <c r="S85" s="46"/>
      <c r="T85" s="118"/>
      <c r="U85" s="109"/>
      <c r="V85" s="110"/>
      <c r="W85" s="111"/>
      <c r="X85" s="125"/>
      <c r="Y85" s="12"/>
      <c r="Z85" s="196"/>
      <c r="AA85" s="299"/>
      <c r="AB85" s="300"/>
      <c r="AC85" s="12"/>
      <c r="AD85" s="196"/>
      <c r="AE85" s="115"/>
      <c r="AF85" s="108"/>
      <c r="AG85" s="313"/>
    </row>
    <row r="86" spans="1:33" ht="15.75" customHeight="1">
      <c r="A86" s="316"/>
      <c r="B86" s="98"/>
      <c r="C86" s="297"/>
      <c r="D86" s="298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8"/>
      <c r="S86" s="46"/>
      <c r="T86" s="118"/>
      <c r="U86" s="109"/>
      <c r="V86" s="110"/>
      <c r="W86" s="111"/>
      <c r="X86" s="125"/>
      <c r="Y86" s="12"/>
      <c r="Z86" s="196"/>
      <c r="AA86" s="299"/>
      <c r="AB86" s="300"/>
      <c r="AC86" s="12"/>
      <c r="AD86" s="196"/>
      <c r="AE86" s="115"/>
      <c r="AF86" s="108"/>
      <c r="AG86" s="313"/>
    </row>
    <row r="87" spans="1:33" ht="15.75" customHeight="1">
      <c r="A87" s="316"/>
      <c r="B87" s="98"/>
      <c r="C87" s="297"/>
      <c r="D87" s="298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8"/>
      <c r="S87" s="46"/>
      <c r="T87" s="118"/>
      <c r="U87" s="109"/>
      <c r="V87" s="110"/>
      <c r="W87" s="111"/>
      <c r="X87" s="125"/>
      <c r="Y87" s="12"/>
      <c r="Z87" s="196"/>
      <c r="AA87" s="299"/>
      <c r="AB87" s="300"/>
      <c r="AC87" s="12"/>
      <c r="AD87" s="196"/>
      <c r="AE87" s="115"/>
      <c r="AF87" s="108"/>
      <c r="AG87" s="313"/>
    </row>
    <row r="88" spans="1:33" ht="15.75" customHeight="1">
      <c r="A88" s="316"/>
      <c r="B88" s="161"/>
      <c r="C88" s="297"/>
      <c r="D88" s="298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8"/>
      <c r="S88" s="117"/>
      <c r="T88" s="118"/>
      <c r="U88" s="128"/>
      <c r="V88" s="129"/>
      <c r="W88" s="124"/>
      <c r="X88" s="125"/>
      <c r="Y88" s="12"/>
      <c r="Z88" s="196"/>
      <c r="AA88" s="299"/>
      <c r="AB88" s="300"/>
      <c r="AC88" s="12"/>
      <c r="AD88" s="196"/>
      <c r="AE88" s="163"/>
      <c r="AF88" s="123"/>
      <c r="AG88" s="313"/>
    </row>
    <row r="89" spans="1:33" ht="15.75" customHeight="1" thickBot="1">
      <c r="A89" s="317"/>
      <c r="B89" s="131" t="s">
        <v>115</v>
      </c>
      <c r="C89" s="294"/>
      <c r="D89" s="294"/>
      <c r="E89" s="132"/>
      <c r="F89" s="165"/>
      <c r="G89" s="133"/>
      <c r="H89" s="67"/>
      <c r="I89" s="134">
        <f t="shared" ref="I89:J89" si="37">AVERAGE(I73:I88)</f>
        <v>5.75</v>
      </c>
      <c r="J89" s="135">
        <f t="shared" si="37"/>
        <v>2886.5</v>
      </c>
      <c r="K89" s="136">
        <f t="shared" ref="K89" si="38">J89/I89</f>
        <v>502</v>
      </c>
      <c r="L89" s="134">
        <f t="shared" ref="L89:M89" si="39">AVERAGE(L73:L88)</f>
        <v>5.75</v>
      </c>
      <c r="M89" s="135">
        <f t="shared" si="39"/>
        <v>2560.1843227690142</v>
      </c>
      <c r="N89" s="136">
        <f>M89/L89</f>
        <v>445.24944743808942</v>
      </c>
      <c r="O89" s="137">
        <f>L89-I89</f>
        <v>0</v>
      </c>
      <c r="P89" s="138">
        <f>N89-K89</f>
        <v>-56.750552561910581</v>
      </c>
      <c r="Q89" s="139">
        <f>N89/K89</f>
        <v>0.88695109051412235</v>
      </c>
      <c r="R89" s="309"/>
      <c r="S89" s="140">
        <v>0.20833333333333334</v>
      </c>
      <c r="T89" s="141">
        <v>0.48258101851851842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5"/>
      <c r="AB89" s="296"/>
      <c r="AC89" s="177">
        <f>SUM(AC73:AC88)</f>
        <v>0</v>
      </c>
      <c r="AD89" s="189">
        <f>SUM(AD73:AD88)</f>
        <v>0</v>
      </c>
      <c r="AE89" s="166">
        <f>M89-J89</f>
        <v>-326.31567723098578</v>
      </c>
      <c r="AF89" s="139">
        <f>M89/J89</f>
        <v>0.88695109051412235</v>
      </c>
      <c r="AG89" s="314"/>
    </row>
    <row r="90" spans="1:33" ht="15.75" customHeight="1">
      <c r="A90" s="301" t="s">
        <v>120</v>
      </c>
      <c r="B90" s="112" t="s">
        <v>188</v>
      </c>
      <c r="C90" s="305" t="s">
        <v>201</v>
      </c>
      <c r="D90" s="306"/>
      <c r="E90" s="145">
        <v>15.51</v>
      </c>
      <c r="F90" s="95">
        <v>1912</v>
      </c>
      <c r="G90" s="146">
        <f t="shared" ref="G90:G91" si="40">E90*F90</f>
        <v>29655.119999999999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3803.3298834130496</v>
      </c>
      <c r="N90" s="150">
        <f>M90/L90</f>
        <v>633.8883139021749</v>
      </c>
      <c r="O90" s="152">
        <f>L90-I90</f>
        <v>0</v>
      </c>
      <c r="P90" s="153">
        <f>N90-K90</f>
        <v>-66.1116860978251</v>
      </c>
      <c r="Q90" s="154">
        <f>N90/K90</f>
        <v>0.9055547341459641</v>
      </c>
      <c r="R90" s="307">
        <f>Q106</f>
        <v>0.90558040185190247</v>
      </c>
      <c r="S90" s="155">
        <v>0.25</v>
      </c>
      <c r="T90" s="156">
        <v>0.2709375</v>
      </c>
      <c r="U90" s="157"/>
      <c r="V90" s="158">
        <v>30.163042259445564</v>
      </c>
      <c r="W90" s="156"/>
      <c r="X90" s="167"/>
      <c r="Y90" s="12"/>
      <c r="Z90" s="196"/>
      <c r="AA90" s="310"/>
      <c r="AB90" s="311"/>
      <c r="AC90" s="12"/>
      <c r="AD90" s="196"/>
      <c r="AE90" s="113">
        <f>M90-J90</f>
        <v>-396.67011658695037</v>
      </c>
      <c r="AF90" s="154">
        <f>M90/J90</f>
        <v>0.90555473414596421</v>
      </c>
      <c r="AG90" s="312">
        <f>AF106</f>
        <v>0.90558040185190236</v>
      </c>
    </row>
    <row r="91" spans="1:33" ht="15.75" customHeight="1">
      <c r="A91" s="302"/>
      <c r="B91" s="98" t="s">
        <v>188</v>
      </c>
      <c r="C91" s="297" t="s">
        <v>202</v>
      </c>
      <c r="D91" s="298"/>
      <c r="E91" s="99">
        <v>15.01</v>
      </c>
      <c r="F91" s="100">
        <v>2020</v>
      </c>
      <c r="G91" s="101">
        <f t="shared" si="40"/>
        <v>30320.2</v>
      </c>
      <c r="H91" s="26"/>
      <c r="I91" s="102">
        <v>6</v>
      </c>
      <c r="J91" s="103">
        <v>4200</v>
      </c>
      <c r="K91" s="104">
        <f t="shared" si="32"/>
        <v>700</v>
      </c>
      <c r="L91" s="105">
        <v>6</v>
      </c>
      <c r="M91" s="103">
        <f>F91/V91*60</f>
        <v>3803.5454921429305</v>
      </c>
      <c r="N91" s="104">
        <f>M91/L91</f>
        <v>633.92424869048841</v>
      </c>
      <c r="O91" s="106">
        <f>L91-I91</f>
        <v>0</v>
      </c>
      <c r="P91" s="107">
        <f>N91-K91</f>
        <v>-66.075751309511588</v>
      </c>
      <c r="Q91" s="108">
        <f>N91/K91</f>
        <v>0.90560606955784062</v>
      </c>
      <c r="R91" s="308"/>
      <c r="S91" s="46">
        <v>0.27430555555555552</v>
      </c>
      <c r="T91" s="47">
        <v>0.2964236111111111</v>
      </c>
      <c r="U91" s="109">
        <v>4.8499999999999588</v>
      </c>
      <c r="V91" s="110">
        <v>31.865006018822587</v>
      </c>
      <c r="W91" s="111"/>
      <c r="X91" s="13"/>
      <c r="Y91" s="12"/>
      <c r="Z91" s="196"/>
      <c r="AA91" s="299"/>
      <c r="AB91" s="300"/>
      <c r="AC91" s="12"/>
      <c r="AD91" s="196"/>
      <c r="AE91" s="115">
        <f>M91-J91</f>
        <v>-396.45450785706953</v>
      </c>
      <c r="AF91" s="108">
        <f>M91/J91</f>
        <v>0.90560606955784062</v>
      </c>
      <c r="AG91" s="313"/>
    </row>
    <row r="92" spans="1:33" ht="15.75" customHeight="1">
      <c r="A92" s="302"/>
      <c r="B92" s="98"/>
      <c r="C92" s="297"/>
      <c r="D92" s="298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8"/>
      <c r="S92" s="46"/>
      <c r="T92" s="47"/>
      <c r="U92" s="109"/>
      <c r="V92" s="110"/>
      <c r="W92" s="111"/>
      <c r="X92" s="13"/>
      <c r="Y92" s="12"/>
      <c r="Z92" s="196"/>
      <c r="AA92" s="299"/>
      <c r="AB92" s="300"/>
      <c r="AC92" s="12"/>
      <c r="AD92" s="196"/>
      <c r="AE92" s="115"/>
      <c r="AF92" s="108"/>
      <c r="AG92" s="313"/>
    </row>
    <row r="93" spans="1:33" ht="15.75" customHeight="1">
      <c r="A93" s="302"/>
      <c r="B93" s="98"/>
      <c r="C93" s="297"/>
      <c r="D93" s="298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8"/>
      <c r="S93" s="46"/>
      <c r="T93" s="47"/>
      <c r="U93" s="109"/>
      <c r="V93" s="110"/>
      <c r="W93" s="111"/>
      <c r="X93" s="114"/>
      <c r="Y93" s="12"/>
      <c r="Z93" s="196"/>
      <c r="AA93" s="299"/>
      <c r="AB93" s="300"/>
      <c r="AC93" s="12"/>
      <c r="AD93" s="196"/>
      <c r="AE93" s="115"/>
      <c r="AF93" s="108"/>
      <c r="AG93" s="313"/>
    </row>
    <row r="94" spans="1:33" ht="15.75" customHeight="1">
      <c r="A94" s="303"/>
      <c r="B94" s="98"/>
      <c r="C94" s="297"/>
      <c r="D94" s="298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8"/>
      <c r="S94" s="46"/>
      <c r="T94" s="47"/>
      <c r="U94" s="109"/>
      <c r="V94" s="110"/>
      <c r="W94" s="111"/>
      <c r="X94" s="13"/>
      <c r="Y94" s="12"/>
      <c r="Z94" s="196"/>
      <c r="AA94" s="299"/>
      <c r="AB94" s="300"/>
      <c r="AC94" s="12"/>
      <c r="AD94" s="196"/>
      <c r="AE94" s="115"/>
      <c r="AF94" s="108"/>
      <c r="AG94" s="313"/>
    </row>
    <row r="95" spans="1:33" ht="15.75" customHeight="1">
      <c r="A95" s="303"/>
      <c r="B95" s="98"/>
      <c r="C95" s="297"/>
      <c r="D95" s="298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8"/>
      <c r="S95" s="46"/>
      <c r="T95" s="118"/>
      <c r="U95" s="109"/>
      <c r="V95" s="110"/>
      <c r="W95" s="111"/>
      <c r="X95" s="49"/>
      <c r="Y95" s="12"/>
      <c r="Z95" s="196"/>
      <c r="AA95" s="299"/>
      <c r="AB95" s="300"/>
      <c r="AC95" s="12"/>
      <c r="AD95" s="196"/>
      <c r="AE95" s="115"/>
      <c r="AF95" s="108"/>
      <c r="AG95" s="313"/>
    </row>
    <row r="96" spans="1:33" ht="15.75" customHeight="1">
      <c r="A96" s="303"/>
      <c r="B96" s="98"/>
      <c r="C96" s="297"/>
      <c r="D96" s="298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8"/>
      <c r="S96" s="46"/>
      <c r="T96" s="118"/>
      <c r="U96" s="109"/>
      <c r="V96" s="110"/>
      <c r="W96" s="111"/>
      <c r="X96" s="114"/>
      <c r="Y96" s="12"/>
      <c r="Z96" s="196"/>
      <c r="AA96" s="299"/>
      <c r="AB96" s="300"/>
      <c r="AC96" s="12"/>
      <c r="AD96" s="196"/>
      <c r="AE96" s="115"/>
      <c r="AF96" s="108"/>
      <c r="AG96" s="313"/>
    </row>
    <row r="97" spans="1:33" ht="15.75" customHeight="1">
      <c r="A97" s="303"/>
      <c r="B97" s="98"/>
      <c r="C97" s="297"/>
      <c r="D97" s="298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8"/>
      <c r="S97" s="46"/>
      <c r="T97" s="118"/>
      <c r="U97" s="109"/>
      <c r="V97" s="110"/>
      <c r="W97" s="111"/>
      <c r="X97" s="114"/>
      <c r="Y97" s="12"/>
      <c r="Z97" s="196"/>
      <c r="AA97" s="299"/>
      <c r="AB97" s="300"/>
      <c r="AC97" s="12"/>
      <c r="AD97" s="196"/>
      <c r="AE97" s="115"/>
      <c r="AF97" s="108"/>
      <c r="AG97" s="313"/>
    </row>
    <row r="98" spans="1:33" ht="15.75" customHeight="1">
      <c r="A98" s="303"/>
      <c r="B98" s="98"/>
      <c r="C98" s="297"/>
      <c r="D98" s="298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8"/>
      <c r="S98" s="117"/>
      <c r="T98" s="118"/>
      <c r="U98" s="109"/>
      <c r="V98" s="129"/>
      <c r="W98" s="111"/>
      <c r="X98" s="114"/>
      <c r="Y98" s="12"/>
      <c r="Z98" s="196"/>
      <c r="AA98" s="299"/>
      <c r="AB98" s="300"/>
      <c r="AC98" s="12"/>
      <c r="AD98" s="196"/>
      <c r="AE98" s="115"/>
      <c r="AF98" s="108"/>
      <c r="AG98" s="313"/>
    </row>
    <row r="99" spans="1:33" ht="15.75" customHeight="1">
      <c r="A99" s="303"/>
      <c r="B99" s="98"/>
      <c r="C99" s="297"/>
      <c r="D99" s="298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8"/>
      <c r="S99" s="117"/>
      <c r="T99" s="118"/>
      <c r="U99" s="109"/>
      <c r="V99" s="129"/>
      <c r="W99" s="124"/>
      <c r="X99" s="125"/>
      <c r="Y99" s="12"/>
      <c r="Z99" s="196"/>
      <c r="AA99" s="299"/>
      <c r="AB99" s="300"/>
      <c r="AC99" s="12"/>
      <c r="AD99" s="196"/>
      <c r="AE99" s="115"/>
      <c r="AF99" s="108"/>
      <c r="AG99" s="313"/>
    </row>
    <row r="100" spans="1:33" ht="15.75" customHeight="1">
      <c r="A100" s="303"/>
      <c r="B100" s="98"/>
      <c r="C100" s="297"/>
      <c r="D100" s="298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8"/>
      <c r="S100" s="117"/>
      <c r="T100" s="118"/>
      <c r="U100" s="109"/>
      <c r="V100" s="129"/>
      <c r="W100" s="124"/>
      <c r="X100" s="125"/>
      <c r="Y100" s="12"/>
      <c r="Z100" s="196"/>
      <c r="AA100" s="299"/>
      <c r="AB100" s="300"/>
      <c r="AC100" s="12"/>
      <c r="AD100" s="196"/>
      <c r="AE100" s="115"/>
      <c r="AF100" s="108"/>
      <c r="AG100" s="313"/>
    </row>
    <row r="101" spans="1:33" ht="15.75" customHeight="1">
      <c r="A101" s="303"/>
      <c r="B101" s="98"/>
      <c r="C101" s="297"/>
      <c r="D101" s="298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8"/>
      <c r="S101" s="117"/>
      <c r="T101" s="118"/>
      <c r="U101" s="109"/>
      <c r="V101" s="129"/>
      <c r="W101" s="124"/>
      <c r="X101" s="125"/>
      <c r="Y101" s="12"/>
      <c r="Z101" s="196"/>
      <c r="AA101" s="299"/>
      <c r="AB101" s="300"/>
      <c r="AC101" s="12"/>
      <c r="AD101" s="196"/>
      <c r="AE101" s="115"/>
      <c r="AF101" s="108"/>
      <c r="AG101" s="313"/>
    </row>
    <row r="102" spans="1:33" ht="15.75" customHeight="1">
      <c r="A102" s="303"/>
      <c r="B102" s="98"/>
      <c r="C102" s="297"/>
      <c r="D102" s="298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8"/>
      <c r="S102" s="117"/>
      <c r="T102" s="118"/>
      <c r="U102" s="109"/>
      <c r="V102" s="129"/>
      <c r="W102" s="124"/>
      <c r="X102" s="125"/>
      <c r="Y102" s="12"/>
      <c r="Z102" s="196"/>
      <c r="AA102" s="299"/>
      <c r="AB102" s="300"/>
      <c r="AC102" s="12"/>
      <c r="AD102" s="196"/>
      <c r="AE102" s="115"/>
      <c r="AF102" s="108"/>
      <c r="AG102" s="313"/>
    </row>
    <row r="103" spans="1:33" ht="15.75" customHeight="1">
      <c r="A103" s="303"/>
      <c r="B103" s="98"/>
      <c r="C103" s="297"/>
      <c r="D103" s="298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8"/>
      <c r="S103" s="117"/>
      <c r="T103" s="118"/>
      <c r="U103" s="109"/>
      <c r="V103" s="129"/>
      <c r="W103" s="124"/>
      <c r="X103" s="125"/>
      <c r="Y103" s="12"/>
      <c r="Z103" s="196"/>
      <c r="AA103" s="299"/>
      <c r="AB103" s="300"/>
      <c r="AC103" s="12"/>
      <c r="AD103" s="196"/>
      <c r="AE103" s="115"/>
      <c r="AF103" s="108"/>
      <c r="AG103" s="313"/>
    </row>
    <row r="104" spans="1:33" ht="15.75" customHeight="1">
      <c r="A104" s="303"/>
      <c r="B104" s="98"/>
      <c r="C104" s="297"/>
      <c r="D104" s="298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8"/>
      <c r="S104" s="117"/>
      <c r="T104" s="118"/>
      <c r="U104" s="109"/>
      <c r="V104" s="129"/>
      <c r="W104" s="124"/>
      <c r="X104" s="125"/>
      <c r="Y104" s="12"/>
      <c r="Z104" s="196"/>
      <c r="AA104" s="299"/>
      <c r="AB104" s="300"/>
      <c r="AC104" s="12"/>
      <c r="AD104" s="196"/>
      <c r="AE104" s="115"/>
      <c r="AF104" s="108"/>
      <c r="AG104" s="313"/>
    </row>
    <row r="105" spans="1:33" ht="15.75" customHeight="1">
      <c r="A105" s="303"/>
      <c r="B105" s="98"/>
      <c r="C105" s="297"/>
      <c r="D105" s="298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8"/>
      <c r="S105" s="117"/>
      <c r="T105" s="118"/>
      <c r="U105" s="128"/>
      <c r="V105" s="129"/>
      <c r="W105" s="124"/>
      <c r="X105" s="125"/>
      <c r="Y105" s="12"/>
      <c r="Z105" s="196"/>
      <c r="AA105" s="299"/>
      <c r="AB105" s="300"/>
      <c r="AC105" s="12"/>
      <c r="AD105" s="196"/>
      <c r="AE105" s="163"/>
      <c r="AF105" s="123"/>
      <c r="AG105" s="313"/>
    </row>
    <row r="106" spans="1:33" ht="15.75" customHeight="1" thickBot="1">
      <c r="A106" s="304"/>
      <c r="B106" s="131" t="s">
        <v>115</v>
      </c>
      <c r="C106" s="294"/>
      <c r="D106" s="294"/>
      <c r="E106" s="132"/>
      <c r="F106" s="165"/>
      <c r="G106" s="133"/>
      <c r="H106" s="67"/>
      <c r="I106" s="134">
        <f t="shared" ref="I106:J106" si="41">AVERAGE(I90:I105)</f>
        <v>6</v>
      </c>
      <c r="J106" s="135">
        <f t="shared" si="41"/>
        <v>4200</v>
      </c>
      <c r="K106" s="136">
        <f t="shared" ref="K106" si="42">J106/I106</f>
        <v>700</v>
      </c>
      <c r="L106" s="134">
        <f t="shared" ref="L106:M106" si="43">AVERAGE(L90:L105)</f>
        <v>6</v>
      </c>
      <c r="M106" s="135">
        <f t="shared" si="43"/>
        <v>3803.43768777799</v>
      </c>
      <c r="N106" s="136">
        <f>M106/L106</f>
        <v>633.90628129633171</v>
      </c>
      <c r="O106" s="137">
        <f>L106-I106</f>
        <v>0</v>
      </c>
      <c r="P106" s="138">
        <f>N106-K106</f>
        <v>-66.093718703668287</v>
      </c>
      <c r="Q106" s="139">
        <f>N106/K106</f>
        <v>0.90558040185190247</v>
      </c>
      <c r="R106" s="309"/>
      <c r="S106" s="140">
        <v>0.25</v>
      </c>
      <c r="T106" s="141">
        <v>0.2964236111111111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5"/>
      <c r="AB106" s="296"/>
      <c r="AC106" s="177">
        <f>SUM(AC90:AC105)</f>
        <v>0</v>
      </c>
      <c r="AD106" s="189">
        <f>SUM(AD90:AD105)</f>
        <v>0</v>
      </c>
      <c r="AE106" s="166">
        <f>M106-J106</f>
        <v>-396.56231222200995</v>
      </c>
      <c r="AF106" s="139">
        <f>M106/J106</f>
        <v>0.90558040185190236</v>
      </c>
      <c r="AG106" s="314"/>
    </row>
    <row r="107" spans="1:33" ht="15.75" customHeight="1">
      <c r="A107" s="315" t="s">
        <v>189</v>
      </c>
      <c r="B107" s="144" t="s">
        <v>169</v>
      </c>
      <c r="C107" s="305" t="s">
        <v>198</v>
      </c>
      <c r="D107" s="306"/>
      <c r="E107" s="145">
        <v>58.17</v>
      </c>
      <c r="F107" s="95">
        <v>1378</v>
      </c>
      <c r="G107" s="146">
        <f t="shared" ref="G107:G109" si="44">E107*F107</f>
        <v>80158.260000000009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1805.2</v>
      </c>
      <c r="N107" s="150">
        <f>M107/L107</f>
        <v>106.18823529411765</v>
      </c>
      <c r="O107" s="152">
        <f>L107-I107</f>
        <v>-1</v>
      </c>
      <c r="P107" s="153">
        <f>N107-K107</f>
        <v>-4.9228758169934679</v>
      </c>
      <c r="Q107" s="154">
        <f>N107/K107</f>
        <v>0.95569411764705881</v>
      </c>
      <c r="R107" s="307">
        <f>Q123</f>
        <v>0.95119940476190479</v>
      </c>
      <c r="S107" s="155">
        <v>0.70833333333333337</v>
      </c>
      <c r="T107" s="156">
        <v>0.7401388888888889</v>
      </c>
      <c r="U107" s="157"/>
      <c r="V107" s="158">
        <v>45.801019277642368</v>
      </c>
      <c r="W107" s="156"/>
      <c r="X107" s="167"/>
      <c r="Y107" s="194"/>
      <c r="Z107" s="195"/>
      <c r="AA107" s="310"/>
      <c r="AB107" s="311"/>
      <c r="AC107" s="194"/>
      <c r="AD107" s="195"/>
      <c r="AE107" s="113">
        <f>M107-J107</f>
        <v>-194.79999999999995</v>
      </c>
      <c r="AF107" s="154">
        <f>M107/J107</f>
        <v>0.90260000000000007</v>
      </c>
      <c r="AG107" s="312">
        <f>AF123</f>
        <v>0.90283333333333338</v>
      </c>
    </row>
    <row r="108" spans="1:33" ht="15.75" customHeight="1">
      <c r="A108" s="316"/>
      <c r="B108" s="161" t="s">
        <v>169</v>
      </c>
      <c r="C108" s="297" t="s">
        <v>190</v>
      </c>
      <c r="D108" s="298"/>
      <c r="E108" s="99">
        <v>50.67</v>
      </c>
      <c r="F108" s="100">
        <v>1598</v>
      </c>
      <c r="G108" s="101">
        <f t="shared" si="44"/>
        <v>80970.66</v>
      </c>
      <c r="H108" s="26"/>
      <c r="I108" s="102">
        <v>20</v>
      </c>
      <c r="J108" s="103">
        <v>2000</v>
      </c>
      <c r="K108" s="104">
        <f t="shared" ref="K108:K109" si="45">J108/I108</f>
        <v>100</v>
      </c>
      <c r="L108" s="105">
        <v>19</v>
      </c>
      <c r="M108" s="103">
        <f>F108/V108*60</f>
        <v>1805.4</v>
      </c>
      <c r="N108" s="104">
        <f>M108/L108</f>
        <v>95.021052631578954</v>
      </c>
      <c r="O108" s="106">
        <f>L108-I108</f>
        <v>-1</v>
      </c>
      <c r="P108" s="107">
        <f>N108-K108</f>
        <v>-4.9789473684210463</v>
      </c>
      <c r="Q108" s="108">
        <f>N108/K108</f>
        <v>0.95021052631578951</v>
      </c>
      <c r="R108" s="308"/>
      <c r="S108" s="46">
        <v>0.74305555555555558</v>
      </c>
      <c r="T108" s="47">
        <v>0.77993055555555557</v>
      </c>
      <c r="U108" s="109">
        <v>5</v>
      </c>
      <c r="V108" s="110">
        <v>53.10734463276836</v>
      </c>
      <c r="W108" s="111"/>
      <c r="X108" s="114"/>
      <c r="Y108" s="12"/>
      <c r="Z108" s="196"/>
      <c r="AA108" s="299"/>
      <c r="AB108" s="300"/>
      <c r="AC108" s="12"/>
      <c r="AD108" s="196"/>
      <c r="AE108" s="115">
        <f>M108-J108</f>
        <v>-194.59999999999991</v>
      </c>
      <c r="AF108" s="108">
        <f>M108/J108</f>
        <v>0.90270000000000006</v>
      </c>
      <c r="AG108" s="313"/>
    </row>
    <row r="109" spans="1:33" ht="15.75" customHeight="1">
      <c r="A109" s="316"/>
      <c r="B109" s="161" t="s">
        <v>169</v>
      </c>
      <c r="C109" s="297" t="s">
        <v>205</v>
      </c>
      <c r="D109" s="298"/>
      <c r="E109" s="99">
        <v>57.3</v>
      </c>
      <c r="F109" s="100">
        <v>1067</v>
      </c>
      <c r="G109" s="101">
        <f t="shared" si="44"/>
        <v>61139.1</v>
      </c>
      <c r="H109" s="26"/>
      <c r="I109" s="102">
        <v>21</v>
      </c>
      <c r="J109" s="103">
        <v>2000</v>
      </c>
      <c r="K109" s="104">
        <f t="shared" si="45"/>
        <v>95.238095238095241</v>
      </c>
      <c r="L109" s="105">
        <v>20</v>
      </c>
      <c r="M109" s="103">
        <f>F109/V109*60</f>
        <v>1806.4</v>
      </c>
      <c r="N109" s="104">
        <f>M109/L109</f>
        <v>90.320000000000007</v>
      </c>
      <c r="O109" s="106">
        <f>L109-I109</f>
        <v>-1</v>
      </c>
      <c r="P109" s="107">
        <f>N109-K109</f>
        <v>-4.9180952380952334</v>
      </c>
      <c r="Q109" s="108">
        <f>N109/K109</f>
        <v>0.94836000000000009</v>
      </c>
      <c r="R109" s="308"/>
      <c r="S109" s="46">
        <v>0.78333333333333333</v>
      </c>
      <c r="T109" s="47">
        <v>0.80793981481481481</v>
      </c>
      <c r="U109" s="109">
        <v>4.8999999999999666</v>
      </c>
      <c r="V109" s="110">
        <v>35.440655447298489</v>
      </c>
      <c r="W109" s="111"/>
      <c r="X109" s="114"/>
      <c r="Y109" s="12"/>
      <c r="Z109" s="196"/>
      <c r="AA109" s="299"/>
      <c r="AB109" s="300"/>
      <c r="AC109" s="12"/>
      <c r="AD109" s="196"/>
      <c r="AE109" s="115">
        <f>M109-J109</f>
        <v>-193.59999999999991</v>
      </c>
      <c r="AF109" s="108">
        <f>M109/J109</f>
        <v>0.9032</v>
      </c>
      <c r="AG109" s="313"/>
    </row>
    <row r="110" spans="1:33" ht="15.75" customHeight="1">
      <c r="A110" s="316"/>
      <c r="B110" s="161"/>
      <c r="C110" s="297"/>
      <c r="D110" s="298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8"/>
      <c r="S110" s="46"/>
      <c r="T110" s="47"/>
      <c r="U110" s="109"/>
      <c r="V110" s="110"/>
      <c r="W110" s="111"/>
      <c r="X110" s="114"/>
      <c r="Y110" s="12"/>
      <c r="Z110" s="196"/>
      <c r="AA110" s="299"/>
      <c r="AB110" s="300"/>
      <c r="AC110" s="12"/>
      <c r="AD110" s="196"/>
      <c r="AE110" s="115"/>
      <c r="AF110" s="108"/>
      <c r="AG110" s="313"/>
    </row>
    <row r="111" spans="1:33" ht="15.75" customHeight="1">
      <c r="A111" s="316"/>
      <c r="B111" s="161"/>
      <c r="C111" s="297"/>
      <c r="D111" s="298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8"/>
      <c r="S111" s="46"/>
      <c r="T111" s="47"/>
      <c r="U111" s="109"/>
      <c r="V111" s="110"/>
      <c r="W111" s="111"/>
      <c r="X111" s="114"/>
      <c r="Y111" s="12"/>
      <c r="Z111" s="196"/>
      <c r="AA111" s="299"/>
      <c r="AB111" s="300"/>
      <c r="AC111" s="12"/>
      <c r="AD111" s="196"/>
      <c r="AE111" s="115"/>
      <c r="AF111" s="108"/>
      <c r="AG111" s="313"/>
    </row>
    <row r="112" spans="1:33" ht="15.75" customHeight="1">
      <c r="A112" s="316"/>
      <c r="B112" s="161"/>
      <c r="C112" s="297"/>
      <c r="D112" s="298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8"/>
      <c r="S112" s="46"/>
      <c r="T112" s="118"/>
      <c r="U112" s="109"/>
      <c r="V112" s="110"/>
      <c r="W112" s="111"/>
      <c r="X112" s="114"/>
      <c r="Y112" s="12"/>
      <c r="Z112" s="196"/>
      <c r="AA112" s="299"/>
      <c r="AB112" s="300"/>
      <c r="AC112" s="12"/>
      <c r="AD112" s="196"/>
      <c r="AE112" s="115"/>
      <c r="AF112" s="108"/>
      <c r="AG112" s="313"/>
    </row>
    <row r="113" spans="1:33" ht="15.75" customHeight="1">
      <c r="A113" s="316"/>
      <c r="B113" s="161"/>
      <c r="C113" s="297"/>
      <c r="D113" s="298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8"/>
      <c r="S113" s="117"/>
      <c r="T113" s="118"/>
      <c r="U113" s="109"/>
      <c r="V113" s="110"/>
      <c r="W113" s="118"/>
      <c r="X113" s="187"/>
      <c r="Y113" s="12"/>
      <c r="Z113" s="196"/>
      <c r="AA113" s="299"/>
      <c r="AB113" s="300"/>
      <c r="AC113" s="12"/>
      <c r="AD113" s="196"/>
      <c r="AE113" s="115"/>
      <c r="AF113" s="108"/>
      <c r="AG113" s="313"/>
    </row>
    <row r="114" spans="1:33" ht="15.75" customHeight="1">
      <c r="A114" s="316"/>
      <c r="B114" s="161"/>
      <c r="C114" s="297"/>
      <c r="D114" s="298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8"/>
      <c r="S114" s="117"/>
      <c r="T114" s="118"/>
      <c r="U114" s="109"/>
      <c r="V114" s="110"/>
      <c r="W114" s="118"/>
      <c r="X114" s="187"/>
      <c r="Y114" s="12"/>
      <c r="Z114" s="196"/>
      <c r="AA114" s="299"/>
      <c r="AB114" s="300"/>
      <c r="AC114" s="12"/>
      <c r="AD114" s="196"/>
      <c r="AE114" s="115"/>
      <c r="AF114" s="108"/>
      <c r="AG114" s="313"/>
    </row>
    <row r="115" spans="1:33" ht="15.75" customHeight="1">
      <c r="A115" s="316"/>
      <c r="B115" s="161"/>
      <c r="C115" s="297"/>
      <c r="D115" s="298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8"/>
      <c r="S115" s="117"/>
      <c r="T115" s="118"/>
      <c r="U115" s="109"/>
      <c r="V115" s="110"/>
      <c r="W115" s="118"/>
      <c r="X115" s="187"/>
      <c r="Y115" s="12"/>
      <c r="Z115" s="196"/>
      <c r="AA115" s="299"/>
      <c r="AB115" s="300"/>
      <c r="AC115" s="12"/>
      <c r="AD115" s="196"/>
      <c r="AE115" s="115"/>
      <c r="AF115" s="108"/>
      <c r="AG115" s="313"/>
    </row>
    <row r="116" spans="1:33" ht="15.75" customHeight="1">
      <c r="A116" s="316"/>
      <c r="B116" s="161"/>
      <c r="C116" s="297"/>
      <c r="D116" s="298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8"/>
      <c r="S116" s="117"/>
      <c r="T116" s="118"/>
      <c r="U116" s="109"/>
      <c r="V116" s="110"/>
      <c r="W116" s="118"/>
      <c r="X116" s="187"/>
      <c r="Y116" s="12"/>
      <c r="Z116" s="196"/>
      <c r="AA116" s="299"/>
      <c r="AB116" s="300"/>
      <c r="AC116" s="12"/>
      <c r="AD116" s="196"/>
      <c r="AE116" s="115"/>
      <c r="AF116" s="108"/>
      <c r="AG116" s="313"/>
    </row>
    <row r="117" spans="1:33" ht="15.75" customHeight="1">
      <c r="A117" s="316"/>
      <c r="B117" s="161"/>
      <c r="C117" s="297"/>
      <c r="D117" s="298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8"/>
      <c r="S117" s="117"/>
      <c r="T117" s="118"/>
      <c r="U117" s="109"/>
      <c r="V117" s="110"/>
      <c r="W117" s="118"/>
      <c r="X117" s="187"/>
      <c r="Y117" s="12"/>
      <c r="Z117" s="196"/>
      <c r="AA117" s="299"/>
      <c r="AB117" s="300"/>
      <c r="AC117" s="12"/>
      <c r="AD117" s="196"/>
      <c r="AE117" s="115"/>
      <c r="AF117" s="108"/>
      <c r="AG117" s="313"/>
    </row>
    <row r="118" spans="1:33" ht="15.75" customHeight="1">
      <c r="A118" s="316"/>
      <c r="B118" s="161"/>
      <c r="C118" s="297"/>
      <c r="D118" s="298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8"/>
      <c r="S118" s="117"/>
      <c r="T118" s="118"/>
      <c r="U118" s="109"/>
      <c r="V118" s="110"/>
      <c r="W118" s="118"/>
      <c r="X118" s="187"/>
      <c r="Y118" s="12"/>
      <c r="Z118" s="196"/>
      <c r="AA118" s="299"/>
      <c r="AB118" s="300"/>
      <c r="AC118" s="12"/>
      <c r="AD118" s="196"/>
      <c r="AE118" s="115"/>
      <c r="AF118" s="108"/>
      <c r="AG118" s="313"/>
    </row>
    <row r="119" spans="1:33" ht="15.75" customHeight="1">
      <c r="A119" s="316"/>
      <c r="B119" s="161"/>
      <c r="C119" s="297"/>
      <c r="D119" s="298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8"/>
      <c r="S119" s="117"/>
      <c r="T119" s="118"/>
      <c r="U119" s="109"/>
      <c r="V119" s="110"/>
      <c r="W119" s="118"/>
      <c r="X119" s="187"/>
      <c r="Y119" s="12"/>
      <c r="Z119" s="196"/>
      <c r="AA119" s="299"/>
      <c r="AB119" s="300"/>
      <c r="AC119" s="12"/>
      <c r="AD119" s="196"/>
      <c r="AE119" s="115"/>
      <c r="AF119" s="108"/>
      <c r="AG119" s="313"/>
    </row>
    <row r="120" spans="1:33" ht="15.75" customHeight="1">
      <c r="A120" s="316"/>
      <c r="B120" s="161"/>
      <c r="C120" s="297"/>
      <c r="D120" s="298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8"/>
      <c r="S120" s="117"/>
      <c r="T120" s="118"/>
      <c r="U120" s="109"/>
      <c r="V120" s="110"/>
      <c r="W120" s="118"/>
      <c r="X120" s="187"/>
      <c r="Y120" s="12"/>
      <c r="Z120" s="196"/>
      <c r="AA120" s="299"/>
      <c r="AB120" s="300"/>
      <c r="AC120" s="12"/>
      <c r="AD120" s="196"/>
      <c r="AE120" s="115"/>
      <c r="AF120" s="108"/>
      <c r="AG120" s="313"/>
    </row>
    <row r="121" spans="1:33" ht="15.75" customHeight="1">
      <c r="A121" s="316"/>
      <c r="B121" s="161"/>
      <c r="C121" s="297"/>
      <c r="D121" s="298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8"/>
      <c r="S121" s="117"/>
      <c r="T121" s="118"/>
      <c r="U121" s="109"/>
      <c r="V121" s="110"/>
      <c r="W121" s="118"/>
      <c r="X121" s="187"/>
      <c r="Y121" s="12"/>
      <c r="Z121" s="196"/>
      <c r="AA121" s="299"/>
      <c r="AB121" s="300"/>
      <c r="AC121" s="12"/>
      <c r="AD121" s="196"/>
      <c r="AE121" s="115"/>
      <c r="AF121" s="108"/>
      <c r="AG121" s="313"/>
    </row>
    <row r="122" spans="1:33" ht="15.75" customHeight="1">
      <c r="A122" s="316"/>
      <c r="B122" s="161"/>
      <c r="C122" s="297"/>
      <c r="D122" s="298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8"/>
      <c r="S122" s="117"/>
      <c r="T122" s="118"/>
      <c r="U122" s="128"/>
      <c r="V122" s="129"/>
      <c r="W122" s="124"/>
      <c r="X122" s="125"/>
      <c r="Y122" s="12"/>
      <c r="Z122" s="196"/>
      <c r="AA122" s="299"/>
      <c r="AB122" s="300"/>
      <c r="AC122" s="12"/>
      <c r="AD122" s="196"/>
      <c r="AE122" s="163"/>
      <c r="AF122" s="123"/>
      <c r="AG122" s="313"/>
    </row>
    <row r="123" spans="1:33" ht="15.75" customHeight="1" thickBot="1">
      <c r="A123" s="317"/>
      <c r="B123" s="131" t="s">
        <v>115</v>
      </c>
      <c r="C123" s="294"/>
      <c r="D123" s="294"/>
      <c r="E123" s="132"/>
      <c r="F123" s="165"/>
      <c r="G123" s="133"/>
      <c r="H123" s="67"/>
      <c r="I123" s="134">
        <f t="shared" ref="I123:J123" si="46">AVERAGE(I107:I122)</f>
        <v>19.666666666666668</v>
      </c>
      <c r="J123" s="135">
        <f t="shared" si="46"/>
        <v>2000</v>
      </c>
      <c r="K123" s="136">
        <f t="shared" ref="K123" si="47">J123/I123</f>
        <v>101.69491525423729</v>
      </c>
      <c r="L123" s="134">
        <f t="shared" ref="L123:M123" si="48">AVERAGE(L107:L122)</f>
        <v>18.666666666666668</v>
      </c>
      <c r="M123" s="135">
        <f t="shared" si="48"/>
        <v>1805.6666666666667</v>
      </c>
      <c r="N123" s="136">
        <f>M123/L123</f>
        <v>96.732142857142861</v>
      </c>
      <c r="O123" s="137">
        <f>L123-I123</f>
        <v>-1</v>
      </c>
      <c r="P123" s="138">
        <f>N123-K123</f>
        <v>-4.962772397094426</v>
      </c>
      <c r="Q123" s="139">
        <f>N123/K123</f>
        <v>0.95119940476190479</v>
      </c>
      <c r="R123" s="309"/>
      <c r="S123" s="140">
        <v>0.70833333333333337</v>
      </c>
      <c r="T123" s="141">
        <v>0.80793981481481481</v>
      </c>
      <c r="U123" s="142"/>
      <c r="V123" s="164"/>
      <c r="W123" s="165"/>
      <c r="X123" s="136"/>
      <c r="Y123" s="177">
        <f t="shared" ref="Y123:Z123" si="49">SUM(Y107:Y122)</f>
        <v>0</v>
      </c>
      <c r="Z123" s="178">
        <f t="shared" si="49"/>
        <v>0</v>
      </c>
      <c r="AA123" s="295"/>
      <c r="AB123" s="296"/>
      <c r="AC123" s="177">
        <f t="shared" ref="AC123:AD123" si="50">SUM(AC107:AC122)</f>
        <v>0</v>
      </c>
      <c r="AD123" s="178">
        <f t="shared" si="50"/>
        <v>0</v>
      </c>
      <c r="AE123" s="166">
        <f>M123-J123</f>
        <v>-194.33333333333326</v>
      </c>
      <c r="AF123" s="139">
        <f>M123/J123</f>
        <v>0.90283333333333338</v>
      </c>
      <c r="AG123" s="314"/>
    </row>
    <row r="124" spans="1:33" ht="15.75" customHeight="1">
      <c r="A124" s="301" t="s">
        <v>179</v>
      </c>
      <c r="B124" s="144" t="s">
        <v>169</v>
      </c>
      <c r="C124" s="305" t="s">
        <v>181</v>
      </c>
      <c r="D124" s="306"/>
      <c r="E124" s="145">
        <v>56.87</v>
      </c>
      <c r="F124" s="157">
        <v>1340</v>
      </c>
      <c r="G124" s="146">
        <f t="shared" ref="G124:G126" si="51">E124*F124</f>
        <v>76205.8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1805.0185642727747</v>
      </c>
      <c r="N124" s="150">
        <f>M124/L124</f>
        <v>78.479068011859766</v>
      </c>
      <c r="O124" s="152">
        <f>L124-I124</f>
        <v>0</v>
      </c>
      <c r="P124" s="153">
        <f>N124-K124</f>
        <v>-8.4774537272706709</v>
      </c>
      <c r="Q124" s="154">
        <f>N124/K124</f>
        <v>0.90250928213638726</v>
      </c>
      <c r="R124" s="307">
        <f>Q140</f>
        <v>0.90264396510085587</v>
      </c>
      <c r="S124" s="155">
        <v>0.70833333333333337</v>
      </c>
      <c r="T124" s="156">
        <v>0.73925925925925928</v>
      </c>
      <c r="U124" s="157"/>
      <c r="V124" s="158">
        <v>44.542478172457145</v>
      </c>
      <c r="W124" s="95"/>
      <c r="X124" s="96"/>
      <c r="Y124" s="194"/>
      <c r="Z124" s="195"/>
      <c r="AA124" s="310"/>
      <c r="AB124" s="311"/>
      <c r="AC124" s="194"/>
      <c r="AD124" s="195"/>
      <c r="AE124" s="113">
        <f>M124-J124</f>
        <v>-194.98143572722529</v>
      </c>
      <c r="AF124" s="154">
        <f>M124/J124</f>
        <v>0.90250928213638737</v>
      </c>
      <c r="AG124" s="379">
        <f>AF140</f>
        <v>0.90264396510085587</v>
      </c>
    </row>
    <row r="125" spans="1:33" ht="15.75" customHeight="1">
      <c r="A125" s="302"/>
      <c r="B125" s="161" t="s">
        <v>169</v>
      </c>
      <c r="C125" s="297" t="s">
        <v>180</v>
      </c>
      <c r="D125" s="298"/>
      <c r="E125" s="99">
        <v>56.79</v>
      </c>
      <c r="F125" s="109">
        <v>1849</v>
      </c>
      <c r="G125" s="101">
        <f t="shared" si="51"/>
        <v>105004.70999999999</v>
      </c>
      <c r="H125" s="26"/>
      <c r="I125" s="102">
        <v>23</v>
      </c>
      <c r="J125" s="103">
        <v>2000</v>
      </c>
      <c r="K125" s="104">
        <f t="shared" ref="K125:K126" si="52">J125/I125</f>
        <v>86.956521739130437</v>
      </c>
      <c r="L125" s="105">
        <v>23</v>
      </c>
      <c r="M125" s="103">
        <f>F125/V125*60</f>
        <v>1801.9667199915475</v>
      </c>
      <c r="N125" s="104">
        <f>M125/L125</f>
        <v>78.346379130067277</v>
      </c>
      <c r="O125" s="106">
        <f>L125-I125</f>
        <v>0</v>
      </c>
      <c r="P125" s="107">
        <f>N125-K125</f>
        <v>-8.6101426090631605</v>
      </c>
      <c r="Q125" s="108">
        <f>N125/K125</f>
        <v>0.90098335999577361</v>
      </c>
      <c r="R125" s="308"/>
      <c r="S125" s="46">
        <v>0.74236111111111114</v>
      </c>
      <c r="T125" s="47">
        <v>0.78510416666666671</v>
      </c>
      <c r="U125" s="109">
        <v>5</v>
      </c>
      <c r="V125" s="110">
        <v>61.5660648829965</v>
      </c>
      <c r="W125" s="111"/>
      <c r="X125" s="114"/>
      <c r="Y125" s="12"/>
      <c r="Z125" s="196"/>
      <c r="AA125" s="299"/>
      <c r="AB125" s="300"/>
      <c r="AC125" s="12"/>
      <c r="AD125" s="196"/>
      <c r="AE125" s="115">
        <f>M125-J125</f>
        <v>-198.03328000845249</v>
      </c>
      <c r="AF125" s="108">
        <f>M125/J125</f>
        <v>0.90098335999577372</v>
      </c>
      <c r="AG125" s="380"/>
    </row>
    <row r="126" spans="1:33" ht="15.75" customHeight="1">
      <c r="A126" s="302"/>
      <c r="B126" s="161" t="s">
        <v>169</v>
      </c>
      <c r="C126" s="297" t="s">
        <v>220</v>
      </c>
      <c r="D126" s="298"/>
      <c r="E126" s="99">
        <v>47.6</v>
      </c>
      <c r="F126" s="109">
        <v>2189</v>
      </c>
      <c r="G126" s="101">
        <f t="shared" si="51"/>
        <v>104196.40000000001</v>
      </c>
      <c r="H126" s="26"/>
      <c r="I126" s="102">
        <v>23</v>
      </c>
      <c r="J126" s="103">
        <v>2000</v>
      </c>
      <c r="K126" s="104">
        <f t="shared" si="52"/>
        <v>86.956521739130437</v>
      </c>
      <c r="L126" s="105">
        <v>23</v>
      </c>
      <c r="M126" s="103">
        <f>F126/V126*60</f>
        <v>1808.8785063408134</v>
      </c>
      <c r="N126" s="104">
        <f>M126/L126</f>
        <v>78.646891580035359</v>
      </c>
      <c r="O126" s="106">
        <f>L126-I126</f>
        <v>0</v>
      </c>
      <c r="P126" s="107">
        <f>N126-K126</f>
        <v>-8.3096301590950787</v>
      </c>
      <c r="Q126" s="108">
        <f>N126/K126</f>
        <v>0.90443925317040663</v>
      </c>
      <c r="R126" s="308"/>
      <c r="S126" s="46">
        <v>0.78888888888888886</v>
      </c>
      <c r="T126" s="47">
        <v>0.83930555555555553</v>
      </c>
      <c r="U126" s="109">
        <v>5.4499999999998927</v>
      </c>
      <c r="V126" s="110">
        <v>72.608524862008636</v>
      </c>
      <c r="W126" s="111"/>
      <c r="X126" s="114"/>
      <c r="Y126" s="12"/>
      <c r="Z126" s="196"/>
      <c r="AA126" s="299"/>
      <c r="AB126" s="300"/>
      <c r="AC126" s="12"/>
      <c r="AD126" s="196"/>
      <c r="AE126" s="115">
        <f>M126-J126</f>
        <v>-191.12149365918663</v>
      </c>
      <c r="AF126" s="108">
        <f>M126/J126</f>
        <v>0.90443925317040663</v>
      </c>
      <c r="AG126" s="380"/>
    </row>
    <row r="127" spans="1:33" ht="15.75" customHeight="1">
      <c r="A127" s="302"/>
      <c r="B127" s="161"/>
      <c r="C127" s="297"/>
      <c r="D127" s="298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8"/>
      <c r="S127" s="46"/>
      <c r="T127" s="47"/>
      <c r="U127" s="109"/>
      <c r="V127" s="110"/>
      <c r="W127" s="111"/>
      <c r="X127" s="114"/>
      <c r="Y127" s="12"/>
      <c r="Z127" s="196"/>
      <c r="AA127" s="299"/>
      <c r="AB127" s="300"/>
      <c r="AC127" s="12"/>
      <c r="AD127" s="196"/>
      <c r="AE127" s="115"/>
      <c r="AF127" s="108"/>
      <c r="AG127" s="380"/>
    </row>
    <row r="128" spans="1:33" ht="15.75" customHeight="1">
      <c r="A128" s="303"/>
      <c r="B128" s="161"/>
      <c r="C128" s="297"/>
      <c r="D128" s="298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8"/>
      <c r="S128" s="46"/>
      <c r="T128" s="47"/>
      <c r="U128" s="109"/>
      <c r="V128" s="110"/>
      <c r="W128" s="111"/>
      <c r="X128" s="114"/>
      <c r="Y128" s="12"/>
      <c r="Z128" s="196"/>
      <c r="AA128" s="299"/>
      <c r="AB128" s="300"/>
      <c r="AC128" s="12"/>
      <c r="AD128" s="196"/>
      <c r="AE128" s="115"/>
      <c r="AF128" s="108"/>
      <c r="AG128" s="380"/>
    </row>
    <row r="129" spans="1:33" ht="15.75" customHeight="1">
      <c r="A129" s="303"/>
      <c r="B129" s="161"/>
      <c r="C129" s="297"/>
      <c r="D129" s="298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8"/>
      <c r="S129" s="46"/>
      <c r="T129" s="118"/>
      <c r="U129" s="109"/>
      <c r="V129" s="110"/>
      <c r="W129" s="111"/>
      <c r="X129" s="114"/>
      <c r="Y129" s="12"/>
      <c r="Z129" s="196"/>
      <c r="AA129" s="299"/>
      <c r="AB129" s="300"/>
      <c r="AC129" s="12"/>
      <c r="AD129" s="196"/>
      <c r="AE129" s="115"/>
      <c r="AF129" s="108"/>
      <c r="AG129" s="380"/>
    </row>
    <row r="130" spans="1:33" ht="15.75" customHeight="1">
      <c r="A130" s="303"/>
      <c r="B130" s="161"/>
      <c r="C130" s="297"/>
      <c r="D130" s="298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8"/>
      <c r="S130" s="46"/>
      <c r="T130" s="118"/>
      <c r="U130" s="109"/>
      <c r="V130" s="110"/>
      <c r="W130" s="111"/>
      <c r="X130" s="114"/>
      <c r="Y130" s="12"/>
      <c r="Z130" s="196"/>
      <c r="AA130" s="299"/>
      <c r="AB130" s="300"/>
      <c r="AC130" s="12"/>
      <c r="AD130" s="196"/>
      <c r="AE130" s="115"/>
      <c r="AF130" s="108"/>
      <c r="AG130" s="380"/>
    </row>
    <row r="131" spans="1:33" ht="15.75" customHeight="1">
      <c r="A131" s="303"/>
      <c r="B131" s="161"/>
      <c r="C131" s="297"/>
      <c r="D131" s="298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8"/>
      <c r="S131" s="46"/>
      <c r="T131" s="118"/>
      <c r="U131" s="109"/>
      <c r="V131" s="110"/>
      <c r="W131" s="111"/>
      <c r="X131" s="114"/>
      <c r="Y131" s="12"/>
      <c r="Z131" s="196"/>
      <c r="AA131" s="299"/>
      <c r="AB131" s="300"/>
      <c r="AC131" s="12"/>
      <c r="AD131" s="196"/>
      <c r="AE131" s="115"/>
      <c r="AF131" s="108"/>
      <c r="AG131" s="380"/>
    </row>
    <row r="132" spans="1:33" ht="15.75" customHeight="1">
      <c r="A132" s="303"/>
      <c r="B132" s="161"/>
      <c r="C132" s="297"/>
      <c r="D132" s="298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8"/>
      <c r="S132" s="46"/>
      <c r="T132" s="118"/>
      <c r="U132" s="109"/>
      <c r="V132" s="110"/>
      <c r="W132" s="111"/>
      <c r="X132" s="114"/>
      <c r="Y132" s="12"/>
      <c r="Z132" s="196"/>
      <c r="AA132" s="299"/>
      <c r="AB132" s="300"/>
      <c r="AC132" s="12"/>
      <c r="AD132" s="196"/>
      <c r="AE132" s="115"/>
      <c r="AF132" s="108"/>
      <c r="AG132" s="380"/>
    </row>
    <row r="133" spans="1:33" ht="15.75" customHeight="1">
      <c r="A133" s="303"/>
      <c r="B133" s="161"/>
      <c r="C133" s="297"/>
      <c r="D133" s="298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8"/>
      <c r="S133" s="46"/>
      <c r="T133" s="118"/>
      <c r="U133" s="109"/>
      <c r="V133" s="110"/>
      <c r="W133" s="111"/>
      <c r="X133" s="114"/>
      <c r="Y133" s="12"/>
      <c r="Z133" s="196"/>
      <c r="AA133" s="299"/>
      <c r="AB133" s="300"/>
      <c r="AC133" s="12"/>
      <c r="AD133" s="196"/>
      <c r="AE133" s="115"/>
      <c r="AF133" s="108"/>
      <c r="AG133" s="380"/>
    </row>
    <row r="134" spans="1:33" ht="15.75" customHeight="1">
      <c r="A134" s="303"/>
      <c r="B134" s="161"/>
      <c r="C134" s="297"/>
      <c r="D134" s="298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8"/>
      <c r="S134" s="46"/>
      <c r="T134" s="118"/>
      <c r="U134" s="109"/>
      <c r="V134" s="110"/>
      <c r="W134" s="111"/>
      <c r="X134" s="114"/>
      <c r="Y134" s="12"/>
      <c r="Z134" s="196"/>
      <c r="AA134" s="299"/>
      <c r="AB134" s="300"/>
      <c r="AC134" s="12"/>
      <c r="AD134" s="196"/>
      <c r="AE134" s="115"/>
      <c r="AF134" s="108"/>
      <c r="AG134" s="380"/>
    </row>
    <row r="135" spans="1:33" ht="15.75" customHeight="1">
      <c r="A135" s="303"/>
      <c r="B135" s="161"/>
      <c r="C135" s="297"/>
      <c r="D135" s="298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8"/>
      <c r="S135" s="46"/>
      <c r="T135" s="118"/>
      <c r="U135" s="109"/>
      <c r="V135" s="110"/>
      <c r="W135" s="111"/>
      <c r="X135" s="114"/>
      <c r="Y135" s="12"/>
      <c r="Z135" s="196"/>
      <c r="AA135" s="299"/>
      <c r="AB135" s="300"/>
      <c r="AC135" s="12"/>
      <c r="AD135" s="196"/>
      <c r="AE135" s="115"/>
      <c r="AF135" s="108"/>
      <c r="AG135" s="380"/>
    </row>
    <row r="136" spans="1:33" ht="15.75" customHeight="1">
      <c r="A136" s="303"/>
      <c r="B136" s="161"/>
      <c r="C136" s="297"/>
      <c r="D136" s="298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8"/>
      <c r="S136" s="46"/>
      <c r="T136" s="118"/>
      <c r="U136" s="109"/>
      <c r="V136" s="110"/>
      <c r="W136" s="111"/>
      <c r="X136" s="114"/>
      <c r="Y136" s="12"/>
      <c r="Z136" s="196"/>
      <c r="AA136" s="299"/>
      <c r="AB136" s="300"/>
      <c r="AC136" s="12"/>
      <c r="AD136" s="196"/>
      <c r="AE136" s="115"/>
      <c r="AF136" s="108"/>
      <c r="AG136" s="380"/>
    </row>
    <row r="137" spans="1:33" ht="15.75" customHeight="1">
      <c r="A137" s="303"/>
      <c r="B137" s="161"/>
      <c r="C137" s="297"/>
      <c r="D137" s="298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8"/>
      <c r="S137" s="46"/>
      <c r="T137" s="118"/>
      <c r="U137" s="109"/>
      <c r="V137" s="110"/>
      <c r="W137" s="181"/>
      <c r="X137" s="182"/>
      <c r="Y137" s="12"/>
      <c r="Z137" s="196"/>
      <c r="AA137" s="299"/>
      <c r="AB137" s="300"/>
      <c r="AC137" s="12"/>
      <c r="AD137" s="196"/>
      <c r="AE137" s="115"/>
      <c r="AF137" s="108"/>
      <c r="AG137" s="380"/>
    </row>
    <row r="138" spans="1:33" ht="15.75" customHeight="1">
      <c r="A138" s="303"/>
      <c r="B138" s="161"/>
      <c r="C138" s="297"/>
      <c r="D138" s="298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8"/>
      <c r="S138" s="46"/>
      <c r="T138" s="118"/>
      <c r="U138" s="109"/>
      <c r="V138" s="110"/>
      <c r="W138" s="183"/>
      <c r="X138" s="184"/>
      <c r="Y138" s="12"/>
      <c r="Z138" s="196"/>
      <c r="AA138" s="299"/>
      <c r="AB138" s="300"/>
      <c r="AC138" s="12"/>
      <c r="AD138" s="196"/>
      <c r="AE138" s="115"/>
      <c r="AF138" s="108"/>
      <c r="AG138" s="380"/>
    </row>
    <row r="139" spans="1:33" ht="15.75" customHeight="1">
      <c r="A139" s="303"/>
      <c r="B139" s="98"/>
      <c r="C139" s="297"/>
      <c r="D139" s="298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8"/>
      <c r="S139" s="46"/>
      <c r="T139" s="118"/>
      <c r="U139" s="128"/>
      <c r="V139" s="110"/>
      <c r="W139" s="183"/>
      <c r="X139" s="184"/>
      <c r="Y139" s="12"/>
      <c r="Z139" s="196"/>
      <c r="AA139" s="299"/>
      <c r="AB139" s="300"/>
      <c r="AC139" s="12"/>
      <c r="AD139" s="196"/>
      <c r="AE139" s="115"/>
      <c r="AF139" s="108"/>
      <c r="AG139" s="380"/>
    </row>
    <row r="140" spans="1:33" ht="15.75" customHeight="1" thickBot="1">
      <c r="A140" s="304"/>
      <c r="B140" s="131" t="s">
        <v>115</v>
      </c>
      <c r="C140" s="294"/>
      <c r="D140" s="294"/>
      <c r="E140" s="132"/>
      <c r="F140" s="165"/>
      <c r="G140" s="133"/>
      <c r="H140" s="67"/>
      <c r="I140" s="134">
        <f t="shared" ref="I140:J140" si="53">AVERAGE(I124:I139)</f>
        <v>23</v>
      </c>
      <c r="J140" s="135">
        <f t="shared" si="53"/>
        <v>2000</v>
      </c>
      <c r="K140" s="136">
        <f t="shared" ref="K140" si="54">J140/I140</f>
        <v>86.956521739130437</v>
      </c>
      <c r="L140" s="134">
        <f t="shared" ref="L140:M140" si="55">AVERAGE(L124:L139)</f>
        <v>23</v>
      </c>
      <c r="M140" s="135">
        <f t="shared" si="55"/>
        <v>1805.2879302017118</v>
      </c>
      <c r="N140" s="136">
        <f>M140/L140</f>
        <v>78.490779573987467</v>
      </c>
      <c r="O140" s="137">
        <f>L140-I140</f>
        <v>0</v>
      </c>
      <c r="P140" s="138">
        <f>N140-K140</f>
        <v>-8.4657421651429701</v>
      </c>
      <c r="Q140" s="139">
        <f>N140/K140</f>
        <v>0.90264396510085587</v>
      </c>
      <c r="R140" s="309"/>
      <c r="S140" s="140">
        <v>0.70833333333333337</v>
      </c>
      <c r="T140" s="141">
        <v>0.83930555555555553</v>
      </c>
      <c r="U140" s="142"/>
      <c r="V140" s="164"/>
      <c r="W140" s="185"/>
      <c r="X140" s="186"/>
      <c r="Y140" s="177">
        <f t="shared" ref="Y140:Z140" si="56">SUM(Y124:Y139)</f>
        <v>0</v>
      </c>
      <c r="Z140" s="178">
        <f t="shared" si="56"/>
        <v>0</v>
      </c>
      <c r="AA140" s="295"/>
      <c r="AB140" s="296"/>
      <c r="AC140" s="177">
        <f t="shared" ref="AC140:AD140" si="57">SUM(AC124:AC139)</f>
        <v>0</v>
      </c>
      <c r="AD140" s="178">
        <f t="shared" si="57"/>
        <v>0</v>
      </c>
      <c r="AE140" s="166">
        <f>M140-J140</f>
        <v>-194.71206979828821</v>
      </c>
      <c r="AF140" s="139">
        <f>M140/J140</f>
        <v>0.90264396510085587</v>
      </c>
      <c r="AG140" s="381"/>
    </row>
    <row r="142" spans="1:33">
      <c r="AA142" s="293" t="s">
        <v>147</v>
      </c>
      <c r="AB142" s="293"/>
    </row>
    <row r="143" spans="1:33">
      <c r="AA143" s="293" t="s">
        <v>148</v>
      </c>
      <c r="AB143" s="293"/>
    </row>
    <row r="144" spans="1:33">
      <c r="AA144" s="293" t="s">
        <v>149</v>
      </c>
      <c r="AB144" s="293"/>
    </row>
    <row r="145" spans="27:28">
      <c r="AA145" s="293" t="s">
        <v>150</v>
      </c>
      <c r="AB145" s="293"/>
    </row>
    <row r="146" spans="27:28">
      <c r="AA146" s="293" t="s">
        <v>151</v>
      </c>
      <c r="AB146" s="293"/>
    </row>
    <row r="147" spans="27:28">
      <c r="AA147" s="293" t="s">
        <v>152</v>
      </c>
      <c r="AB147" s="293"/>
    </row>
    <row r="148" spans="27:28">
      <c r="AA148" s="293" t="s">
        <v>153</v>
      </c>
      <c r="AB148" s="293"/>
    </row>
    <row r="149" spans="27:28">
      <c r="AA149" s="293" t="s">
        <v>154</v>
      </c>
      <c r="AB149" s="293"/>
    </row>
    <row r="150" spans="27:28">
      <c r="AA150" s="293" t="s">
        <v>155</v>
      </c>
      <c r="AB150" s="293"/>
    </row>
    <row r="151" spans="27:28">
      <c r="AA151" s="293" t="s">
        <v>156</v>
      </c>
      <c r="AB151" s="293"/>
    </row>
    <row r="152" spans="27:28">
      <c r="AA152" s="293" t="s">
        <v>157</v>
      </c>
      <c r="AB152" s="293"/>
    </row>
    <row r="153" spans="27:28">
      <c r="AA153" s="293" t="s">
        <v>158</v>
      </c>
      <c r="AB153" s="293"/>
    </row>
    <row r="154" spans="27:28">
      <c r="AA154" s="293" t="s">
        <v>159</v>
      </c>
      <c r="AB154" s="293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11:AB111"/>
    <mergeCell ref="C112:D112"/>
    <mergeCell ref="AA127:AB127"/>
    <mergeCell ref="C128:D128"/>
    <mergeCell ref="AA128:AB128"/>
    <mergeCell ref="C129:D129"/>
    <mergeCell ref="AA129:AB129"/>
    <mergeCell ref="C130:D130"/>
    <mergeCell ref="AA130:AB130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148" priority="2" operator="greaterThan">
      <formula>0</formula>
    </cfRule>
  </conditionalFormatting>
  <conditionalFormatting sqref="P5:P140 AE5:AE140">
    <cfRule type="cellIs" dxfId="147" priority="5" operator="lessThan">
      <formula>0</formula>
    </cfRule>
  </conditionalFormatting>
  <conditionalFormatting sqref="Q5:Q140 AF5:AF140">
    <cfRule type="cellIs" dxfId="146" priority="3" operator="greaterThan">
      <formula>1</formula>
    </cfRule>
    <cfRule type="cellIs" dxfId="145" priority="4" operator="lessThan">
      <formula>0.8</formula>
    </cfRule>
  </conditionalFormatting>
  <conditionalFormatting sqref="AG5 R5:R140 AG107:AG124">
    <cfRule type="cellIs" dxfId="144" priority="6" operator="lessThan">
      <formula>0.8</formula>
    </cfRule>
  </conditionalFormatting>
  <conditionalFormatting sqref="AG22">
    <cfRule type="cellIs" dxfId="143" priority="11" operator="lessThan">
      <formula>0.8</formula>
    </cfRule>
  </conditionalFormatting>
  <conditionalFormatting sqref="AG37">
    <cfRule type="cellIs" dxfId="142" priority="10" operator="lessThan">
      <formula>0.8</formula>
    </cfRule>
  </conditionalFormatting>
  <conditionalFormatting sqref="AG39:AG74">
    <cfRule type="cellIs" dxfId="141" priority="8" operator="lessThan">
      <formula>0.8</formula>
    </cfRule>
  </conditionalFormatting>
  <conditionalFormatting sqref="AG80:AG88">
    <cfRule type="cellIs" dxfId="140" priority="9" operator="lessThan">
      <formula>0.8</formula>
    </cfRule>
  </conditionalFormatting>
  <conditionalFormatting sqref="AG90:AG95">
    <cfRule type="cellIs" dxfId="139" priority="7" operator="lessThan">
      <formula>0.8</formula>
    </cfRule>
  </conditionalFormatting>
  <conditionalFormatting sqref="AG139">
    <cfRule type="cellIs" dxfId="138" priority="1" operator="lessThan">
      <formula>0.8</formula>
    </cfRule>
  </conditionalFormatting>
  <dataValidations count="1">
    <dataValidation type="list" allowBlank="1" showInputMessage="1" showErrorMessage="1" sqref="AA5:AB140" xr:uid="{6A1748A0-38AB-4972-9242-29E51B67FBE1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A33BE-8D36-4F13-B5D8-1C2380336999}">
  <sheetPr>
    <tabColor theme="8" tint="0.59999389629810485"/>
  </sheetPr>
  <dimension ref="B1:AR42"/>
  <sheetViews>
    <sheetView zoomScale="70" zoomScaleNormal="70" workbookViewId="0">
      <selection activeCell="K48" sqref="K48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0" t="s">
        <v>0</v>
      </c>
      <c r="C1" s="280"/>
      <c r="D1" s="280"/>
      <c r="E1" s="280"/>
      <c r="F1" s="280"/>
      <c r="G1" s="280"/>
      <c r="H1" s="280"/>
      <c r="I1" s="280"/>
      <c r="J1" s="280"/>
      <c r="K1" s="1"/>
      <c r="L1" s="1"/>
      <c r="M1" s="1"/>
      <c r="N1" s="1"/>
      <c r="O1" s="1"/>
      <c r="P1" s="1"/>
    </row>
    <row r="2" spans="2:34" ht="27.75" customHeight="1">
      <c r="B2" s="281"/>
      <c r="C2" s="281"/>
      <c r="D2" s="281"/>
      <c r="E2" s="281"/>
      <c r="F2" s="281"/>
      <c r="G2" s="281"/>
      <c r="H2" s="281"/>
      <c r="I2" s="281"/>
      <c r="J2" s="28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2" t="s">
        <v>232</v>
      </c>
      <c r="D3" s="283"/>
      <c r="E3" s="3" t="s">
        <v>2</v>
      </c>
      <c r="F3" s="284">
        <f>'1006(18度C)'!D1+'1006(4度C)'!D1</f>
        <v>162159</v>
      </c>
      <c r="G3" s="285"/>
      <c r="H3" s="3" t="s">
        <v>3</v>
      </c>
      <c r="I3" s="286">
        <f>'1006(18度C)'!F1+'1006(4度C)'!F1</f>
        <v>5110033.58</v>
      </c>
      <c r="J3" s="287"/>
      <c r="K3" s="4"/>
      <c r="L3" s="5"/>
      <c r="M3" s="1"/>
      <c r="N3" s="1"/>
      <c r="O3" s="1"/>
      <c r="P3" s="1"/>
    </row>
    <row r="4" spans="2:34" ht="28.5" customHeight="1">
      <c r="B4" s="288" t="s">
        <v>4</v>
      </c>
      <c r="C4" s="268" t="s">
        <v>5</v>
      </c>
      <c r="D4" s="269"/>
      <c r="E4" s="291" t="s">
        <v>6</v>
      </c>
      <c r="F4" s="292"/>
      <c r="G4" s="291" t="s">
        <v>7</v>
      </c>
      <c r="H4" s="292"/>
      <c r="I4" s="291" t="s">
        <v>8</v>
      </c>
      <c r="J4" s="292"/>
      <c r="K4" s="264" t="s">
        <v>9</v>
      </c>
      <c r="L4" s="265"/>
      <c r="M4" s="264" t="s">
        <v>10</v>
      </c>
      <c r="N4" s="265"/>
      <c r="O4" s="266" t="s">
        <v>11</v>
      </c>
      <c r="P4" s="267"/>
      <c r="Q4" s="267" t="s">
        <v>12</v>
      </c>
      <c r="R4" s="267"/>
    </row>
    <row r="5" spans="2:34" ht="28.5" customHeight="1">
      <c r="B5" s="289"/>
      <c r="C5" s="268" t="s">
        <v>13</v>
      </c>
      <c r="D5" s="269"/>
      <c r="E5" s="270" t="s">
        <v>14</v>
      </c>
      <c r="F5" s="271"/>
      <c r="G5" s="272" t="s">
        <v>15</v>
      </c>
      <c r="H5" s="273"/>
      <c r="I5" s="274" t="s">
        <v>16</v>
      </c>
      <c r="J5" s="275"/>
      <c r="K5" s="276" t="s">
        <v>17</v>
      </c>
      <c r="L5" s="277"/>
      <c r="M5" s="278" t="s">
        <v>18</v>
      </c>
      <c r="N5" s="27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9"/>
      <c r="C6" s="268" t="s">
        <v>22</v>
      </c>
      <c r="D6" s="269"/>
      <c r="E6" s="258">
        <f>AVERAGE(D14:O14,D32:X32)</f>
        <v>475.1454578637057</v>
      </c>
      <c r="F6" s="259" t="e">
        <f>AVERAGE(#REF!,D14:K14)</f>
        <v>#REF!</v>
      </c>
      <c r="G6" s="260">
        <f>AVERAGE(D14:K14)</f>
        <v>278.43316095816681</v>
      </c>
      <c r="H6" s="261"/>
      <c r="I6" s="260">
        <f>AVERAGE(L14:O14)</f>
        <v>94.325718496683862</v>
      </c>
      <c r="J6" s="261"/>
      <c r="K6" s="260">
        <f>AVERAGE(D32:O32)</f>
        <v>717.5</v>
      </c>
      <c r="L6" s="261"/>
      <c r="M6" s="260">
        <f>AVERAGE(P32:X32)</f>
        <v>718.26923076923072</v>
      </c>
      <c r="N6" s="261"/>
      <c r="O6" s="249">
        <f>'1006(4度C)'!Y2</f>
        <v>0</v>
      </c>
      <c r="P6" s="249">
        <f>'1006(4度C)'!Z2</f>
        <v>0</v>
      </c>
      <c r="Q6" s="249">
        <f>'1006(4度C)'!AC2</f>
        <v>0</v>
      </c>
      <c r="R6" s="249">
        <f>'1006(4度C)'!AD2</f>
        <v>0</v>
      </c>
    </row>
    <row r="7" spans="2:34" ht="28.5" customHeight="1">
      <c r="B7" s="289"/>
      <c r="C7" s="252" t="s">
        <v>23</v>
      </c>
      <c r="D7" s="253"/>
      <c r="E7" s="254">
        <f>AVERAGE(D15:O15,D33:X33)</f>
        <v>432.75452945980032</v>
      </c>
      <c r="F7" s="255" t="e">
        <f>AVERAGE(#REF!,D15:K15)</f>
        <v>#REF!</v>
      </c>
      <c r="G7" s="256">
        <f>AVERAGE(D15:K15)</f>
        <v>248.61984916610345</v>
      </c>
      <c r="H7" s="257"/>
      <c r="I7" s="256">
        <f>AVERAGE(L15:O15)</f>
        <v>87.605897033370553</v>
      </c>
      <c r="J7" s="257"/>
      <c r="K7" s="256">
        <f>AVERAGE(D33:O33)</f>
        <v>657.28475879631208</v>
      </c>
      <c r="L7" s="257"/>
      <c r="M7" s="256">
        <f>AVERAGE(P33:X33)</f>
        <v>657.00063677704895</v>
      </c>
      <c r="N7" s="257"/>
      <c r="O7" s="250"/>
      <c r="P7" s="250"/>
      <c r="Q7" s="250"/>
      <c r="R7" s="250"/>
    </row>
    <row r="8" spans="2:34" ht="28.5" customHeight="1">
      <c r="B8" s="290"/>
      <c r="C8" s="252" t="s">
        <v>24</v>
      </c>
      <c r="D8" s="253"/>
      <c r="E8" s="262">
        <f>AVERAGE(D16:O16,D34:X34)</f>
        <v>0.90663029541405449</v>
      </c>
      <c r="F8" s="263" t="e">
        <f>AVERAGE(D16:K16,#REF!)</f>
        <v>#REF!</v>
      </c>
      <c r="G8" s="241">
        <f>AVERAGE(D16:K16)</f>
        <v>0.89662250835184254</v>
      </c>
      <c r="H8" s="242"/>
      <c r="I8" s="241">
        <f>AVERAGE(L16:O16)</f>
        <v>0.92684281588376127</v>
      </c>
      <c r="J8" s="242"/>
      <c r="K8" s="241">
        <f>AVERAGE(D34:O34)</f>
        <v>0.91065555349166882</v>
      </c>
      <c r="L8" s="242"/>
      <c r="M8" s="241">
        <f>AVERAGE(P34:X34)</f>
        <v>0.90751045769490424</v>
      </c>
      <c r="N8" s="242"/>
      <c r="O8" s="251"/>
      <c r="P8" s="251"/>
      <c r="Q8" s="251"/>
      <c r="R8" s="25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9" t="s">
        <v>26</v>
      </c>
      <c r="C11" s="220"/>
      <c r="D11" s="243" t="s">
        <v>27</v>
      </c>
      <c r="E11" s="244"/>
      <c r="F11" s="244"/>
      <c r="G11" s="244"/>
      <c r="H11" s="244"/>
      <c r="I11" s="244"/>
      <c r="J11" s="244"/>
      <c r="K11" s="244"/>
      <c r="L11" s="245" t="s">
        <v>28</v>
      </c>
      <c r="M11" s="246"/>
      <c r="N11" s="246"/>
      <c r="O11" s="247"/>
    </row>
    <row r="12" spans="2:34" ht="17.25" customHeight="1">
      <c r="B12" s="235" t="s">
        <v>29</v>
      </c>
      <c r="C12" s="23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5"/>
      <c r="C13" s="23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U13" s="205"/>
      <c r="AB13" s="25"/>
      <c r="AC13" s="25"/>
      <c r="AD13" s="25"/>
      <c r="AE13" s="25"/>
    </row>
    <row r="14" spans="2:34" ht="40.15" customHeight="1">
      <c r="B14" s="248" t="s">
        <v>40</v>
      </c>
      <c r="C14" s="26" t="s">
        <v>41</v>
      </c>
      <c r="D14" s="27" t="s">
        <v>42</v>
      </c>
      <c r="E14" s="28">
        <v>85.245901639344268</v>
      </c>
      <c r="F14" s="28">
        <v>114.50980392156863</v>
      </c>
      <c r="G14" s="28">
        <v>86.206896551724142</v>
      </c>
      <c r="H14" s="28">
        <v>173.63636363636363</v>
      </c>
      <c r="I14" s="28">
        <v>511.00000000000006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8"/>
      <c r="C15" s="33" t="s">
        <v>43</v>
      </c>
      <c r="D15" s="34" t="s">
        <v>42</v>
      </c>
      <c r="E15" s="35">
        <v>76.953316372791079</v>
      </c>
      <c r="F15" s="35">
        <v>103.38562137689756</v>
      </c>
      <c r="G15" s="35">
        <v>77.872206686672087</v>
      </c>
      <c r="H15" s="35">
        <v>155.64579847063516</v>
      </c>
      <c r="I15" s="35">
        <v>444.09587079329322</v>
      </c>
      <c r="J15" s="35">
        <v>633.76628129633173</v>
      </c>
      <c r="K15" s="36" t="s">
        <v>42</v>
      </c>
      <c r="L15" s="34" t="s">
        <v>42</v>
      </c>
      <c r="M15" s="204">
        <v>96.75</v>
      </c>
      <c r="N15" s="35">
        <v>78.461794066741092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8"/>
      <c r="C16" s="40" t="s">
        <v>44</v>
      </c>
      <c r="D16" s="41" t="s">
        <v>42</v>
      </c>
      <c r="E16" s="42">
        <f t="shared" ref="E16:J16" si="0">E15/E14</f>
        <v>0.90272159591158763</v>
      </c>
      <c r="F16" s="42">
        <f t="shared" si="0"/>
        <v>0.90285388531194788</v>
      </c>
      <c r="G16" s="42">
        <f t="shared" si="0"/>
        <v>0.9033175975653962</v>
      </c>
      <c r="H16" s="42">
        <f t="shared" si="0"/>
        <v>0.89638941527590932</v>
      </c>
      <c r="I16" s="42">
        <f t="shared" si="0"/>
        <v>0.8690721541943115</v>
      </c>
      <c r="J16" s="42">
        <f t="shared" si="0"/>
        <v>0.90538040185190249</v>
      </c>
      <c r="K16" s="43" t="s">
        <v>42</v>
      </c>
      <c r="L16" s="41" t="s">
        <v>42</v>
      </c>
      <c r="M16" s="44">
        <f>M15/M14</f>
        <v>0.95137499999999997</v>
      </c>
      <c r="N16" s="42">
        <f>N15/N14</f>
        <v>0.90231063176752258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34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0.25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5"/>
      <c r="C18" s="13" t="s">
        <v>47</v>
      </c>
      <c r="D18" s="46" t="s">
        <v>42</v>
      </c>
      <c r="E18" s="47">
        <v>0.6463888888888889</v>
      </c>
      <c r="F18" s="47">
        <v>0.53525462962962966</v>
      </c>
      <c r="G18" s="47">
        <v>0.52124999999999999</v>
      </c>
      <c r="H18" s="47">
        <v>0.45638888888888884</v>
      </c>
      <c r="I18" s="47">
        <v>0.59261574074074075</v>
      </c>
      <c r="J18" s="47">
        <v>0.30228009259259259</v>
      </c>
      <c r="K18" s="47" t="s">
        <v>42</v>
      </c>
      <c r="L18" s="46" t="s">
        <v>42</v>
      </c>
      <c r="M18" s="48">
        <v>0.82237268518518514</v>
      </c>
      <c r="N18" s="47">
        <v>0.86434027777777778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6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7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6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7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5" t="s">
        <v>53</v>
      </c>
      <c r="C23" s="238"/>
      <c r="D23" s="56" t="s">
        <v>42</v>
      </c>
      <c r="E23" s="57">
        <v>20.333333333333332</v>
      </c>
      <c r="F23" s="57">
        <v>20.8</v>
      </c>
      <c r="G23" s="57">
        <v>23.2</v>
      </c>
      <c r="H23" s="57">
        <v>19.8</v>
      </c>
      <c r="I23" s="57">
        <v>5.8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9" t="s">
        <v>54</v>
      </c>
      <c r="C24" s="240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9" t="s">
        <v>59</v>
      </c>
      <c r="C25" s="240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7" t="s">
        <v>60</v>
      </c>
      <c r="C26" s="218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9" t="s">
        <v>26</v>
      </c>
      <c r="C29" s="220"/>
      <c r="D29" s="221" t="s">
        <v>64</v>
      </c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3"/>
      <c r="P29" s="224" t="s">
        <v>65</v>
      </c>
      <c r="Q29" s="225"/>
      <c r="R29" s="225"/>
      <c r="S29" s="225"/>
      <c r="T29" s="225"/>
      <c r="U29" s="225"/>
      <c r="V29" s="225"/>
      <c r="W29" s="225"/>
      <c r="X29" s="226"/>
    </row>
    <row r="30" spans="2:44" ht="17.25" customHeight="1">
      <c r="B30" s="227" t="s">
        <v>29</v>
      </c>
      <c r="C30" s="22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9"/>
      <c r="C31" s="230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3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750</v>
      </c>
      <c r="N32" s="28">
        <v>920</v>
      </c>
      <c r="O32" s="28">
        <v>872.72727272727275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750</v>
      </c>
      <c r="W32" s="28">
        <v>923.07692307692298</v>
      </c>
      <c r="X32" s="31">
        <v>900</v>
      </c>
    </row>
    <row r="33" spans="2:24" ht="39.6" customHeight="1">
      <c r="B33" s="232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287.33646678925692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699.44309118663523</v>
      </c>
      <c r="N33" s="35">
        <v>846.0265535350693</v>
      </c>
      <c r="O33" s="35">
        <v>796.3329236742868</v>
      </c>
      <c r="P33" s="34">
        <v>260.16177158529615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699.46876465005005</v>
      </c>
      <c r="W33" s="35">
        <v>847.28782028571925</v>
      </c>
      <c r="X33" s="37">
        <v>821.08419058713037</v>
      </c>
    </row>
    <row r="34" spans="2:24" ht="40.15" customHeight="1">
      <c r="B34" s="233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0.8779725374116184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0.932590788248847</v>
      </c>
      <c r="N34" s="42">
        <f>N33/N32</f>
        <v>0.9195940799294231</v>
      </c>
      <c r="O34" s="42">
        <f>O33/O32</f>
        <v>0.9124648083767869</v>
      </c>
      <c r="P34" s="41">
        <f>P33/P32</f>
        <v>0.86720590528432051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0.93262501953340005</v>
      </c>
      <c r="W34" s="42">
        <f>W33/W32</f>
        <v>0.91789513864286265</v>
      </c>
      <c r="X34" s="45">
        <f>X33/X32</f>
        <v>0.91231576731903374</v>
      </c>
    </row>
    <row r="35" spans="2:24" ht="17.25" customHeight="1">
      <c r="B35" s="211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0.32083333333333336</v>
      </c>
      <c r="N35" s="47">
        <v>0.25</v>
      </c>
      <c r="O35" s="47">
        <v>0.25</v>
      </c>
      <c r="P35" s="46">
        <v>0.73888888888888882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0.7319444444444444</v>
      </c>
      <c r="X35" s="49">
        <v>0.7319444444444444</v>
      </c>
    </row>
    <row r="36" spans="2:24" ht="17.25" customHeight="1">
      <c r="B36" s="212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0.59261574074074075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0.39553240740740742</v>
      </c>
      <c r="N36" s="47">
        <v>0.48788194444444455</v>
      </c>
      <c r="O36" s="47">
        <v>0.47762731481481502</v>
      </c>
      <c r="P36" s="46">
        <v>0.75215277777777767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0.72113425925925934</v>
      </c>
      <c r="W36" s="47">
        <v>1.1141319444444437</v>
      </c>
      <c r="X36" s="49">
        <v>1.0992129629629623</v>
      </c>
    </row>
    <row r="37" spans="2:24" ht="17.25" customHeight="1">
      <c r="B37" s="213" t="s">
        <v>53</v>
      </c>
      <c r="C37" s="214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3.75</v>
      </c>
      <c r="O37" s="57">
        <v>4.125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</v>
      </c>
      <c r="W37" s="57">
        <v>3.7142857142857144</v>
      </c>
      <c r="X37" s="59">
        <v>4</v>
      </c>
    </row>
    <row r="38" spans="2:24" ht="17.25" customHeight="1">
      <c r="B38" s="213" t="s">
        <v>54</v>
      </c>
      <c r="C38" s="214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13" t="s">
        <v>59</v>
      </c>
      <c r="C39" s="21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5" t="s">
        <v>60</v>
      </c>
      <c r="C40" s="21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B17:B18"/>
    <mergeCell ref="B19:B20"/>
    <mergeCell ref="B21:B22"/>
    <mergeCell ref="B23:C23"/>
    <mergeCell ref="B24:C24"/>
    <mergeCell ref="B38:C38"/>
    <mergeCell ref="B39:C3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7836A-CF81-48A9-8826-CB36E33DD6E3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K48" sqref="K48"/>
      <selection pane="bottomLeft" activeCell="K48" sqref="K48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80873</v>
      </c>
      <c r="E1" s="86" t="s">
        <v>3</v>
      </c>
      <c r="F1" s="87">
        <f>SUM(G5:G140)</f>
        <v>1601727.9</v>
      </c>
      <c r="G1" s="88" t="s">
        <v>84</v>
      </c>
      <c r="H1" s="89">
        <f>L21+L38+L55+L72+L89+L106+L123+L140</f>
        <v>46.589285714285715</v>
      </c>
      <c r="I1" s="359" t="s">
        <v>85</v>
      </c>
      <c r="J1" s="360"/>
      <c r="K1" s="361"/>
      <c r="L1" s="365" t="s">
        <v>86</v>
      </c>
      <c r="M1" s="366"/>
      <c r="N1" s="367"/>
      <c r="O1" s="360" t="s">
        <v>87</v>
      </c>
      <c r="P1" s="360"/>
      <c r="Q1" s="360"/>
      <c r="R1" s="371"/>
      <c r="S1" s="359" t="s">
        <v>88</v>
      </c>
      <c r="T1" s="360"/>
      <c r="U1" s="360"/>
      <c r="V1" s="360"/>
      <c r="W1" s="360"/>
      <c r="X1" s="371"/>
      <c r="Y1" s="360" t="s">
        <v>89</v>
      </c>
      <c r="Z1" s="360"/>
      <c r="AA1" s="359" t="s">
        <v>90</v>
      </c>
      <c r="AB1" s="374"/>
      <c r="AC1" s="375"/>
    </row>
    <row r="2" spans="1:29" ht="26.25" customHeight="1" thickBot="1">
      <c r="A2" s="352">
        <v>46301</v>
      </c>
      <c r="B2" s="353"/>
      <c r="C2" s="90" t="s">
        <v>40</v>
      </c>
      <c r="D2" s="91">
        <f>AVERAGE(N21,N38,N55,N72,N89,N106,N123,N140)</f>
        <v>657.14269778668051</v>
      </c>
      <c r="E2" s="91" t="s">
        <v>91</v>
      </c>
      <c r="F2" s="92">
        <f>F1/D1</f>
        <v>19.805471541800106</v>
      </c>
      <c r="G2" s="93" t="s">
        <v>92</v>
      </c>
      <c r="H2" s="94">
        <f>COUNT(H5:H140)</f>
        <v>14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93</v>
      </c>
      <c r="B3" s="356" t="s">
        <v>94</v>
      </c>
      <c r="C3" s="326" t="s">
        <v>95</v>
      </c>
      <c r="D3" s="326"/>
      <c r="E3" s="346" t="s">
        <v>96</v>
      </c>
      <c r="F3" s="326" t="s">
        <v>97</v>
      </c>
      <c r="G3" s="346" t="s">
        <v>98</v>
      </c>
      <c r="H3" s="348" t="s">
        <v>99</v>
      </c>
      <c r="I3" s="338" t="s">
        <v>100</v>
      </c>
      <c r="J3" s="334" t="s">
        <v>101</v>
      </c>
      <c r="K3" s="336" t="s">
        <v>40</v>
      </c>
      <c r="L3" s="350" t="s">
        <v>100</v>
      </c>
      <c r="M3" s="334" t="s">
        <v>101</v>
      </c>
      <c r="N3" s="336" t="s">
        <v>40</v>
      </c>
      <c r="O3" s="338" t="s">
        <v>100</v>
      </c>
      <c r="P3" s="340" t="s">
        <v>40</v>
      </c>
      <c r="Q3" s="342" t="s">
        <v>102</v>
      </c>
      <c r="R3" s="344" t="s">
        <v>103</v>
      </c>
      <c r="S3" s="322" t="s">
        <v>104</v>
      </c>
      <c r="T3" s="323"/>
      <c r="U3" s="324" t="s">
        <v>105</v>
      </c>
      <c r="V3" s="324" t="s">
        <v>106</v>
      </c>
      <c r="W3" s="326" t="s">
        <v>107</v>
      </c>
      <c r="X3" s="327"/>
      <c r="Y3" s="328" t="s">
        <v>108</v>
      </c>
      <c r="Z3" s="329"/>
      <c r="AA3" s="332" t="s">
        <v>101</v>
      </c>
      <c r="AB3" s="318" t="s">
        <v>102</v>
      </c>
      <c r="AC3" s="320" t="s">
        <v>109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201" t="s">
        <v>110</v>
      </c>
      <c r="T4" s="202" t="s">
        <v>111</v>
      </c>
      <c r="U4" s="325"/>
      <c r="V4" s="325"/>
      <c r="W4" s="97" t="s">
        <v>112</v>
      </c>
      <c r="X4" s="67" t="s">
        <v>113</v>
      </c>
      <c r="Y4" s="330"/>
      <c r="Z4" s="331"/>
      <c r="AA4" s="333"/>
      <c r="AB4" s="319"/>
      <c r="AC4" s="321"/>
    </row>
    <row r="5" spans="1:29" ht="15.75" customHeight="1">
      <c r="A5" s="315" t="s">
        <v>116</v>
      </c>
      <c r="B5" s="144" t="s">
        <v>114</v>
      </c>
      <c r="C5" s="305" t="s">
        <v>117</v>
      </c>
      <c r="D5" s="306"/>
      <c r="E5" s="145">
        <v>25.64</v>
      </c>
      <c r="F5" s="95">
        <v>1200</v>
      </c>
      <c r="G5" s="146">
        <f t="shared" ref="G5:G10" si="0">E5*F5</f>
        <v>30768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 t="shared" ref="M5:M10" si="1">F5/V5*60</f>
        <v>3215.4495511531836</v>
      </c>
      <c r="N5" s="150">
        <f t="shared" ref="N5:N10" si="2">M5/L5</f>
        <v>321.54495511531837</v>
      </c>
      <c r="O5" s="152">
        <f t="shared" ref="O5:O10" si="3">L5-I5</f>
        <v>0</v>
      </c>
      <c r="P5" s="153">
        <f t="shared" ref="P5:P10" si="4">N5-K5</f>
        <v>-38.455044884681627</v>
      </c>
      <c r="Q5" s="154">
        <f t="shared" ref="Q5:Q10" si="5">N5/K5</f>
        <v>0.89318043087588439</v>
      </c>
      <c r="R5" s="307">
        <f>Q21</f>
        <v>0.8779725374116184</v>
      </c>
      <c r="S5" s="155">
        <v>0.20833333333333334</v>
      </c>
      <c r="T5" s="156">
        <v>0.22387731481481482</v>
      </c>
      <c r="U5" s="157"/>
      <c r="V5" s="158">
        <v>22.391892285847881</v>
      </c>
      <c r="W5" s="159"/>
      <c r="X5" s="160"/>
      <c r="Y5" s="310"/>
      <c r="Z5" s="311"/>
      <c r="AA5" s="113">
        <f t="shared" ref="AA5:AA10" si="6">M5-J5</f>
        <v>-384.55044884681638</v>
      </c>
      <c r="AB5" s="154">
        <f t="shared" ref="AB5:AB10" si="7">M5/J5</f>
        <v>0.89318043087588439</v>
      </c>
      <c r="AC5" s="312">
        <f>AB21</f>
        <v>0.87797253741161829</v>
      </c>
    </row>
    <row r="6" spans="1:29" ht="15.75" customHeight="1">
      <c r="A6" s="316"/>
      <c r="B6" s="98" t="s">
        <v>114</v>
      </c>
      <c r="C6" s="297" t="s">
        <v>191</v>
      </c>
      <c r="D6" s="298"/>
      <c r="E6" s="99">
        <v>29.52</v>
      </c>
      <c r="F6" s="100">
        <v>2045</v>
      </c>
      <c r="G6" s="101">
        <f t="shared" si="0"/>
        <v>60368.4</v>
      </c>
      <c r="H6" s="26"/>
      <c r="I6" s="102">
        <v>11</v>
      </c>
      <c r="J6" s="103">
        <v>3600</v>
      </c>
      <c r="K6" s="104">
        <f t="shared" ref="K6:K10" si="8">J6/I6</f>
        <v>327.27272727272725</v>
      </c>
      <c r="L6" s="105">
        <v>11</v>
      </c>
      <c r="M6" s="103">
        <f t="shared" si="1"/>
        <v>3155.4918454523622</v>
      </c>
      <c r="N6" s="104">
        <f t="shared" si="2"/>
        <v>286.86289504112386</v>
      </c>
      <c r="O6" s="106">
        <f t="shared" si="3"/>
        <v>0</v>
      </c>
      <c r="P6" s="107">
        <f t="shared" si="4"/>
        <v>-40.409832231603389</v>
      </c>
      <c r="Q6" s="108">
        <f t="shared" si="5"/>
        <v>0.87652551262565626</v>
      </c>
      <c r="R6" s="308"/>
      <c r="S6" s="46">
        <v>0.2277777777777778</v>
      </c>
      <c r="T6" s="47">
        <v>0.2547800925925926</v>
      </c>
      <c r="U6" s="109">
        <v>5.616666666666692</v>
      </c>
      <c r="V6" s="110">
        <v>38.884587889787454</v>
      </c>
      <c r="W6" s="111"/>
      <c r="X6" s="114"/>
      <c r="Y6" s="299"/>
      <c r="Z6" s="300"/>
      <c r="AA6" s="115">
        <f t="shared" si="6"/>
        <v>-444.50815454763779</v>
      </c>
      <c r="AB6" s="108">
        <f t="shared" si="7"/>
        <v>0.87652551262565614</v>
      </c>
      <c r="AC6" s="313"/>
    </row>
    <row r="7" spans="1:29" ht="15.75" customHeight="1">
      <c r="A7" s="316"/>
      <c r="B7" s="98" t="s">
        <v>114</v>
      </c>
      <c r="C7" s="297" t="s">
        <v>192</v>
      </c>
      <c r="D7" s="298"/>
      <c r="E7" s="99">
        <v>29.85</v>
      </c>
      <c r="F7" s="100">
        <v>2417</v>
      </c>
      <c r="G7" s="101">
        <f t="shared" si="0"/>
        <v>72147.45</v>
      </c>
      <c r="H7" s="26"/>
      <c r="I7" s="102">
        <v>11</v>
      </c>
      <c r="J7" s="103">
        <v>3600</v>
      </c>
      <c r="K7" s="104">
        <f t="shared" si="8"/>
        <v>327.27272727272725</v>
      </c>
      <c r="L7" s="105">
        <v>11</v>
      </c>
      <c r="M7" s="103">
        <f t="shared" si="1"/>
        <v>3155.8504513590142</v>
      </c>
      <c r="N7" s="104">
        <f t="shared" si="2"/>
        <v>286.89549557809221</v>
      </c>
      <c r="O7" s="106">
        <f t="shared" si="3"/>
        <v>0</v>
      </c>
      <c r="P7" s="107">
        <f t="shared" si="4"/>
        <v>-40.377231694635043</v>
      </c>
      <c r="Q7" s="108">
        <f t="shared" si="5"/>
        <v>0.87662512537750403</v>
      </c>
      <c r="R7" s="308"/>
      <c r="S7" s="46">
        <v>0.25763888888888892</v>
      </c>
      <c r="T7" s="47">
        <v>0.28954861111111113</v>
      </c>
      <c r="U7" s="109">
        <v>5</v>
      </c>
      <c r="V7" s="110">
        <v>45.952747836181388</v>
      </c>
      <c r="W7" s="111"/>
      <c r="X7" s="114"/>
      <c r="Y7" s="299"/>
      <c r="Z7" s="300"/>
      <c r="AA7" s="115">
        <f t="shared" si="6"/>
        <v>-444.14954864098581</v>
      </c>
      <c r="AB7" s="108">
        <f t="shared" si="7"/>
        <v>0.87662512537750392</v>
      </c>
      <c r="AC7" s="313"/>
    </row>
    <row r="8" spans="1:29" ht="15.75" customHeight="1">
      <c r="A8" s="316"/>
      <c r="B8" s="98" t="s">
        <v>114</v>
      </c>
      <c r="C8" s="297" t="s">
        <v>208</v>
      </c>
      <c r="D8" s="298"/>
      <c r="E8" s="99">
        <v>30</v>
      </c>
      <c r="F8" s="100">
        <v>156</v>
      </c>
      <c r="G8" s="101">
        <f t="shared" si="0"/>
        <v>4680</v>
      </c>
      <c r="H8" s="26"/>
      <c r="I8" s="102">
        <v>11</v>
      </c>
      <c r="J8" s="103">
        <v>3600</v>
      </c>
      <c r="K8" s="104">
        <f t="shared" si="8"/>
        <v>327.27272727272725</v>
      </c>
      <c r="L8" s="105">
        <v>11</v>
      </c>
      <c r="M8" s="103">
        <f t="shared" si="1"/>
        <v>3158.0672902507613</v>
      </c>
      <c r="N8" s="104">
        <f t="shared" si="2"/>
        <v>287.09702638643284</v>
      </c>
      <c r="O8" s="106">
        <f t="shared" si="3"/>
        <v>0</v>
      </c>
      <c r="P8" s="107">
        <f t="shared" si="4"/>
        <v>-40.175700886294408</v>
      </c>
      <c r="Q8" s="108">
        <f t="shared" si="5"/>
        <v>0.87724091395854487</v>
      </c>
      <c r="R8" s="308"/>
      <c r="S8" s="46">
        <v>0.29236111111111113</v>
      </c>
      <c r="T8" s="47">
        <v>0.29440972222222223</v>
      </c>
      <c r="U8" s="109">
        <v>5</v>
      </c>
      <c r="V8" s="110">
        <v>2.9638380502198811</v>
      </c>
      <c r="W8" s="111"/>
      <c r="X8" s="114"/>
      <c r="Y8" s="299"/>
      <c r="Z8" s="300"/>
      <c r="AA8" s="115">
        <f t="shared" si="6"/>
        <v>-441.93270974923871</v>
      </c>
      <c r="AB8" s="108">
        <f t="shared" si="7"/>
        <v>0.87724091395854475</v>
      </c>
      <c r="AC8" s="313"/>
    </row>
    <row r="9" spans="1:29" ht="15.75" customHeight="1">
      <c r="A9" s="316"/>
      <c r="B9" s="98" t="s">
        <v>114</v>
      </c>
      <c r="C9" s="297" t="s">
        <v>224</v>
      </c>
      <c r="D9" s="298"/>
      <c r="E9" s="99">
        <v>30.95</v>
      </c>
      <c r="F9" s="100">
        <v>2239</v>
      </c>
      <c r="G9" s="101">
        <f t="shared" si="0"/>
        <v>69297.05</v>
      </c>
      <c r="H9" s="13"/>
      <c r="I9" s="102">
        <v>11</v>
      </c>
      <c r="J9" s="103">
        <v>3600</v>
      </c>
      <c r="K9" s="104">
        <f t="shared" si="8"/>
        <v>327.27272727272725</v>
      </c>
      <c r="L9" s="105">
        <v>11</v>
      </c>
      <c r="M9" s="103">
        <f t="shared" si="1"/>
        <v>3157.4490080644773</v>
      </c>
      <c r="N9" s="104">
        <f t="shared" si="2"/>
        <v>287.04081891495247</v>
      </c>
      <c r="O9" s="106">
        <f t="shared" si="3"/>
        <v>0</v>
      </c>
      <c r="P9" s="107">
        <f t="shared" si="4"/>
        <v>-40.231908357774785</v>
      </c>
      <c r="Q9" s="108">
        <f t="shared" si="5"/>
        <v>0.87706916890679931</v>
      </c>
      <c r="R9" s="308"/>
      <c r="S9" s="46">
        <v>0.29791666666666666</v>
      </c>
      <c r="T9" s="47">
        <v>0.32745370370370369</v>
      </c>
      <c r="U9" s="109">
        <v>5.0499999999999901</v>
      </c>
      <c r="V9" s="110">
        <v>42.547005401157911</v>
      </c>
      <c r="W9" s="111"/>
      <c r="X9" s="114"/>
      <c r="Y9" s="299"/>
      <c r="Z9" s="300"/>
      <c r="AA9" s="115">
        <f t="shared" si="6"/>
        <v>-442.55099193552269</v>
      </c>
      <c r="AB9" s="108">
        <f t="shared" si="7"/>
        <v>0.8770691689067992</v>
      </c>
      <c r="AC9" s="313"/>
    </row>
    <row r="10" spans="1:29" ht="15.75" customHeight="1">
      <c r="A10" s="316"/>
      <c r="B10" s="98" t="s">
        <v>118</v>
      </c>
      <c r="C10" s="297" t="s">
        <v>119</v>
      </c>
      <c r="D10" s="298"/>
      <c r="E10" s="99">
        <v>28.57</v>
      </c>
      <c r="F10" s="100">
        <v>781</v>
      </c>
      <c r="G10" s="119">
        <f t="shared" si="0"/>
        <v>22313.170000000002</v>
      </c>
      <c r="H10" s="120"/>
      <c r="I10" s="102">
        <v>12</v>
      </c>
      <c r="J10" s="103">
        <v>3600</v>
      </c>
      <c r="K10" s="104">
        <f t="shared" si="8"/>
        <v>300</v>
      </c>
      <c r="L10" s="105">
        <v>12</v>
      </c>
      <c r="M10" s="103">
        <f t="shared" si="1"/>
        <v>3121.898661811158</v>
      </c>
      <c r="N10" s="104">
        <f t="shared" si="2"/>
        <v>260.15822181759648</v>
      </c>
      <c r="O10" s="106">
        <f t="shared" si="3"/>
        <v>0</v>
      </c>
      <c r="P10" s="107">
        <f t="shared" si="4"/>
        <v>-39.841778182403516</v>
      </c>
      <c r="Q10" s="108">
        <f t="shared" si="5"/>
        <v>0.86719407272532156</v>
      </c>
      <c r="R10" s="308"/>
      <c r="S10" s="46">
        <v>0.33124999999999999</v>
      </c>
      <c r="T10" s="118">
        <v>0.34166666666666667</v>
      </c>
      <c r="U10" s="109">
        <v>5.4666666666666686</v>
      </c>
      <c r="V10" s="110">
        <v>15.0100964433017</v>
      </c>
      <c r="W10" s="111"/>
      <c r="X10" s="114"/>
      <c r="Y10" s="299"/>
      <c r="Z10" s="300"/>
      <c r="AA10" s="115">
        <f t="shared" si="6"/>
        <v>-478.10133818884196</v>
      </c>
      <c r="AB10" s="108">
        <f t="shared" si="7"/>
        <v>0.86719407272532167</v>
      </c>
      <c r="AC10" s="313"/>
    </row>
    <row r="11" spans="1:29" ht="15.75" customHeight="1">
      <c r="A11" s="316"/>
      <c r="B11" s="98"/>
      <c r="C11" s="297"/>
      <c r="D11" s="298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8"/>
      <c r="S11" s="46"/>
      <c r="T11" s="118"/>
      <c r="U11" s="109"/>
      <c r="V11" s="110"/>
      <c r="W11" s="111"/>
      <c r="X11" s="114"/>
      <c r="Y11" s="299"/>
      <c r="Z11" s="300"/>
      <c r="AA11" s="115"/>
      <c r="AB11" s="108"/>
      <c r="AC11" s="313"/>
    </row>
    <row r="12" spans="1:29" ht="15.75" customHeight="1">
      <c r="A12" s="316"/>
      <c r="B12" s="98"/>
      <c r="C12" s="297"/>
      <c r="D12" s="298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8"/>
      <c r="S12" s="46"/>
      <c r="T12" s="118"/>
      <c r="U12" s="109"/>
      <c r="V12" s="110"/>
      <c r="W12" s="111"/>
      <c r="X12" s="114"/>
      <c r="Y12" s="299"/>
      <c r="Z12" s="300"/>
      <c r="AA12" s="115"/>
      <c r="AB12" s="108"/>
      <c r="AC12" s="313"/>
    </row>
    <row r="13" spans="1:29" ht="15.75" customHeight="1">
      <c r="A13" s="316"/>
      <c r="B13" s="98"/>
      <c r="C13" s="297"/>
      <c r="D13" s="298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8"/>
      <c r="S13" s="46"/>
      <c r="T13" s="118"/>
      <c r="U13" s="109"/>
      <c r="V13" s="110"/>
      <c r="W13" s="111"/>
      <c r="X13" s="125"/>
      <c r="Y13" s="299"/>
      <c r="Z13" s="300"/>
      <c r="AA13" s="115"/>
      <c r="AB13" s="108"/>
      <c r="AC13" s="313"/>
    </row>
    <row r="14" spans="1:29" ht="15.75" customHeight="1">
      <c r="A14" s="316"/>
      <c r="B14" s="98"/>
      <c r="C14" s="297"/>
      <c r="D14" s="298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8"/>
      <c r="S14" s="46"/>
      <c r="T14" s="118"/>
      <c r="U14" s="109"/>
      <c r="V14" s="110"/>
      <c r="W14" s="111"/>
      <c r="X14" s="114"/>
      <c r="Y14" s="299"/>
      <c r="Z14" s="300"/>
      <c r="AA14" s="115"/>
      <c r="AB14" s="108"/>
      <c r="AC14" s="313"/>
    </row>
    <row r="15" spans="1:29" ht="15.75" customHeight="1">
      <c r="A15" s="316"/>
      <c r="B15" s="98"/>
      <c r="C15" s="297"/>
      <c r="D15" s="298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8"/>
      <c r="S15" s="46"/>
      <c r="T15" s="118"/>
      <c r="U15" s="109"/>
      <c r="V15" s="110"/>
      <c r="W15" s="111"/>
      <c r="X15" s="125"/>
      <c r="Y15" s="299"/>
      <c r="Z15" s="300"/>
      <c r="AA15" s="115"/>
      <c r="AB15" s="108"/>
      <c r="AC15" s="313"/>
    </row>
    <row r="16" spans="1:29" ht="15.75" customHeight="1">
      <c r="A16" s="316"/>
      <c r="B16" s="98"/>
      <c r="C16" s="297"/>
      <c r="D16" s="298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8"/>
      <c r="S16" s="46"/>
      <c r="T16" s="118"/>
      <c r="U16" s="109"/>
      <c r="V16" s="110"/>
      <c r="W16" s="111"/>
      <c r="X16" s="125"/>
      <c r="Y16" s="299"/>
      <c r="Z16" s="300"/>
      <c r="AA16" s="115"/>
      <c r="AB16" s="108"/>
      <c r="AC16" s="313"/>
    </row>
    <row r="17" spans="1:29" ht="15.75" customHeight="1">
      <c r="A17" s="316"/>
      <c r="B17" s="98"/>
      <c r="C17" s="297"/>
      <c r="D17" s="298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8"/>
      <c r="S17" s="46"/>
      <c r="T17" s="118"/>
      <c r="U17" s="109"/>
      <c r="V17" s="110"/>
      <c r="W17" s="111"/>
      <c r="X17" s="125"/>
      <c r="Y17" s="299"/>
      <c r="Z17" s="300"/>
      <c r="AA17" s="115"/>
      <c r="AB17" s="108"/>
      <c r="AC17" s="313"/>
    </row>
    <row r="18" spans="1:29" ht="15.75" customHeight="1">
      <c r="A18" s="316"/>
      <c r="B18" s="98"/>
      <c r="C18" s="297"/>
      <c r="D18" s="298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8"/>
      <c r="S18" s="46"/>
      <c r="T18" s="118"/>
      <c r="U18" s="109"/>
      <c r="V18" s="110"/>
      <c r="W18" s="111"/>
      <c r="X18" s="125"/>
      <c r="Y18" s="299"/>
      <c r="Z18" s="300"/>
      <c r="AA18" s="115"/>
      <c r="AB18" s="108"/>
      <c r="AC18" s="313"/>
    </row>
    <row r="19" spans="1:29" ht="15.75" customHeight="1">
      <c r="A19" s="316"/>
      <c r="B19" s="98"/>
      <c r="C19" s="297"/>
      <c r="D19" s="298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8"/>
      <c r="S19" s="46"/>
      <c r="T19" s="118"/>
      <c r="U19" s="109"/>
      <c r="V19" s="110"/>
      <c r="W19" s="111"/>
      <c r="X19" s="125"/>
      <c r="Y19" s="299"/>
      <c r="Z19" s="300"/>
      <c r="AA19" s="115"/>
      <c r="AB19" s="108"/>
      <c r="AC19" s="313"/>
    </row>
    <row r="20" spans="1:29" ht="15.75" customHeight="1">
      <c r="A20" s="316"/>
      <c r="B20" s="161"/>
      <c r="C20" s="297"/>
      <c r="D20" s="298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8"/>
      <c r="S20" s="117"/>
      <c r="T20" s="118"/>
      <c r="U20" s="128"/>
      <c r="V20" s="129"/>
      <c r="W20" s="124"/>
      <c r="X20" s="125"/>
      <c r="Y20" s="299"/>
      <c r="Z20" s="300"/>
      <c r="AA20" s="163"/>
      <c r="AB20" s="123"/>
      <c r="AC20" s="313"/>
    </row>
    <row r="21" spans="1:29" ht="15.75" customHeight="1" thickBot="1">
      <c r="A21" s="317"/>
      <c r="B21" s="131" t="s">
        <v>115</v>
      </c>
      <c r="C21" s="294"/>
      <c r="D21" s="294"/>
      <c r="E21" s="132"/>
      <c r="F21" s="165"/>
      <c r="G21" s="133"/>
      <c r="H21" s="67"/>
      <c r="I21" s="134">
        <f t="shared" ref="I21:J21" si="9">AVERAGE(I5:I20)</f>
        <v>11</v>
      </c>
      <c r="J21" s="135">
        <f t="shared" si="9"/>
        <v>3600</v>
      </c>
      <c r="K21" s="136">
        <f t="shared" ref="K21" si="10">J21/I21</f>
        <v>327.27272727272725</v>
      </c>
      <c r="L21" s="134">
        <f t="shared" ref="L21:M21" si="11">AVERAGE(L5:L20)</f>
        <v>11</v>
      </c>
      <c r="M21" s="135">
        <f t="shared" si="11"/>
        <v>3160.7011346818258</v>
      </c>
      <c r="N21" s="136">
        <f>M21/L21</f>
        <v>287.33646678925692</v>
      </c>
      <c r="O21" s="137">
        <f>L21-I21</f>
        <v>0</v>
      </c>
      <c r="P21" s="138">
        <f>N21-K21</f>
        <v>-39.936260483470335</v>
      </c>
      <c r="Q21" s="139">
        <f>N21/K21</f>
        <v>0.8779725374116184</v>
      </c>
      <c r="R21" s="309"/>
      <c r="S21" s="140">
        <v>0.20833333333333334</v>
      </c>
      <c r="T21" s="141">
        <v>0.59261574074074075</v>
      </c>
      <c r="U21" s="142"/>
      <c r="V21" s="164"/>
      <c r="W21" s="165"/>
      <c r="X21" s="136"/>
      <c r="Y21" s="295"/>
      <c r="Z21" s="296"/>
      <c r="AA21" s="166">
        <f>M21-J21</f>
        <v>-439.29886531817419</v>
      </c>
      <c r="AB21" s="139">
        <f>M21/J21</f>
        <v>0.87797253741161829</v>
      </c>
      <c r="AC21" s="314"/>
    </row>
    <row r="22" spans="1:29" ht="15.75" customHeight="1">
      <c r="A22" s="301" t="s">
        <v>121</v>
      </c>
      <c r="B22" s="112" t="s">
        <v>118</v>
      </c>
      <c r="C22" s="305" t="s">
        <v>182</v>
      </c>
      <c r="D22" s="306"/>
      <c r="E22" s="145">
        <v>18.53</v>
      </c>
      <c r="F22" s="95">
        <v>1520</v>
      </c>
      <c r="G22" s="146">
        <f t="shared" ref="G22:G23" si="12">E22*F22</f>
        <v>28165.600000000002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3077.5814026404628</v>
      </c>
      <c r="N22" s="150">
        <f>M22/L22</f>
        <v>1025.8604675468209</v>
      </c>
      <c r="O22" s="152">
        <f>L22-I22</f>
        <v>0</v>
      </c>
      <c r="P22" s="153">
        <f>N22-K22</f>
        <v>-74.139532453179072</v>
      </c>
      <c r="Q22" s="154">
        <f>N22/K22</f>
        <v>0.93260042504256446</v>
      </c>
      <c r="R22" s="307">
        <f>Q38</f>
        <v>0.932590788248847</v>
      </c>
      <c r="S22" s="155">
        <v>0.32083333333333336</v>
      </c>
      <c r="T22" s="156">
        <v>0.34141203703703704</v>
      </c>
      <c r="U22" s="157"/>
      <c r="V22" s="110">
        <v>29.6336597049077</v>
      </c>
      <c r="W22" s="159"/>
      <c r="X22" s="160"/>
      <c r="Y22" s="310"/>
      <c r="Z22" s="311"/>
      <c r="AA22" s="113">
        <f>M22-J22</f>
        <v>-222.41859735953722</v>
      </c>
      <c r="AB22" s="154">
        <f>M22/J22</f>
        <v>0.93260042504256446</v>
      </c>
      <c r="AC22" s="312">
        <f>AB38</f>
        <v>0.932590788248847</v>
      </c>
    </row>
    <row r="23" spans="1:29" ht="15.75" customHeight="1">
      <c r="A23" s="302"/>
      <c r="B23" s="98" t="s">
        <v>118</v>
      </c>
      <c r="C23" s="297" t="s">
        <v>225</v>
      </c>
      <c r="D23" s="298"/>
      <c r="E23" s="99">
        <v>22.95</v>
      </c>
      <c r="F23" s="100">
        <v>3088</v>
      </c>
      <c r="G23" s="101">
        <f t="shared" si="12"/>
        <v>70869.599999999991</v>
      </c>
      <c r="H23" s="26"/>
      <c r="I23" s="102">
        <v>5</v>
      </c>
      <c r="J23" s="103">
        <v>2700</v>
      </c>
      <c r="K23" s="104">
        <f t="shared" ref="K23" si="13">J23/I23</f>
        <v>540</v>
      </c>
      <c r="L23" s="105">
        <v>5</v>
      </c>
      <c r="M23" s="103">
        <f>F23/V23*60</f>
        <v>2517.9633268526186</v>
      </c>
      <c r="N23" s="104">
        <f>M23/L23</f>
        <v>503.59266537052372</v>
      </c>
      <c r="O23" s="106">
        <f>L23-I23</f>
        <v>0</v>
      </c>
      <c r="P23" s="107">
        <f>N23-K23</f>
        <v>-36.407334629476281</v>
      </c>
      <c r="Q23" s="108">
        <f>N23/K23</f>
        <v>0.93257900994541432</v>
      </c>
      <c r="R23" s="308"/>
      <c r="S23" s="46">
        <v>0.34444444444444444</v>
      </c>
      <c r="T23" s="47">
        <v>0.39553240740740742</v>
      </c>
      <c r="U23" s="109">
        <v>5</v>
      </c>
      <c r="V23" s="110">
        <v>73.583279797642902</v>
      </c>
      <c r="W23" s="111"/>
      <c r="X23" s="114"/>
      <c r="Y23" s="299"/>
      <c r="Z23" s="300"/>
      <c r="AA23" s="115">
        <f>M23-J23</f>
        <v>-182.03667314738141</v>
      </c>
      <c r="AB23" s="108">
        <f>M23/J23</f>
        <v>0.93257900994541432</v>
      </c>
      <c r="AC23" s="313"/>
    </row>
    <row r="24" spans="1:29" ht="15.75" customHeight="1">
      <c r="A24" s="302"/>
      <c r="B24" s="98"/>
      <c r="C24" s="297"/>
      <c r="D24" s="298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08"/>
      <c r="S24" s="46"/>
      <c r="T24" s="47"/>
      <c r="U24" s="109"/>
      <c r="V24" s="110"/>
      <c r="W24" s="111"/>
      <c r="X24" s="114"/>
      <c r="Y24" s="299"/>
      <c r="Z24" s="300"/>
      <c r="AA24" s="115"/>
      <c r="AB24" s="108"/>
      <c r="AC24" s="313"/>
    </row>
    <row r="25" spans="1:29" ht="15.75" customHeight="1">
      <c r="A25" s="302"/>
      <c r="B25" s="98"/>
      <c r="C25" s="297"/>
      <c r="D25" s="298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8"/>
      <c r="S25" s="46"/>
      <c r="T25" s="47"/>
      <c r="U25" s="109"/>
      <c r="V25" s="110"/>
      <c r="W25" s="111"/>
      <c r="X25" s="114"/>
      <c r="Y25" s="299"/>
      <c r="Z25" s="300"/>
      <c r="AA25" s="115"/>
      <c r="AB25" s="108"/>
      <c r="AC25" s="313"/>
    </row>
    <row r="26" spans="1:29" ht="15.75" customHeight="1">
      <c r="A26" s="303"/>
      <c r="B26" s="98"/>
      <c r="C26" s="297"/>
      <c r="D26" s="298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8"/>
      <c r="S26" s="46"/>
      <c r="T26" s="47"/>
      <c r="U26" s="109"/>
      <c r="V26" s="110"/>
      <c r="W26" s="111"/>
      <c r="X26" s="114"/>
      <c r="Y26" s="299"/>
      <c r="Z26" s="300"/>
      <c r="AA26" s="115"/>
      <c r="AB26" s="108"/>
      <c r="AC26" s="313"/>
    </row>
    <row r="27" spans="1:29" ht="15.75" customHeight="1">
      <c r="A27" s="303"/>
      <c r="B27" s="98"/>
      <c r="C27" s="297"/>
      <c r="D27" s="298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8"/>
      <c r="S27" s="46"/>
      <c r="T27" s="118"/>
      <c r="U27" s="109"/>
      <c r="V27" s="110"/>
      <c r="W27" s="111"/>
      <c r="X27" s="114"/>
      <c r="Y27" s="299"/>
      <c r="Z27" s="300"/>
      <c r="AA27" s="115"/>
      <c r="AB27" s="108"/>
      <c r="AC27" s="313"/>
    </row>
    <row r="28" spans="1:29" ht="15.75" customHeight="1">
      <c r="A28" s="303"/>
      <c r="B28" s="98"/>
      <c r="C28" s="297"/>
      <c r="D28" s="298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8"/>
      <c r="S28" s="46"/>
      <c r="T28" s="118"/>
      <c r="U28" s="109"/>
      <c r="V28" s="110"/>
      <c r="W28" s="111"/>
      <c r="X28" s="114"/>
      <c r="Y28" s="299"/>
      <c r="Z28" s="300"/>
      <c r="AA28" s="115"/>
      <c r="AB28" s="108"/>
      <c r="AC28" s="313"/>
    </row>
    <row r="29" spans="1:29" ht="15.75" customHeight="1">
      <c r="A29" s="303"/>
      <c r="B29" s="98"/>
      <c r="C29" s="297"/>
      <c r="D29" s="298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8"/>
      <c r="S29" s="46"/>
      <c r="T29" s="118"/>
      <c r="U29" s="109"/>
      <c r="V29" s="110"/>
      <c r="W29" s="111"/>
      <c r="X29" s="114"/>
      <c r="Y29" s="299"/>
      <c r="Z29" s="300"/>
      <c r="AA29" s="115"/>
      <c r="AB29" s="108"/>
      <c r="AC29" s="313"/>
    </row>
    <row r="30" spans="1:29" ht="15.75" customHeight="1">
      <c r="A30" s="303"/>
      <c r="B30" s="98"/>
      <c r="C30" s="297"/>
      <c r="D30" s="298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8"/>
      <c r="S30" s="46"/>
      <c r="T30" s="118"/>
      <c r="U30" s="109"/>
      <c r="V30" s="110"/>
      <c r="W30" s="111"/>
      <c r="X30" s="114"/>
      <c r="Y30" s="299"/>
      <c r="Z30" s="300"/>
      <c r="AA30" s="115"/>
      <c r="AB30" s="108"/>
      <c r="AC30" s="313"/>
    </row>
    <row r="31" spans="1:29" ht="15.75" customHeight="1">
      <c r="A31" s="303"/>
      <c r="B31" s="98"/>
      <c r="C31" s="297"/>
      <c r="D31" s="298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8"/>
      <c r="S31" s="46"/>
      <c r="T31" s="118"/>
      <c r="U31" s="109"/>
      <c r="V31" s="110"/>
      <c r="W31" s="111"/>
      <c r="X31" s="114"/>
      <c r="Y31" s="299"/>
      <c r="Z31" s="300"/>
      <c r="AA31" s="115"/>
      <c r="AB31" s="108"/>
      <c r="AC31" s="313"/>
    </row>
    <row r="32" spans="1:29" ht="15.75" customHeight="1">
      <c r="A32" s="303"/>
      <c r="B32" s="98"/>
      <c r="C32" s="297"/>
      <c r="D32" s="298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8"/>
      <c r="S32" s="46"/>
      <c r="T32" s="118"/>
      <c r="U32" s="109"/>
      <c r="V32" s="110"/>
      <c r="W32" s="111"/>
      <c r="X32" s="114"/>
      <c r="Y32" s="299"/>
      <c r="Z32" s="300"/>
      <c r="AA32" s="115"/>
      <c r="AB32" s="108"/>
      <c r="AC32" s="313"/>
    </row>
    <row r="33" spans="1:29" ht="15.75" customHeight="1">
      <c r="A33" s="303"/>
      <c r="B33" s="98"/>
      <c r="C33" s="297"/>
      <c r="D33" s="298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8"/>
      <c r="S33" s="46"/>
      <c r="T33" s="118"/>
      <c r="U33" s="109"/>
      <c r="V33" s="110"/>
      <c r="W33" s="111"/>
      <c r="X33" s="114"/>
      <c r="Y33" s="299"/>
      <c r="Z33" s="300"/>
      <c r="AA33" s="115"/>
      <c r="AB33" s="108"/>
      <c r="AC33" s="313"/>
    </row>
    <row r="34" spans="1:29" ht="15.75" customHeight="1">
      <c r="A34" s="303"/>
      <c r="B34" s="98"/>
      <c r="C34" s="297"/>
      <c r="D34" s="298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8"/>
      <c r="S34" s="46"/>
      <c r="T34" s="118"/>
      <c r="U34" s="109"/>
      <c r="V34" s="110"/>
      <c r="W34" s="111"/>
      <c r="X34" s="114"/>
      <c r="Y34" s="299"/>
      <c r="Z34" s="300"/>
      <c r="AA34" s="115"/>
      <c r="AB34" s="108"/>
      <c r="AC34" s="313"/>
    </row>
    <row r="35" spans="1:29" ht="15.75" customHeight="1">
      <c r="A35" s="303"/>
      <c r="B35" s="98"/>
      <c r="C35" s="297"/>
      <c r="D35" s="298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8"/>
      <c r="S35" s="46"/>
      <c r="T35" s="118"/>
      <c r="U35" s="109"/>
      <c r="V35" s="110"/>
      <c r="W35" s="111"/>
      <c r="X35" s="114"/>
      <c r="Y35" s="299"/>
      <c r="Z35" s="300"/>
      <c r="AA35" s="115"/>
      <c r="AB35" s="108"/>
      <c r="AC35" s="313"/>
    </row>
    <row r="36" spans="1:29" ht="15.75" customHeight="1">
      <c r="A36" s="303"/>
      <c r="B36" s="98"/>
      <c r="C36" s="297"/>
      <c r="D36" s="298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8"/>
      <c r="S36" s="46"/>
      <c r="T36" s="118"/>
      <c r="U36" s="109"/>
      <c r="V36" s="110"/>
      <c r="W36" s="111"/>
      <c r="X36" s="114"/>
      <c r="Y36" s="299"/>
      <c r="Z36" s="300"/>
      <c r="AA36" s="115"/>
      <c r="AB36" s="108"/>
      <c r="AC36" s="313"/>
    </row>
    <row r="37" spans="1:29" ht="15.75" customHeight="1">
      <c r="A37" s="303"/>
      <c r="B37" s="98"/>
      <c r="C37" s="297"/>
      <c r="D37" s="298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8"/>
      <c r="S37" s="117"/>
      <c r="T37" s="118"/>
      <c r="U37" s="128"/>
      <c r="V37" s="129"/>
      <c r="W37" s="124"/>
      <c r="X37" s="125"/>
      <c r="Y37" s="299"/>
      <c r="Z37" s="300"/>
      <c r="AA37" s="163"/>
      <c r="AB37" s="123"/>
      <c r="AC37" s="313"/>
    </row>
    <row r="38" spans="1:29" ht="15.75" customHeight="1" thickBot="1">
      <c r="A38" s="304"/>
      <c r="B38" s="131" t="s">
        <v>115</v>
      </c>
      <c r="C38" s="294"/>
      <c r="D38" s="294"/>
      <c r="E38" s="132"/>
      <c r="F38" s="97"/>
      <c r="G38" s="133"/>
      <c r="H38" s="67"/>
      <c r="I38" s="134">
        <f t="shared" ref="I38:J38" si="14">AVERAGE(I22:I37)</f>
        <v>4</v>
      </c>
      <c r="J38" s="135">
        <f t="shared" si="14"/>
        <v>3000</v>
      </c>
      <c r="K38" s="136">
        <f t="shared" ref="K38" si="15">J38/I38</f>
        <v>750</v>
      </c>
      <c r="L38" s="134">
        <f t="shared" ref="L38:M38" si="16">AVERAGE(L22:L37)</f>
        <v>4</v>
      </c>
      <c r="M38" s="135">
        <f t="shared" si="16"/>
        <v>2797.7723647465409</v>
      </c>
      <c r="N38" s="136">
        <f t="shared" ref="N38:N46" si="17">M38/L38</f>
        <v>699.44309118663523</v>
      </c>
      <c r="O38" s="137">
        <f t="shared" ref="O38:O46" si="18">L38-I38</f>
        <v>0</v>
      </c>
      <c r="P38" s="138">
        <f t="shared" ref="P38:P46" si="19">N38-K38</f>
        <v>-50.556908813364771</v>
      </c>
      <c r="Q38" s="139">
        <f t="shared" ref="Q38:Q46" si="20">N38/K38</f>
        <v>0.932590788248847</v>
      </c>
      <c r="R38" s="309"/>
      <c r="S38" s="140">
        <v>0.32083333333333336</v>
      </c>
      <c r="T38" s="141">
        <v>0.39553240740740742</v>
      </c>
      <c r="U38" s="142"/>
      <c r="V38" s="164"/>
      <c r="W38" s="97"/>
      <c r="X38" s="67"/>
      <c r="Y38" s="295"/>
      <c r="Z38" s="296"/>
      <c r="AA38" s="166">
        <f t="shared" ref="AA38:AA46" si="21">M38-J38</f>
        <v>-202.22763525345908</v>
      </c>
      <c r="AB38" s="139">
        <f t="shared" ref="AB38:AB46" si="22">M38/J38</f>
        <v>0.932590788248847</v>
      </c>
      <c r="AC38" s="314"/>
    </row>
    <row r="39" spans="1:29" ht="15.75" customHeight="1">
      <c r="A39" s="315" t="s">
        <v>71</v>
      </c>
      <c r="B39" s="112" t="s">
        <v>118</v>
      </c>
      <c r="C39" s="305" t="s">
        <v>129</v>
      </c>
      <c r="D39" s="306"/>
      <c r="E39" s="145">
        <v>24.82</v>
      </c>
      <c r="F39" s="95">
        <v>778</v>
      </c>
      <c r="G39" s="146">
        <f t="shared" ref="G39:G46" si="23">E39*F39</f>
        <v>19309.96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6" si="24">F39/V39*60</f>
        <v>3285.0811082212331</v>
      </c>
      <c r="N39" s="150">
        <f t="shared" si="17"/>
        <v>657.01622164424657</v>
      </c>
      <c r="O39" s="152">
        <f t="shared" si="18"/>
        <v>0</v>
      </c>
      <c r="P39" s="153">
        <f t="shared" si="19"/>
        <v>-62.983778355753429</v>
      </c>
      <c r="Q39" s="154">
        <f t="shared" si="20"/>
        <v>0.91252253006145356</v>
      </c>
      <c r="R39" s="307">
        <f>Q55</f>
        <v>0.9195940799294231</v>
      </c>
      <c r="S39" s="155">
        <v>0.25</v>
      </c>
      <c r="T39" s="156">
        <v>0.2598611111111111</v>
      </c>
      <c r="U39" s="157"/>
      <c r="V39" s="158">
        <v>14.209694817938828</v>
      </c>
      <c r="W39" s="159"/>
      <c r="X39" s="160"/>
      <c r="Y39" s="310"/>
      <c r="Z39" s="311"/>
      <c r="AA39" s="113">
        <f t="shared" si="21"/>
        <v>-314.91889177876692</v>
      </c>
      <c r="AB39" s="154">
        <f t="shared" si="22"/>
        <v>0.91252253006145367</v>
      </c>
      <c r="AC39" s="312">
        <f>AB55</f>
        <v>0.9195940799294231</v>
      </c>
    </row>
    <row r="40" spans="1:29" ht="15.75" customHeight="1">
      <c r="A40" s="316"/>
      <c r="B40" s="98" t="s">
        <v>118</v>
      </c>
      <c r="C40" s="297" t="s">
        <v>128</v>
      </c>
      <c r="D40" s="298"/>
      <c r="E40" s="99">
        <v>25.03</v>
      </c>
      <c r="F40" s="100">
        <v>650</v>
      </c>
      <c r="G40" s="101">
        <f t="shared" si="23"/>
        <v>16269.5</v>
      </c>
      <c r="H40" s="26"/>
      <c r="I40" s="102">
        <v>5</v>
      </c>
      <c r="J40" s="103">
        <v>3600</v>
      </c>
      <c r="K40" s="104">
        <f t="shared" ref="K40:K63" si="25">J40/I40</f>
        <v>720</v>
      </c>
      <c r="L40" s="105">
        <v>5</v>
      </c>
      <c r="M40" s="103">
        <f t="shared" si="24"/>
        <v>3285.2425846241708</v>
      </c>
      <c r="N40" s="104">
        <f t="shared" si="17"/>
        <v>657.04851692483419</v>
      </c>
      <c r="O40" s="106">
        <f t="shared" si="18"/>
        <v>0</v>
      </c>
      <c r="P40" s="107">
        <f t="shared" si="19"/>
        <v>-62.951483075165811</v>
      </c>
      <c r="Q40" s="108">
        <f t="shared" si="20"/>
        <v>0.91256738461782527</v>
      </c>
      <c r="R40" s="308"/>
      <c r="S40" s="46">
        <v>0.26944444444444449</v>
      </c>
      <c r="T40" s="47">
        <v>0.2776851851851852</v>
      </c>
      <c r="U40" s="109">
        <v>13.800000000000079</v>
      </c>
      <c r="V40" s="110">
        <v>11.871269471097998</v>
      </c>
      <c r="W40" s="111"/>
      <c r="X40" s="114"/>
      <c r="Y40" s="299"/>
      <c r="Z40" s="300"/>
      <c r="AA40" s="115">
        <f t="shared" si="21"/>
        <v>-314.75741537582917</v>
      </c>
      <c r="AB40" s="108">
        <f t="shared" si="22"/>
        <v>0.91256738461782527</v>
      </c>
      <c r="AC40" s="313"/>
    </row>
    <row r="41" spans="1:29" ht="15.75" customHeight="1">
      <c r="A41" s="316"/>
      <c r="B41" s="98" t="s">
        <v>118</v>
      </c>
      <c r="C41" s="297" t="s">
        <v>219</v>
      </c>
      <c r="D41" s="298"/>
      <c r="E41" s="99">
        <v>23.8</v>
      </c>
      <c r="F41" s="100">
        <v>515</v>
      </c>
      <c r="G41" s="101">
        <f t="shared" si="23"/>
        <v>12257</v>
      </c>
      <c r="H41" s="26"/>
      <c r="I41" s="102">
        <v>4</v>
      </c>
      <c r="J41" s="103">
        <v>3600</v>
      </c>
      <c r="K41" s="104">
        <f t="shared" si="25"/>
        <v>900</v>
      </c>
      <c r="L41" s="105">
        <v>4</v>
      </c>
      <c r="M41" s="103">
        <f t="shared" si="24"/>
        <v>3282.4137273714496</v>
      </c>
      <c r="N41" s="104">
        <f t="shared" si="17"/>
        <v>820.60343184286239</v>
      </c>
      <c r="O41" s="106">
        <f t="shared" si="18"/>
        <v>0</v>
      </c>
      <c r="P41" s="107">
        <f t="shared" si="19"/>
        <v>-79.396568157137608</v>
      </c>
      <c r="Q41" s="108">
        <f t="shared" si="20"/>
        <v>0.91178159093651379</v>
      </c>
      <c r="R41" s="308"/>
      <c r="S41" s="46">
        <v>0.28611111111111115</v>
      </c>
      <c r="T41" s="47">
        <v>0.29263888888888895</v>
      </c>
      <c r="U41" s="109">
        <v>12.133333333333365</v>
      </c>
      <c r="V41" s="110">
        <v>9.413804159521554</v>
      </c>
      <c r="W41" s="111"/>
      <c r="X41" s="114"/>
      <c r="Y41" s="299"/>
      <c r="Z41" s="300"/>
      <c r="AA41" s="115">
        <f t="shared" si="21"/>
        <v>-317.58627262855043</v>
      </c>
      <c r="AB41" s="108">
        <f t="shared" si="22"/>
        <v>0.91178159093651379</v>
      </c>
      <c r="AC41" s="313"/>
    </row>
    <row r="42" spans="1:29" ht="15.75" customHeight="1">
      <c r="A42" s="316"/>
      <c r="B42" s="98" t="s">
        <v>118</v>
      </c>
      <c r="C42" s="297" t="s">
        <v>207</v>
      </c>
      <c r="D42" s="298"/>
      <c r="E42" s="99">
        <v>30</v>
      </c>
      <c r="F42" s="100">
        <v>612</v>
      </c>
      <c r="G42" s="101">
        <f t="shared" si="23"/>
        <v>18360</v>
      </c>
      <c r="H42" s="26"/>
      <c r="I42" s="102">
        <v>4</v>
      </c>
      <c r="J42" s="103">
        <v>3300</v>
      </c>
      <c r="K42" s="104">
        <f t="shared" si="25"/>
        <v>825</v>
      </c>
      <c r="L42" s="105">
        <v>4</v>
      </c>
      <c r="M42" s="103">
        <f t="shared" si="24"/>
        <v>3078.9912781355442</v>
      </c>
      <c r="N42" s="104">
        <f t="shared" si="17"/>
        <v>769.74781953388606</v>
      </c>
      <c r="O42" s="106">
        <f t="shared" si="18"/>
        <v>0</v>
      </c>
      <c r="P42" s="107">
        <f t="shared" si="19"/>
        <v>-55.252180466113941</v>
      </c>
      <c r="Q42" s="108">
        <f t="shared" si="20"/>
        <v>0.93302766004107396</v>
      </c>
      <c r="R42" s="308"/>
      <c r="S42" s="46">
        <v>0.30138888888888893</v>
      </c>
      <c r="T42" s="47">
        <v>0.30966435185185187</v>
      </c>
      <c r="U42" s="109">
        <v>12.599999999999971</v>
      </c>
      <c r="V42" s="110">
        <v>11.925983766422187</v>
      </c>
      <c r="W42" s="111"/>
      <c r="X42" s="114"/>
      <c r="Y42" s="299"/>
      <c r="Z42" s="300"/>
      <c r="AA42" s="115">
        <f t="shared" si="21"/>
        <v>-221.00872186445577</v>
      </c>
      <c r="AB42" s="108">
        <f t="shared" si="22"/>
        <v>0.93302766004107396</v>
      </c>
      <c r="AC42" s="313"/>
    </row>
    <row r="43" spans="1:29" ht="15.75" customHeight="1">
      <c r="A43" s="316"/>
      <c r="B43" s="98" t="s">
        <v>118</v>
      </c>
      <c r="C43" s="297" t="s">
        <v>124</v>
      </c>
      <c r="D43" s="298"/>
      <c r="E43" s="99">
        <v>18.18</v>
      </c>
      <c r="F43" s="100">
        <v>896</v>
      </c>
      <c r="G43" s="101">
        <f t="shared" si="23"/>
        <v>16289.279999999999</v>
      </c>
      <c r="H43" s="13"/>
      <c r="I43" s="102">
        <v>3</v>
      </c>
      <c r="J43" s="103">
        <v>3600</v>
      </c>
      <c r="K43" s="104">
        <f t="shared" si="25"/>
        <v>1200</v>
      </c>
      <c r="L43" s="105">
        <v>3</v>
      </c>
      <c r="M43" s="103">
        <f t="shared" si="24"/>
        <v>3282.767658950082</v>
      </c>
      <c r="N43" s="104">
        <f t="shared" si="17"/>
        <v>1094.2558863166939</v>
      </c>
      <c r="O43" s="106">
        <f t="shared" si="18"/>
        <v>0</v>
      </c>
      <c r="P43" s="107">
        <f t="shared" si="19"/>
        <v>-105.74411368330607</v>
      </c>
      <c r="Q43" s="108">
        <f t="shared" si="20"/>
        <v>0.91187990526391161</v>
      </c>
      <c r="R43" s="308"/>
      <c r="S43" s="46">
        <v>0.31805555555555559</v>
      </c>
      <c r="T43" s="47">
        <v>0.32942129629629635</v>
      </c>
      <c r="U43" s="109">
        <v>12.083333333333357</v>
      </c>
      <c r="V43" s="110">
        <v>16.376425499815575</v>
      </c>
      <c r="W43" s="111"/>
      <c r="X43" s="114"/>
      <c r="Y43" s="299"/>
      <c r="Z43" s="300"/>
      <c r="AA43" s="115">
        <f t="shared" si="21"/>
        <v>-317.23234104991798</v>
      </c>
      <c r="AB43" s="108">
        <f t="shared" si="22"/>
        <v>0.91187990526391172</v>
      </c>
      <c r="AC43" s="313"/>
    </row>
    <row r="44" spans="1:29" ht="15.75" customHeight="1">
      <c r="A44" s="316"/>
      <c r="B44" s="98" t="s">
        <v>118</v>
      </c>
      <c r="C44" s="297" t="s">
        <v>199</v>
      </c>
      <c r="D44" s="298"/>
      <c r="E44" s="99">
        <v>17.07</v>
      </c>
      <c r="F44" s="100">
        <v>1204</v>
      </c>
      <c r="G44" s="119">
        <f t="shared" si="23"/>
        <v>20552.28</v>
      </c>
      <c r="H44" s="120"/>
      <c r="I44" s="102">
        <v>3</v>
      </c>
      <c r="J44" s="103">
        <v>3300</v>
      </c>
      <c r="K44" s="104">
        <f t="shared" si="25"/>
        <v>1100</v>
      </c>
      <c r="L44" s="105">
        <v>3</v>
      </c>
      <c r="M44" s="103">
        <f t="shared" si="24"/>
        <v>3079.4525973876748</v>
      </c>
      <c r="N44" s="104">
        <f t="shared" si="17"/>
        <v>1026.4841991292249</v>
      </c>
      <c r="O44" s="106">
        <f t="shared" si="18"/>
        <v>0</v>
      </c>
      <c r="P44" s="107">
        <f t="shared" si="19"/>
        <v>-73.515800870775138</v>
      </c>
      <c r="Q44" s="108">
        <f t="shared" si="20"/>
        <v>0.9331674537538408</v>
      </c>
      <c r="R44" s="308"/>
      <c r="S44" s="46">
        <v>0.33819444444444452</v>
      </c>
      <c r="T44" s="118">
        <v>0.35447916666666673</v>
      </c>
      <c r="U44" s="109">
        <v>12.633333333333363</v>
      </c>
      <c r="V44" s="110">
        <v>23.458714727832405</v>
      </c>
      <c r="W44" s="111"/>
      <c r="X44" s="114"/>
      <c r="Y44" s="299"/>
      <c r="Z44" s="300"/>
      <c r="AA44" s="115">
        <f t="shared" si="21"/>
        <v>-220.54740261232519</v>
      </c>
      <c r="AB44" s="108">
        <f t="shared" si="22"/>
        <v>0.9331674537538408</v>
      </c>
      <c r="AC44" s="313"/>
    </row>
    <row r="45" spans="1:29" ht="15.75" customHeight="1">
      <c r="A45" s="316"/>
      <c r="B45" s="98" t="s">
        <v>118</v>
      </c>
      <c r="C45" s="297" t="s">
        <v>125</v>
      </c>
      <c r="D45" s="298"/>
      <c r="E45" s="99">
        <v>14.03</v>
      </c>
      <c r="F45" s="100">
        <v>3497</v>
      </c>
      <c r="G45" s="119">
        <f t="shared" si="23"/>
        <v>49062.909999999996</v>
      </c>
      <c r="H45" s="60"/>
      <c r="I45" s="102">
        <v>3</v>
      </c>
      <c r="J45" s="103">
        <v>3000</v>
      </c>
      <c r="K45" s="104">
        <f t="shared" si="25"/>
        <v>1000</v>
      </c>
      <c r="L45" s="105">
        <v>3</v>
      </c>
      <c r="M45" s="103">
        <f t="shared" si="24"/>
        <v>2801.0555878084174</v>
      </c>
      <c r="N45" s="104">
        <f t="shared" si="17"/>
        <v>933.68519593613917</v>
      </c>
      <c r="O45" s="121">
        <f t="shared" si="18"/>
        <v>0</v>
      </c>
      <c r="P45" s="122">
        <f t="shared" si="19"/>
        <v>-66.314804063860834</v>
      </c>
      <c r="Q45" s="123">
        <f t="shared" si="20"/>
        <v>0.93368519593613919</v>
      </c>
      <c r="R45" s="308"/>
      <c r="S45" s="46">
        <v>0.36319444444444454</v>
      </c>
      <c r="T45" s="118">
        <v>0.4152083333333334</v>
      </c>
      <c r="U45" s="109">
        <v>12.550000000000043</v>
      </c>
      <c r="V45" s="110">
        <v>74.907474493987436</v>
      </c>
      <c r="W45" s="111"/>
      <c r="X45" s="114"/>
      <c r="Y45" s="299"/>
      <c r="Z45" s="300"/>
      <c r="AA45" s="115">
        <f t="shared" si="21"/>
        <v>-198.94441219158261</v>
      </c>
      <c r="AB45" s="108">
        <f t="shared" si="22"/>
        <v>0.93368519593613908</v>
      </c>
      <c r="AC45" s="313"/>
    </row>
    <row r="46" spans="1:29" ht="15.75" customHeight="1">
      <c r="A46" s="316"/>
      <c r="B46" s="98" t="s">
        <v>118</v>
      </c>
      <c r="C46" s="297" t="s">
        <v>127</v>
      </c>
      <c r="D46" s="298"/>
      <c r="E46" s="99">
        <v>14.28</v>
      </c>
      <c r="F46" s="100">
        <v>5069</v>
      </c>
      <c r="G46" s="119">
        <f t="shared" si="23"/>
        <v>72385.319999999992</v>
      </c>
      <c r="H46" s="60"/>
      <c r="I46" s="102">
        <v>3</v>
      </c>
      <c r="J46" s="103">
        <v>3600</v>
      </c>
      <c r="K46" s="104">
        <f t="shared" si="25"/>
        <v>1200</v>
      </c>
      <c r="L46" s="116">
        <v>3</v>
      </c>
      <c r="M46" s="103">
        <f t="shared" si="24"/>
        <v>3285.7920635535052</v>
      </c>
      <c r="N46" s="104">
        <f t="shared" si="17"/>
        <v>1095.2640211845016</v>
      </c>
      <c r="O46" s="121">
        <f t="shared" si="18"/>
        <v>0</v>
      </c>
      <c r="P46" s="122">
        <f t="shared" si="19"/>
        <v>-104.73597881549836</v>
      </c>
      <c r="Q46" s="123">
        <f t="shared" si="20"/>
        <v>0.91272001765375133</v>
      </c>
      <c r="R46" s="308"/>
      <c r="S46" s="46">
        <v>0.42361111111111122</v>
      </c>
      <c r="T46" s="118">
        <v>0.48788194444444455</v>
      </c>
      <c r="U46" s="109">
        <v>12.100000000000053</v>
      </c>
      <c r="V46" s="110">
        <v>92.562156739486397</v>
      </c>
      <c r="W46" s="111"/>
      <c r="X46" s="114"/>
      <c r="Y46" s="299"/>
      <c r="Z46" s="300"/>
      <c r="AA46" s="115">
        <f t="shared" si="21"/>
        <v>-314.20793644649484</v>
      </c>
      <c r="AB46" s="108">
        <f t="shared" si="22"/>
        <v>0.91272001765375144</v>
      </c>
      <c r="AC46" s="313"/>
    </row>
    <row r="47" spans="1:29" ht="15.75" customHeight="1">
      <c r="A47" s="316"/>
      <c r="B47" s="98"/>
      <c r="C47" s="297"/>
      <c r="D47" s="298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8"/>
      <c r="S47" s="46"/>
      <c r="T47" s="118"/>
      <c r="U47" s="109"/>
      <c r="V47" s="110"/>
      <c r="W47" s="111"/>
      <c r="X47" s="114"/>
      <c r="Y47" s="299"/>
      <c r="Z47" s="300"/>
      <c r="AA47" s="115"/>
      <c r="AB47" s="108"/>
      <c r="AC47" s="313"/>
    </row>
    <row r="48" spans="1:29" ht="15.75" customHeight="1">
      <c r="A48" s="316"/>
      <c r="B48" s="98"/>
      <c r="C48" s="297"/>
      <c r="D48" s="298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8"/>
      <c r="S48" s="46"/>
      <c r="T48" s="118"/>
      <c r="U48" s="109"/>
      <c r="V48" s="110"/>
      <c r="W48" s="111"/>
      <c r="X48" s="114"/>
      <c r="Y48" s="299"/>
      <c r="Z48" s="300"/>
      <c r="AA48" s="115"/>
      <c r="AB48" s="108"/>
      <c r="AC48" s="313"/>
    </row>
    <row r="49" spans="1:29" ht="15.75" customHeight="1">
      <c r="A49" s="316"/>
      <c r="B49" s="98"/>
      <c r="C49" s="297"/>
      <c r="D49" s="298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8"/>
      <c r="S49" s="46"/>
      <c r="T49" s="118"/>
      <c r="U49" s="109"/>
      <c r="V49" s="110"/>
      <c r="W49" s="124"/>
      <c r="X49" s="125"/>
      <c r="Y49" s="299"/>
      <c r="Z49" s="300"/>
      <c r="AA49" s="115"/>
      <c r="AB49" s="108"/>
      <c r="AC49" s="313"/>
    </row>
    <row r="50" spans="1:29" ht="15.75" customHeight="1">
      <c r="A50" s="316"/>
      <c r="B50" s="98"/>
      <c r="C50" s="297"/>
      <c r="D50" s="298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8"/>
      <c r="S50" s="46"/>
      <c r="T50" s="118"/>
      <c r="U50" s="109"/>
      <c r="V50" s="110"/>
      <c r="W50" s="124"/>
      <c r="X50" s="125"/>
      <c r="Y50" s="299"/>
      <c r="Z50" s="300"/>
      <c r="AA50" s="115"/>
      <c r="AB50" s="108"/>
      <c r="AC50" s="313"/>
    </row>
    <row r="51" spans="1:29" ht="15.75" customHeight="1">
      <c r="A51" s="316"/>
      <c r="B51" s="98"/>
      <c r="C51" s="297"/>
      <c r="D51" s="298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8"/>
      <c r="S51" s="46"/>
      <c r="T51" s="118"/>
      <c r="U51" s="109"/>
      <c r="V51" s="110"/>
      <c r="W51" s="124"/>
      <c r="X51" s="125"/>
      <c r="Y51" s="299"/>
      <c r="Z51" s="300"/>
      <c r="AA51" s="115"/>
      <c r="AB51" s="108"/>
      <c r="AC51" s="313"/>
    </row>
    <row r="52" spans="1:29" ht="15.75" customHeight="1">
      <c r="A52" s="316"/>
      <c r="B52" s="98"/>
      <c r="C52" s="297"/>
      <c r="D52" s="298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8"/>
      <c r="S52" s="46"/>
      <c r="T52" s="118"/>
      <c r="U52" s="109"/>
      <c r="V52" s="110"/>
      <c r="W52" s="124"/>
      <c r="X52" s="125"/>
      <c r="Y52" s="299"/>
      <c r="Z52" s="300"/>
      <c r="AA52" s="115"/>
      <c r="AB52" s="108"/>
      <c r="AC52" s="313"/>
    </row>
    <row r="53" spans="1:29" ht="15.75" customHeight="1">
      <c r="A53" s="316"/>
      <c r="B53" s="98"/>
      <c r="C53" s="297"/>
      <c r="D53" s="298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8"/>
      <c r="S53" s="46"/>
      <c r="T53" s="118"/>
      <c r="U53" s="109"/>
      <c r="V53" s="110"/>
      <c r="W53" s="124"/>
      <c r="X53" s="125"/>
      <c r="Y53" s="299"/>
      <c r="Z53" s="300"/>
      <c r="AA53" s="115"/>
      <c r="AB53" s="108"/>
      <c r="AC53" s="313"/>
    </row>
    <row r="54" spans="1:29" ht="15.75" customHeight="1">
      <c r="A54" s="316"/>
      <c r="B54" s="98"/>
      <c r="C54" s="297"/>
      <c r="D54" s="298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8"/>
      <c r="S54" s="117"/>
      <c r="T54" s="118"/>
      <c r="U54" s="128"/>
      <c r="V54" s="129"/>
      <c r="W54" s="124"/>
      <c r="X54" s="125"/>
      <c r="Y54" s="299"/>
      <c r="Z54" s="300"/>
      <c r="AA54" s="163"/>
      <c r="AB54" s="123"/>
      <c r="AC54" s="313"/>
    </row>
    <row r="55" spans="1:29" ht="15.75" customHeight="1" thickBot="1">
      <c r="A55" s="317"/>
      <c r="B55" s="131" t="s">
        <v>115</v>
      </c>
      <c r="C55" s="294"/>
      <c r="D55" s="294"/>
      <c r="E55" s="132"/>
      <c r="F55" s="97"/>
      <c r="G55" s="133"/>
      <c r="H55" s="67"/>
      <c r="I55" s="134">
        <f t="shared" ref="I55:J55" si="26">AVERAGE(I39:I54)</f>
        <v>3.75</v>
      </c>
      <c r="J55" s="135">
        <f t="shared" si="26"/>
        <v>3450</v>
      </c>
      <c r="K55" s="136">
        <f t="shared" ref="K55" si="27">J55/I55</f>
        <v>920</v>
      </c>
      <c r="L55" s="134">
        <f t="shared" ref="L55:M55" si="28">AVERAGE(L39:L54)</f>
        <v>3.75</v>
      </c>
      <c r="M55" s="135">
        <f t="shared" si="28"/>
        <v>3172.5995757565097</v>
      </c>
      <c r="N55" s="136">
        <f t="shared" ref="N55:N63" si="29">M55/L55</f>
        <v>846.0265535350693</v>
      </c>
      <c r="O55" s="137">
        <f t="shared" ref="O55:O63" si="30">L55-I55</f>
        <v>0</v>
      </c>
      <c r="P55" s="138">
        <f t="shared" ref="P55:P63" si="31">N55-K55</f>
        <v>-73.973446464930703</v>
      </c>
      <c r="Q55" s="139">
        <f t="shared" ref="Q55:Q63" si="32">N55/K55</f>
        <v>0.9195940799294231</v>
      </c>
      <c r="R55" s="309"/>
      <c r="S55" s="140">
        <v>0.25</v>
      </c>
      <c r="T55" s="141">
        <v>0.48788194444444455</v>
      </c>
      <c r="U55" s="142"/>
      <c r="V55" s="164"/>
      <c r="W55" s="97"/>
      <c r="X55" s="67"/>
      <c r="Y55" s="295"/>
      <c r="Z55" s="296"/>
      <c r="AA55" s="166">
        <f t="shared" ref="AA55:AA63" si="33">M55-J55</f>
        <v>-277.40042424349031</v>
      </c>
      <c r="AB55" s="139">
        <f t="shared" ref="AB55:AB63" si="34">M55/J55</f>
        <v>0.9195940799294231</v>
      </c>
      <c r="AC55" s="314"/>
    </row>
    <row r="56" spans="1:29" ht="15.75" customHeight="1">
      <c r="A56" s="301" t="s">
        <v>78</v>
      </c>
      <c r="B56" s="112" t="s">
        <v>118</v>
      </c>
      <c r="C56" s="305" t="s">
        <v>126</v>
      </c>
      <c r="D56" s="306"/>
      <c r="E56" s="145">
        <v>18.18</v>
      </c>
      <c r="F56" s="95">
        <v>1422</v>
      </c>
      <c r="G56" s="146">
        <f t="shared" ref="G56:G63" si="35">E56*F56</f>
        <v>25851.96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36">F56/V56*60</f>
        <v>3283.2999201024077</v>
      </c>
      <c r="N56" s="150">
        <f t="shared" si="29"/>
        <v>1094.4333067008026</v>
      </c>
      <c r="O56" s="152">
        <f t="shared" si="30"/>
        <v>0</v>
      </c>
      <c r="P56" s="153">
        <f t="shared" si="31"/>
        <v>-105.56669329919737</v>
      </c>
      <c r="Q56" s="154">
        <f t="shared" si="32"/>
        <v>0.91202775558400218</v>
      </c>
      <c r="R56" s="307">
        <f>Q72</f>
        <v>0.9124648083767869</v>
      </c>
      <c r="S56" s="155">
        <v>0.25</v>
      </c>
      <c r="T56" s="156">
        <v>0.26804398148148145</v>
      </c>
      <c r="U56" s="157"/>
      <c r="V56" s="158">
        <v>25.986051252161829</v>
      </c>
      <c r="W56" s="156"/>
      <c r="X56" s="167"/>
      <c r="Y56" s="310"/>
      <c r="Z56" s="311"/>
      <c r="AA56" s="113">
        <f t="shared" si="33"/>
        <v>-316.70007989759233</v>
      </c>
      <c r="AB56" s="154">
        <f t="shared" si="34"/>
        <v>0.91202775558400218</v>
      </c>
      <c r="AC56" s="312">
        <f>AB72</f>
        <v>0.91246480837678701</v>
      </c>
    </row>
    <row r="57" spans="1:29" ht="15.75" customHeight="1">
      <c r="A57" s="302"/>
      <c r="B57" s="98" t="s">
        <v>118</v>
      </c>
      <c r="C57" s="297" t="s">
        <v>203</v>
      </c>
      <c r="D57" s="298"/>
      <c r="E57" s="99">
        <v>20.72</v>
      </c>
      <c r="F57" s="100">
        <v>692</v>
      </c>
      <c r="G57" s="101">
        <f t="shared" si="35"/>
        <v>14338.24</v>
      </c>
      <c r="H57" s="26"/>
      <c r="I57" s="102">
        <v>3</v>
      </c>
      <c r="J57" s="103">
        <v>3600</v>
      </c>
      <c r="K57" s="104">
        <f t="shared" si="25"/>
        <v>1200</v>
      </c>
      <c r="L57" s="105">
        <v>3</v>
      </c>
      <c r="M57" s="103">
        <f t="shared" si="36"/>
        <v>3286.9073810841242</v>
      </c>
      <c r="N57" s="104">
        <f t="shared" si="29"/>
        <v>1095.6357936947081</v>
      </c>
      <c r="O57" s="106">
        <f t="shared" si="30"/>
        <v>0</v>
      </c>
      <c r="P57" s="107">
        <f t="shared" si="31"/>
        <v>-104.36420630529187</v>
      </c>
      <c r="Q57" s="108">
        <f t="shared" si="32"/>
        <v>0.91302982807892341</v>
      </c>
      <c r="R57" s="308"/>
      <c r="S57" s="46">
        <v>0.27638888888888891</v>
      </c>
      <c r="T57" s="47">
        <v>0.28515046296296298</v>
      </c>
      <c r="U57" s="109">
        <v>12.016666666666733</v>
      </c>
      <c r="V57" s="110">
        <v>12.631934881689734</v>
      </c>
      <c r="W57" s="111"/>
      <c r="X57" s="13"/>
      <c r="Y57" s="299"/>
      <c r="Z57" s="300"/>
      <c r="AA57" s="115">
        <f t="shared" si="33"/>
        <v>-313.09261891587585</v>
      </c>
      <c r="AB57" s="108">
        <f t="shared" si="34"/>
        <v>0.91302982807892341</v>
      </c>
      <c r="AC57" s="313"/>
    </row>
    <row r="58" spans="1:29" ht="15.75" customHeight="1">
      <c r="A58" s="302"/>
      <c r="B58" s="98" t="s">
        <v>118</v>
      </c>
      <c r="C58" s="297" t="s">
        <v>130</v>
      </c>
      <c r="D58" s="298"/>
      <c r="E58" s="99">
        <v>30</v>
      </c>
      <c r="F58" s="100">
        <v>1030</v>
      </c>
      <c r="G58" s="101">
        <f t="shared" si="35"/>
        <v>30900</v>
      </c>
      <c r="H58" s="26"/>
      <c r="I58" s="102">
        <v>4</v>
      </c>
      <c r="J58" s="103">
        <v>3600</v>
      </c>
      <c r="K58" s="104">
        <f t="shared" si="25"/>
        <v>900</v>
      </c>
      <c r="L58" s="105">
        <v>4</v>
      </c>
      <c r="M58" s="103">
        <f t="shared" si="36"/>
        <v>3286.7418628225628</v>
      </c>
      <c r="N58" s="104">
        <f t="shared" si="29"/>
        <v>821.68546570564069</v>
      </c>
      <c r="O58" s="106">
        <f t="shared" si="30"/>
        <v>0</v>
      </c>
      <c r="P58" s="107">
        <f t="shared" si="31"/>
        <v>-78.314534294359305</v>
      </c>
      <c r="Q58" s="108">
        <f t="shared" si="32"/>
        <v>0.9129838507840452</v>
      </c>
      <c r="R58" s="308"/>
      <c r="S58" s="46">
        <v>0.29444444444444451</v>
      </c>
      <c r="T58" s="47">
        <v>0.30750000000000005</v>
      </c>
      <c r="U58" s="109">
        <v>13.3833333333334</v>
      </c>
      <c r="V58" s="110">
        <v>18.802815243582248</v>
      </c>
      <c r="W58" s="111"/>
      <c r="X58" s="13"/>
      <c r="Y58" s="299"/>
      <c r="Z58" s="300"/>
      <c r="AA58" s="115">
        <f t="shared" si="33"/>
        <v>-313.25813717743722</v>
      </c>
      <c r="AB58" s="108">
        <f t="shared" si="34"/>
        <v>0.9129838507840452</v>
      </c>
      <c r="AC58" s="313"/>
    </row>
    <row r="59" spans="1:29" ht="15.75" customHeight="1">
      <c r="A59" s="302"/>
      <c r="B59" s="98" t="s">
        <v>118</v>
      </c>
      <c r="C59" s="297" t="s">
        <v>218</v>
      </c>
      <c r="D59" s="298"/>
      <c r="E59" s="99">
        <v>24.76</v>
      </c>
      <c r="F59" s="100">
        <v>985</v>
      </c>
      <c r="G59" s="101">
        <f t="shared" si="35"/>
        <v>24388.600000000002</v>
      </c>
      <c r="H59" s="26"/>
      <c r="I59" s="102">
        <v>4</v>
      </c>
      <c r="J59" s="103">
        <v>3600</v>
      </c>
      <c r="K59" s="104">
        <f t="shared" si="25"/>
        <v>900</v>
      </c>
      <c r="L59" s="105">
        <v>4</v>
      </c>
      <c r="M59" s="103">
        <f t="shared" si="36"/>
        <v>3282.5833810557851</v>
      </c>
      <c r="N59" s="104">
        <f t="shared" si="29"/>
        <v>820.64584526394628</v>
      </c>
      <c r="O59" s="106">
        <f t="shared" si="30"/>
        <v>0</v>
      </c>
      <c r="P59" s="107">
        <f t="shared" si="31"/>
        <v>-79.354154736053715</v>
      </c>
      <c r="Q59" s="108">
        <f t="shared" si="32"/>
        <v>0.91182871695994028</v>
      </c>
      <c r="R59" s="308"/>
      <c r="S59" s="46">
        <v>0.31597222222222232</v>
      </c>
      <c r="T59" s="47">
        <v>0.32847222222222233</v>
      </c>
      <c r="U59" s="109">
        <v>12.200000000000069</v>
      </c>
      <c r="V59" s="110">
        <v>18.00411235281144</v>
      </c>
      <c r="W59" s="111"/>
      <c r="X59" s="114"/>
      <c r="Y59" s="299"/>
      <c r="Z59" s="300"/>
      <c r="AA59" s="115">
        <f t="shared" si="33"/>
        <v>-317.41661894421486</v>
      </c>
      <c r="AB59" s="108">
        <f t="shared" si="34"/>
        <v>0.91182871695994028</v>
      </c>
      <c r="AC59" s="313"/>
    </row>
    <row r="60" spans="1:29" ht="15.75" customHeight="1">
      <c r="A60" s="303"/>
      <c r="B60" s="98" t="s">
        <v>118</v>
      </c>
      <c r="C60" s="297" t="s">
        <v>122</v>
      </c>
      <c r="D60" s="298"/>
      <c r="E60" s="99">
        <v>17.89</v>
      </c>
      <c r="F60" s="100">
        <v>2102</v>
      </c>
      <c r="G60" s="101">
        <f t="shared" si="35"/>
        <v>37604.78</v>
      </c>
      <c r="H60" s="13"/>
      <c r="I60" s="102">
        <v>4</v>
      </c>
      <c r="J60" s="103">
        <v>3600</v>
      </c>
      <c r="K60" s="104">
        <f t="shared" si="25"/>
        <v>900</v>
      </c>
      <c r="L60" s="105">
        <v>4</v>
      </c>
      <c r="M60" s="103">
        <f t="shared" si="36"/>
        <v>3284.1365710001983</v>
      </c>
      <c r="N60" s="104">
        <f t="shared" si="29"/>
        <v>821.03414275004957</v>
      </c>
      <c r="O60" s="106">
        <f t="shared" si="30"/>
        <v>0</v>
      </c>
      <c r="P60" s="107">
        <f t="shared" si="31"/>
        <v>-78.965857249950432</v>
      </c>
      <c r="Q60" s="108">
        <f t="shared" si="32"/>
        <v>0.91226015861116616</v>
      </c>
      <c r="R60" s="308"/>
      <c r="S60" s="46">
        <v>0.33819444444444458</v>
      </c>
      <c r="T60" s="47">
        <v>0.36486111111111125</v>
      </c>
      <c r="U60" s="109">
        <v>14.00000000000003</v>
      </c>
      <c r="V60" s="110">
        <v>38.402787848006454</v>
      </c>
      <c r="W60" s="111"/>
      <c r="X60" s="114"/>
      <c r="Y60" s="299"/>
      <c r="Z60" s="300"/>
      <c r="AA60" s="115">
        <f t="shared" si="33"/>
        <v>-315.86342899980173</v>
      </c>
      <c r="AB60" s="108">
        <f t="shared" si="34"/>
        <v>0.91226015861116616</v>
      </c>
      <c r="AC60" s="313"/>
    </row>
    <row r="61" spans="1:29" ht="15.75" customHeight="1">
      <c r="A61" s="303"/>
      <c r="B61" s="98" t="s">
        <v>118</v>
      </c>
      <c r="C61" s="297" t="s">
        <v>213</v>
      </c>
      <c r="D61" s="298"/>
      <c r="E61" s="99">
        <v>22.32</v>
      </c>
      <c r="F61" s="100">
        <v>1470</v>
      </c>
      <c r="G61" s="119">
        <f t="shared" si="35"/>
        <v>32810.400000000001</v>
      </c>
      <c r="H61" s="120"/>
      <c r="I61" s="102">
        <v>5</v>
      </c>
      <c r="J61" s="103">
        <v>3600</v>
      </c>
      <c r="K61" s="104">
        <f t="shared" si="25"/>
        <v>720</v>
      </c>
      <c r="L61" s="105">
        <v>5</v>
      </c>
      <c r="M61" s="103">
        <f t="shared" si="36"/>
        <v>3283.4835480119341</v>
      </c>
      <c r="N61" s="104">
        <f t="shared" si="29"/>
        <v>656.69670960238682</v>
      </c>
      <c r="O61" s="106">
        <f t="shared" si="30"/>
        <v>0</v>
      </c>
      <c r="P61" s="107">
        <f t="shared" si="31"/>
        <v>-63.303290397613182</v>
      </c>
      <c r="Q61" s="108">
        <f t="shared" si="32"/>
        <v>0.91207876333664839</v>
      </c>
      <c r="R61" s="308"/>
      <c r="S61" s="46">
        <v>0.37430555555555572</v>
      </c>
      <c r="T61" s="118">
        <v>0.39295138888888903</v>
      </c>
      <c r="U61" s="109">
        <v>13.600000000000048</v>
      </c>
      <c r="V61" s="110">
        <v>26.861715221141541</v>
      </c>
      <c r="W61" s="111"/>
      <c r="X61" s="49"/>
      <c r="Y61" s="299"/>
      <c r="Z61" s="300"/>
      <c r="AA61" s="115">
        <f t="shared" si="33"/>
        <v>-316.51645198806591</v>
      </c>
      <c r="AB61" s="108">
        <f t="shared" si="34"/>
        <v>0.91207876333664839</v>
      </c>
      <c r="AC61" s="313"/>
    </row>
    <row r="62" spans="1:29" ht="15.75" customHeight="1">
      <c r="A62" s="303"/>
      <c r="B62" s="98" t="s">
        <v>118</v>
      </c>
      <c r="C62" s="297" t="s">
        <v>209</v>
      </c>
      <c r="D62" s="298"/>
      <c r="E62" s="99">
        <v>27.48</v>
      </c>
      <c r="F62" s="100">
        <v>1181</v>
      </c>
      <c r="G62" s="119">
        <f t="shared" si="35"/>
        <v>32453.88</v>
      </c>
      <c r="H62" s="60"/>
      <c r="I62" s="102">
        <v>5</v>
      </c>
      <c r="J62" s="103">
        <v>3600</v>
      </c>
      <c r="K62" s="104">
        <f t="shared" si="25"/>
        <v>720</v>
      </c>
      <c r="L62" s="105">
        <v>5</v>
      </c>
      <c r="M62" s="103">
        <f t="shared" si="36"/>
        <v>3286.1500713408859</v>
      </c>
      <c r="N62" s="104">
        <f t="shared" si="29"/>
        <v>657.23001426817723</v>
      </c>
      <c r="O62" s="121">
        <f t="shared" si="30"/>
        <v>0</v>
      </c>
      <c r="P62" s="122">
        <f t="shared" si="31"/>
        <v>-62.769985731822771</v>
      </c>
      <c r="Q62" s="123">
        <f t="shared" si="32"/>
        <v>0.91281946426135729</v>
      </c>
      <c r="R62" s="308"/>
      <c r="S62" s="46">
        <v>0.40208333333333351</v>
      </c>
      <c r="T62" s="118">
        <v>0.4170486111111113</v>
      </c>
      <c r="U62" s="109">
        <v>13.150000000000057</v>
      </c>
      <c r="V62" s="110">
        <v>21.563227016922625</v>
      </c>
      <c r="W62" s="111"/>
      <c r="X62" s="114"/>
      <c r="Y62" s="299"/>
      <c r="Z62" s="300"/>
      <c r="AA62" s="115">
        <f t="shared" si="33"/>
        <v>-313.84992865911408</v>
      </c>
      <c r="AB62" s="108">
        <f t="shared" si="34"/>
        <v>0.91281946426135718</v>
      </c>
      <c r="AC62" s="313"/>
    </row>
    <row r="63" spans="1:29" ht="15.75" customHeight="1">
      <c r="A63" s="303"/>
      <c r="B63" s="98" t="s">
        <v>118</v>
      </c>
      <c r="C63" s="297" t="s">
        <v>123</v>
      </c>
      <c r="D63" s="298"/>
      <c r="E63" s="99">
        <v>16.66</v>
      </c>
      <c r="F63" s="100">
        <v>4096</v>
      </c>
      <c r="G63" s="119">
        <f t="shared" si="35"/>
        <v>68239.360000000001</v>
      </c>
      <c r="H63" s="60"/>
      <c r="I63" s="102">
        <v>5</v>
      </c>
      <c r="J63" s="103">
        <v>3600</v>
      </c>
      <c r="K63" s="104">
        <f t="shared" si="25"/>
        <v>720</v>
      </c>
      <c r="L63" s="116">
        <v>5</v>
      </c>
      <c r="M63" s="103">
        <f t="shared" si="36"/>
        <v>3285.6837458335699</v>
      </c>
      <c r="N63" s="104">
        <f t="shared" si="29"/>
        <v>657.13674916671403</v>
      </c>
      <c r="O63" s="121">
        <f t="shared" si="30"/>
        <v>0</v>
      </c>
      <c r="P63" s="122">
        <f t="shared" si="31"/>
        <v>-62.863250833285974</v>
      </c>
      <c r="Q63" s="123">
        <f t="shared" si="32"/>
        <v>0.91268992939821392</v>
      </c>
      <c r="R63" s="308"/>
      <c r="S63" s="46">
        <v>0.42569444444444465</v>
      </c>
      <c r="T63" s="118">
        <v>0.47762731481481502</v>
      </c>
      <c r="U63" s="109">
        <v>12.450000000000028</v>
      </c>
      <c r="V63" s="110">
        <v>74.797216960286391</v>
      </c>
      <c r="W63" s="111"/>
      <c r="X63" s="114"/>
      <c r="Y63" s="299"/>
      <c r="Z63" s="300"/>
      <c r="AA63" s="115">
        <f t="shared" si="33"/>
        <v>-314.3162541664301</v>
      </c>
      <c r="AB63" s="108">
        <f t="shared" si="34"/>
        <v>0.91268992939821381</v>
      </c>
      <c r="AC63" s="313"/>
    </row>
    <row r="64" spans="1:29" ht="15.75" customHeight="1">
      <c r="A64" s="303"/>
      <c r="B64" s="98"/>
      <c r="C64" s="297"/>
      <c r="D64" s="298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8"/>
      <c r="S64" s="46"/>
      <c r="T64" s="118"/>
      <c r="U64" s="109"/>
      <c r="V64" s="110"/>
      <c r="W64" s="124"/>
      <c r="X64" s="125"/>
      <c r="Y64" s="299"/>
      <c r="Z64" s="300"/>
      <c r="AA64" s="115"/>
      <c r="AB64" s="108"/>
      <c r="AC64" s="313"/>
    </row>
    <row r="65" spans="1:29" ht="15.75" customHeight="1">
      <c r="A65" s="303"/>
      <c r="B65" s="98"/>
      <c r="C65" s="297"/>
      <c r="D65" s="298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8"/>
      <c r="S65" s="46"/>
      <c r="T65" s="118"/>
      <c r="U65" s="109"/>
      <c r="V65" s="110"/>
      <c r="W65" s="124"/>
      <c r="X65" s="125"/>
      <c r="Y65" s="299"/>
      <c r="Z65" s="300"/>
      <c r="AA65" s="115"/>
      <c r="AB65" s="108"/>
      <c r="AC65" s="313"/>
    </row>
    <row r="66" spans="1:29" ht="15.75" customHeight="1">
      <c r="A66" s="303"/>
      <c r="B66" s="98"/>
      <c r="C66" s="297"/>
      <c r="D66" s="298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8"/>
      <c r="S66" s="46"/>
      <c r="T66" s="118"/>
      <c r="U66" s="109"/>
      <c r="V66" s="110"/>
      <c r="W66" s="124"/>
      <c r="X66" s="125"/>
      <c r="Y66" s="299"/>
      <c r="Z66" s="300"/>
      <c r="AA66" s="115"/>
      <c r="AB66" s="108"/>
      <c r="AC66" s="313"/>
    </row>
    <row r="67" spans="1:29" ht="15.75" customHeight="1">
      <c r="A67" s="303"/>
      <c r="B67" s="98"/>
      <c r="C67" s="297"/>
      <c r="D67" s="298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8"/>
      <c r="S67" s="46"/>
      <c r="T67" s="118"/>
      <c r="U67" s="109"/>
      <c r="V67" s="110"/>
      <c r="W67" s="124"/>
      <c r="X67" s="125"/>
      <c r="Y67" s="299"/>
      <c r="Z67" s="300"/>
      <c r="AA67" s="115"/>
      <c r="AB67" s="108"/>
      <c r="AC67" s="313"/>
    </row>
    <row r="68" spans="1:29" ht="15.75" customHeight="1">
      <c r="A68" s="303"/>
      <c r="B68" s="98"/>
      <c r="C68" s="297"/>
      <c r="D68" s="298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8"/>
      <c r="S68" s="46"/>
      <c r="T68" s="118"/>
      <c r="U68" s="109"/>
      <c r="V68" s="110"/>
      <c r="W68" s="124"/>
      <c r="X68" s="125"/>
      <c r="Y68" s="299"/>
      <c r="Z68" s="300"/>
      <c r="AA68" s="115"/>
      <c r="AB68" s="108"/>
      <c r="AC68" s="313"/>
    </row>
    <row r="69" spans="1:29" ht="15.75" customHeight="1">
      <c r="A69" s="303"/>
      <c r="B69" s="98"/>
      <c r="C69" s="297"/>
      <c r="D69" s="298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8"/>
      <c r="S69" s="46"/>
      <c r="T69" s="118"/>
      <c r="U69" s="109"/>
      <c r="V69" s="110"/>
      <c r="W69" s="124"/>
      <c r="X69" s="125"/>
      <c r="Y69" s="299"/>
      <c r="Z69" s="300"/>
      <c r="AA69" s="115"/>
      <c r="AB69" s="108"/>
      <c r="AC69" s="313"/>
    </row>
    <row r="70" spans="1:29" ht="15.75" customHeight="1">
      <c r="A70" s="303"/>
      <c r="B70" s="98"/>
      <c r="C70" s="297"/>
      <c r="D70" s="298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8"/>
      <c r="S70" s="46"/>
      <c r="T70" s="118"/>
      <c r="U70" s="109"/>
      <c r="V70" s="110"/>
      <c r="W70" s="124"/>
      <c r="X70" s="125"/>
      <c r="Y70" s="299"/>
      <c r="Z70" s="300"/>
      <c r="AA70" s="115"/>
      <c r="AB70" s="108"/>
      <c r="AC70" s="313"/>
    </row>
    <row r="71" spans="1:29" ht="15.75" customHeight="1">
      <c r="A71" s="303"/>
      <c r="B71" s="98"/>
      <c r="C71" s="297"/>
      <c r="D71" s="298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8"/>
      <c r="S71" s="117"/>
      <c r="T71" s="118"/>
      <c r="U71" s="128"/>
      <c r="V71" s="129"/>
      <c r="W71" s="124"/>
      <c r="X71" s="125"/>
      <c r="Y71" s="299"/>
      <c r="Z71" s="300"/>
      <c r="AA71" s="163"/>
      <c r="AB71" s="123"/>
      <c r="AC71" s="313"/>
    </row>
    <row r="72" spans="1:29" ht="15.75" customHeight="1" thickBot="1">
      <c r="A72" s="304"/>
      <c r="B72" s="131" t="s">
        <v>115</v>
      </c>
      <c r="C72" s="294"/>
      <c r="D72" s="294"/>
      <c r="E72" s="132"/>
      <c r="F72" s="165"/>
      <c r="G72" s="133"/>
      <c r="H72" s="67"/>
      <c r="I72" s="134">
        <f t="shared" ref="I72:J72" si="37">AVERAGE(I56:I71)</f>
        <v>4.125</v>
      </c>
      <c r="J72" s="135">
        <f t="shared" si="37"/>
        <v>3600</v>
      </c>
      <c r="K72" s="136">
        <f t="shared" ref="K72" si="38">J72/I72</f>
        <v>872.72727272727275</v>
      </c>
      <c r="L72" s="134">
        <f t="shared" ref="L72:M72" si="39">AVERAGE(L56:L71)</f>
        <v>4.125</v>
      </c>
      <c r="M72" s="135">
        <f t="shared" si="39"/>
        <v>3284.873310156433</v>
      </c>
      <c r="N72" s="136">
        <f>M72/L72</f>
        <v>796.3329236742868</v>
      </c>
      <c r="O72" s="137">
        <f>L72-I72</f>
        <v>0</v>
      </c>
      <c r="P72" s="138">
        <f>N72-K72</f>
        <v>-76.394349052985945</v>
      </c>
      <c r="Q72" s="139">
        <f>N72/K72</f>
        <v>0.9124648083767869</v>
      </c>
      <c r="R72" s="309"/>
      <c r="S72" s="140">
        <v>0.25</v>
      </c>
      <c r="T72" s="141">
        <v>0.47762731481481502</v>
      </c>
      <c r="U72" s="142"/>
      <c r="V72" s="164"/>
      <c r="W72" s="165"/>
      <c r="X72" s="136"/>
      <c r="Y72" s="295"/>
      <c r="Z72" s="296"/>
      <c r="AA72" s="166">
        <f>M72-J72</f>
        <v>-315.12668984356696</v>
      </c>
      <c r="AB72" s="139">
        <f>M72/J72</f>
        <v>0.91246480837678701</v>
      </c>
      <c r="AC72" s="314"/>
    </row>
    <row r="73" spans="1:29" ht="15.75" customHeight="1">
      <c r="A73" s="315" t="s">
        <v>131</v>
      </c>
      <c r="B73" s="112" t="s">
        <v>118</v>
      </c>
      <c r="C73" s="305" t="s">
        <v>132</v>
      </c>
      <c r="D73" s="306"/>
      <c r="E73" s="145">
        <v>28.57</v>
      </c>
      <c r="F73" s="95">
        <v>994</v>
      </c>
      <c r="G73" s="146">
        <f t="shared" ref="G73" si="40">E73*F73</f>
        <v>28398.58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3121.9412590235538</v>
      </c>
      <c r="N73" s="150">
        <f>M73/L73</f>
        <v>260.16177158529615</v>
      </c>
      <c r="O73" s="152">
        <f>L73-I73</f>
        <v>0</v>
      </c>
      <c r="P73" s="153">
        <f>N73-K73</f>
        <v>-39.838228414703849</v>
      </c>
      <c r="Q73" s="154">
        <f>N73/K73</f>
        <v>0.86720590528432051</v>
      </c>
      <c r="R73" s="307">
        <f>Q89</f>
        <v>0.86720590528432051</v>
      </c>
      <c r="S73" s="155">
        <v>0.73888888888888882</v>
      </c>
      <c r="T73" s="156">
        <v>0.75215277777777767</v>
      </c>
      <c r="U73" s="157"/>
      <c r="V73" s="158">
        <v>19.103498449119936</v>
      </c>
      <c r="W73" s="156"/>
      <c r="X73" s="167"/>
      <c r="Y73" s="310"/>
      <c r="Z73" s="311"/>
      <c r="AA73" s="113">
        <f>M73-J73</f>
        <v>-478.05874097644619</v>
      </c>
      <c r="AB73" s="154">
        <f>M73/J73</f>
        <v>0.86720590528432051</v>
      </c>
      <c r="AC73" s="312">
        <f>AB89</f>
        <v>0.86720590528432051</v>
      </c>
    </row>
    <row r="74" spans="1:29" ht="15.75" customHeight="1">
      <c r="A74" s="316"/>
      <c r="B74" s="98"/>
      <c r="C74" s="297"/>
      <c r="D74" s="298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8"/>
      <c r="S74" s="46"/>
      <c r="T74" s="47"/>
      <c r="U74" s="109"/>
      <c r="V74" s="110"/>
      <c r="W74" s="111"/>
      <c r="X74" s="13"/>
      <c r="Y74" s="299"/>
      <c r="Z74" s="300"/>
      <c r="AA74" s="115"/>
      <c r="AB74" s="108"/>
      <c r="AC74" s="313"/>
    </row>
    <row r="75" spans="1:29" ht="15.75" customHeight="1">
      <c r="A75" s="316"/>
      <c r="B75" s="98"/>
      <c r="C75" s="297"/>
      <c r="D75" s="298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8"/>
      <c r="S75" s="46"/>
      <c r="T75" s="47"/>
      <c r="U75" s="109"/>
      <c r="V75" s="110"/>
      <c r="W75" s="111"/>
      <c r="X75" s="13"/>
      <c r="Y75" s="299"/>
      <c r="Z75" s="300"/>
      <c r="AA75" s="115"/>
      <c r="AB75" s="108"/>
      <c r="AC75" s="313"/>
    </row>
    <row r="76" spans="1:29" ht="15.75" customHeight="1">
      <c r="A76" s="316"/>
      <c r="B76" s="98"/>
      <c r="C76" s="297"/>
      <c r="D76" s="298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8"/>
      <c r="S76" s="46"/>
      <c r="T76" s="47"/>
      <c r="U76" s="109"/>
      <c r="V76" s="110"/>
      <c r="W76" s="111"/>
      <c r="X76" s="114"/>
      <c r="Y76" s="299"/>
      <c r="Z76" s="300"/>
      <c r="AA76" s="115"/>
      <c r="AB76" s="108"/>
      <c r="AC76" s="313"/>
    </row>
    <row r="77" spans="1:29" ht="15.75" customHeight="1">
      <c r="A77" s="316"/>
      <c r="B77" s="98"/>
      <c r="C77" s="297"/>
      <c r="D77" s="298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8"/>
      <c r="S77" s="46"/>
      <c r="T77" s="47"/>
      <c r="U77" s="109"/>
      <c r="V77" s="110"/>
      <c r="W77" s="111"/>
      <c r="X77" s="114"/>
      <c r="Y77" s="299"/>
      <c r="Z77" s="300"/>
      <c r="AA77" s="115"/>
      <c r="AB77" s="108"/>
      <c r="AC77" s="313"/>
    </row>
    <row r="78" spans="1:29" ht="15.75" customHeight="1">
      <c r="A78" s="316"/>
      <c r="B78" s="98"/>
      <c r="C78" s="297"/>
      <c r="D78" s="298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8"/>
      <c r="S78" s="46"/>
      <c r="T78" s="118"/>
      <c r="U78" s="109"/>
      <c r="V78" s="110"/>
      <c r="W78" s="111"/>
      <c r="X78" s="49"/>
      <c r="Y78" s="299"/>
      <c r="Z78" s="300"/>
      <c r="AA78" s="115"/>
      <c r="AB78" s="108"/>
      <c r="AC78" s="313"/>
    </row>
    <row r="79" spans="1:29" ht="15.75" customHeight="1">
      <c r="A79" s="316"/>
      <c r="B79" s="98"/>
      <c r="C79" s="297"/>
      <c r="D79" s="298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8"/>
      <c r="S79" s="46"/>
      <c r="T79" s="118"/>
      <c r="U79" s="109"/>
      <c r="V79" s="110"/>
      <c r="W79" s="111"/>
      <c r="X79" s="114"/>
      <c r="Y79" s="299"/>
      <c r="Z79" s="300"/>
      <c r="AA79" s="115"/>
      <c r="AB79" s="108"/>
      <c r="AC79" s="313"/>
    </row>
    <row r="80" spans="1:29" ht="15.75" customHeight="1">
      <c r="A80" s="316"/>
      <c r="B80" s="98"/>
      <c r="C80" s="297"/>
      <c r="D80" s="298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8"/>
      <c r="S80" s="46"/>
      <c r="T80" s="118"/>
      <c r="U80" s="109"/>
      <c r="V80" s="110"/>
      <c r="W80" s="111"/>
      <c r="X80" s="114"/>
      <c r="Y80" s="299"/>
      <c r="Z80" s="300"/>
      <c r="AA80" s="115"/>
      <c r="AB80" s="108"/>
      <c r="AC80" s="313"/>
    </row>
    <row r="81" spans="1:29" ht="15.75" customHeight="1">
      <c r="A81" s="316"/>
      <c r="B81" s="98"/>
      <c r="C81" s="297"/>
      <c r="D81" s="298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8"/>
      <c r="S81" s="46"/>
      <c r="T81" s="118"/>
      <c r="U81" s="109"/>
      <c r="V81" s="110"/>
      <c r="W81" s="124"/>
      <c r="X81" s="125"/>
      <c r="Y81" s="299"/>
      <c r="Z81" s="300"/>
      <c r="AA81" s="115"/>
      <c r="AB81" s="108"/>
      <c r="AC81" s="313"/>
    </row>
    <row r="82" spans="1:29" ht="15.75" customHeight="1">
      <c r="A82" s="316"/>
      <c r="B82" s="98"/>
      <c r="C82" s="297"/>
      <c r="D82" s="298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8"/>
      <c r="S82" s="46"/>
      <c r="T82" s="118"/>
      <c r="U82" s="109"/>
      <c r="V82" s="110"/>
      <c r="W82" s="124"/>
      <c r="X82" s="125"/>
      <c r="Y82" s="299"/>
      <c r="Z82" s="300"/>
      <c r="AA82" s="115"/>
      <c r="AB82" s="108"/>
      <c r="AC82" s="313"/>
    </row>
    <row r="83" spans="1:29" ht="15.75" customHeight="1">
      <c r="A83" s="316"/>
      <c r="B83" s="98"/>
      <c r="C83" s="297"/>
      <c r="D83" s="298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8"/>
      <c r="S83" s="46"/>
      <c r="T83" s="118"/>
      <c r="U83" s="109"/>
      <c r="V83" s="110"/>
      <c r="W83" s="124"/>
      <c r="X83" s="125"/>
      <c r="Y83" s="299"/>
      <c r="Z83" s="300"/>
      <c r="AA83" s="115"/>
      <c r="AB83" s="108"/>
      <c r="AC83" s="313"/>
    </row>
    <row r="84" spans="1:29" ht="15.75" customHeight="1">
      <c r="A84" s="316"/>
      <c r="B84" s="98"/>
      <c r="C84" s="297"/>
      <c r="D84" s="298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8"/>
      <c r="S84" s="46"/>
      <c r="T84" s="118"/>
      <c r="U84" s="109"/>
      <c r="V84" s="110"/>
      <c r="W84" s="124"/>
      <c r="X84" s="125"/>
      <c r="Y84" s="299"/>
      <c r="Z84" s="300"/>
      <c r="AA84" s="115"/>
      <c r="AB84" s="108"/>
      <c r="AC84" s="313"/>
    </row>
    <row r="85" spans="1:29" ht="15.75" customHeight="1">
      <c r="A85" s="316"/>
      <c r="B85" s="98"/>
      <c r="C85" s="297"/>
      <c r="D85" s="298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8"/>
      <c r="S85" s="46"/>
      <c r="T85" s="118"/>
      <c r="U85" s="109"/>
      <c r="V85" s="110"/>
      <c r="W85" s="124"/>
      <c r="X85" s="125"/>
      <c r="Y85" s="299"/>
      <c r="Z85" s="300"/>
      <c r="AA85" s="115"/>
      <c r="AB85" s="108"/>
      <c r="AC85" s="313"/>
    </row>
    <row r="86" spans="1:29" ht="15.75" customHeight="1">
      <c r="A86" s="316"/>
      <c r="B86" s="98"/>
      <c r="C86" s="297"/>
      <c r="D86" s="298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8"/>
      <c r="S86" s="46"/>
      <c r="T86" s="118"/>
      <c r="U86" s="109"/>
      <c r="V86" s="110"/>
      <c r="W86" s="124"/>
      <c r="X86" s="125"/>
      <c r="Y86" s="299"/>
      <c r="Z86" s="300"/>
      <c r="AA86" s="115"/>
      <c r="AB86" s="108"/>
      <c r="AC86" s="313"/>
    </row>
    <row r="87" spans="1:29" ht="15.75" customHeight="1">
      <c r="A87" s="316"/>
      <c r="B87" s="98"/>
      <c r="C87" s="297"/>
      <c r="D87" s="298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8"/>
      <c r="S87" s="46"/>
      <c r="T87" s="118"/>
      <c r="U87" s="109"/>
      <c r="V87" s="110"/>
      <c r="W87" s="124"/>
      <c r="X87" s="125"/>
      <c r="Y87" s="299"/>
      <c r="Z87" s="300"/>
      <c r="AA87" s="115"/>
      <c r="AB87" s="108"/>
      <c r="AC87" s="313"/>
    </row>
    <row r="88" spans="1:29" ht="15.75" customHeight="1">
      <c r="A88" s="316"/>
      <c r="B88" s="98"/>
      <c r="C88" s="297"/>
      <c r="D88" s="298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8"/>
      <c r="S88" s="117"/>
      <c r="T88" s="118"/>
      <c r="U88" s="128"/>
      <c r="V88" s="129"/>
      <c r="W88" s="124"/>
      <c r="X88" s="125"/>
      <c r="Y88" s="299"/>
      <c r="Z88" s="300"/>
      <c r="AA88" s="163"/>
      <c r="AB88" s="123"/>
      <c r="AC88" s="313"/>
    </row>
    <row r="89" spans="1:29" ht="15.75" customHeight="1" thickBot="1">
      <c r="A89" s="317"/>
      <c r="B89" s="131" t="s">
        <v>115</v>
      </c>
      <c r="C89" s="294"/>
      <c r="D89" s="294"/>
      <c r="E89" s="132"/>
      <c r="F89" s="165"/>
      <c r="G89" s="133"/>
      <c r="H89" s="67"/>
      <c r="I89" s="134">
        <f t="shared" ref="I89:J89" si="41">AVERAGE(I73:I88)</f>
        <v>12</v>
      </c>
      <c r="J89" s="135">
        <f t="shared" si="41"/>
        <v>3600</v>
      </c>
      <c r="K89" s="136">
        <f t="shared" ref="K89" si="42">J89/I89</f>
        <v>300</v>
      </c>
      <c r="L89" s="134">
        <f t="shared" ref="L89:M89" si="43">AVERAGE(L73:L88)</f>
        <v>12</v>
      </c>
      <c r="M89" s="135">
        <f t="shared" si="43"/>
        <v>3121.9412590235538</v>
      </c>
      <c r="N89" s="136">
        <f>M89/L89</f>
        <v>260.16177158529615</v>
      </c>
      <c r="O89" s="137">
        <f>L89-I89</f>
        <v>0</v>
      </c>
      <c r="P89" s="138">
        <f>N89-K89</f>
        <v>-39.838228414703849</v>
      </c>
      <c r="Q89" s="139">
        <f>N89/K89</f>
        <v>0.86720590528432051</v>
      </c>
      <c r="R89" s="309"/>
      <c r="S89" s="140">
        <v>0.73888888888888882</v>
      </c>
      <c r="T89" s="141">
        <v>0.75215277777777767</v>
      </c>
      <c r="U89" s="142"/>
      <c r="V89" s="164"/>
      <c r="W89" s="165"/>
      <c r="X89" s="136"/>
      <c r="Y89" s="295"/>
      <c r="Z89" s="296"/>
      <c r="AA89" s="166">
        <f>M89-J89</f>
        <v>-478.05874097644619</v>
      </c>
      <c r="AB89" s="139">
        <f>M89/J89</f>
        <v>0.86720590528432051</v>
      </c>
      <c r="AC89" s="314"/>
    </row>
    <row r="90" spans="1:29" ht="15.75" customHeight="1">
      <c r="A90" s="301" t="s">
        <v>135</v>
      </c>
      <c r="B90" s="112" t="s">
        <v>118</v>
      </c>
      <c r="C90" s="305" t="s">
        <v>134</v>
      </c>
      <c r="D90" s="306"/>
      <c r="E90" s="145">
        <v>24.54</v>
      </c>
      <c r="F90" s="95">
        <v>860</v>
      </c>
      <c r="G90" s="146">
        <f t="shared" ref="G90" si="44">E90*F90</f>
        <v>21104.399999999998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2797.8750586002002</v>
      </c>
      <c r="N90" s="150">
        <f>M90/L90</f>
        <v>699.46876465005005</v>
      </c>
      <c r="O90" s="152">
        <f>L90-I90</f>
        <v>0</v>
      </c>
      <c r="P90" s="153">
        <f>N90-K90</f>
        <v>-50.531235349949952</v>
      </c>
      <c r="Q90" s="154">
        <f>N90/K90</f>
        <v>0.93262501953340005</v>
      </c>
      <c r="R90" s="307">
        <f>Q106</f>
        <v>0.93262501953340005</v>
      </c>
      <c r="S90" s="155">
        <v>0.70833333333333337</v>
      </c>
      <c r="T90" s="156">
        <v>0.72113425925925934</v>
      </c>
      <c r="U90" s="157"/>
      <c r="V90" s="158">
        <v>18.44256763410154</v>
      </c>
      <c r="W90" s="159"/>
      <c r="X90" s="160"/>
      <c r="Y90" s="310"/>
      <c r="Z90" s="311"/>
      <c r="AA90" s="113">
        <f>M90-J90</f>
        <v>-202.12494139979981</v>
      </c>
      <c r="AB90" s="154">
        <f>M90/J90</f>
        <v>0.93262501953340005</v>
      </c>
      <c r="AC90" s="312">
        <f>AB106</f>
        <v>0.93262501953340005</v>
      </c>
    </row>
    <row r="91" spans="1:29" ht="15.75" customHeight="1">
      <c r="A91" s="302"/>
      <c r="B91" s="98"/>
      <c r="C91" s="297"/>
      <c r="D91" s="298"/>
      <c r="E91" s="99"/>
      <c r="F91" s="100"/>
      <c r="G91" s="101"/>
      <c r="H91" s="26"/>
      <c r="I91" s="102"/>
      <c r="J91" s="103"/>
      <c r="K91" s="104"/>
      <c r="L91" s="105"/>
      <c r="M91" s="103"/>
      <c r="N91" s="104"/>
      <c r="O91" s="106"/>
      <c r="P91" s="107"/>
      <c r="Q91" s="108"/>
      <c r="R91" s="308"/>
      <c r="S91" s="46"/>
      <c r="T91" s="47"/>
      <c r="U91" s="109"/>
      <c r="V91" s="110"/>
      <c r="W91" s="111"/>
      <c r="X91" s="114"/>
      <c r="Y91" s="299"/>
      <c r="Z91" s="300"/>
      <c r="AA91" s="115"/>
      <c r="AB91" s="108"/>
      <c r="AC91" s="313"/>
    </row>
    <row r="92" spans="1:29" ht="15.75" customHeight="1">
      <c r="A92" s="302"/>
      <c r="B92" s="98"/>
      <c r="C92" s="297"/>
      <c r="D92" s="298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8"/>
      <c r="S92" s="46"/>
      <c r="T92" s="47"/>
      <c r="U92" s="109"/>
      <c r="V92" s="110"/>
      <c r="W92" s="111"/>
      <c r="X92" s="114"/>
      <c r="Y92" s="299"/>
      <c r="Z92" s="300"/>
      <c r="AA92" s="115"/>
      <c r="AB92" s="108"/>
      <c r="AC92" s="313"/>
    </row>
    <row r="93" spans="1:29" ht="15.75" customHeight="1">
      <c r="A93" s="302"/>
      <c r="B93" s="98"/>
      <c r="C93" s="297"/>
      <c r="D93" s="298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8"/>
      <c r="S93" s="46"/>
      <c r="T93" s="47"/>
      <c r="U93" s="109"/>
      <c r="V93" s="110"/>
      <c r="W93" s="111"/>
      <c r="X93" s="114"/>
      <c r="Y93" s="299"/>
      <c r="Z93" s="300"/>
      <c r="AA93" s="115"/>
      <c r="AB93" s="108"/>
      <c r="AC93" s="313"/>
    </row>
    <row r="94" spans="1:29" ht="15.75" customHeight="1">
      <c r="A94" s="303"/>
      <c r="B94" s="98"/>
      <c r="C94" s="297"/>
      <c r="D94" s="298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8"/>
      <c r="S94" s="46"/>
      <c r="T94" s="47"/>
      <c r="U94" s="109"/>
      <c r="V94" s="110"/>
      <c r="W94" s="111"/>
      <c r="X94" s="114"/>
      <c r="Y94" s="299"/>
      <c r="Z94" s="300"/>
      <c r="AA94" s="115"/>
      <c r="AB94" s="108"/>
      <c r="AC94" s="313"/>
    </row>
    <row r="95" spans="1:29" ht="15.75" customHeight="1">
      <c r="A95" s="303"/>
      <c r="B95" s="98"/>
      <c r="C95" s="297"/>
      <c r="D95" s="298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8"/>
      <c r="S95" s="46"/>
      <c r="T95" s="118"/>
      <c r="U95" s="109"/>
      <c r="V95" s="110"/>
      <c r="W95" s="111"/>
      <c r="X95" s="114"/>
      <c r="Y95" s="299"/>
      <c r="Z95" s="300"/>
      <c r="AA95" s="115"/>
      <c r="AB95" s="108"/>
      <c r="AC95" s="313"/>
    </row>
    <row r="96" spans="1:29" ht="15.75" customHeight="1">
      <c r="A96" s="303"/>
      <c r="B96" s="98"/>
      <c r="C96" s="297"/>
      <c r="D96" s="298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8"/>
      <c r="S96" s="46"/>
      <c r="T96" s="118"/>
      <c r="U96" s="109"/>
      <c r="V96" s="110"/>
      <c r="W96" s="111"/>
      <c r="X96" s="114"/>
      <c r="Y96" s="299"/>
      <c r="Z96" s="300"/>
      <c r="AA96" s="115"/>
      <c r="AB96" s="108"/>
      <c r="AC96" s="313"/>
    </row>
    <row r="97" spans="1:29" ht="15.75" customHeight="1">
      <c r="A97" s="303"/>
      <c r="B97" s="98"/>
      <c r="C97" s="297"/>
      <c r="D97" s="298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8"/>
      <c r="S97" s="46"/>
      <c r="T97" s="118"/>
      <c r="U97" s="109"/>
      <c r="V97" s="110"/>
      <c r="W97" s="111"/>
      <c r="X97" s="114"/>
      <c r="Y97" s="299"/>
      <c r="Z97" s="300"/>
      <c r="AA97" s="115"/>
      <c r="AB97" s="108"/>
      <c r="AC97" s="313"/>
    </row>
    <row r="98" spans="1:29" ht="15.75" customHeight="1">
      <c r="A98" s="303"/>
      <c r="B98" s="98"/>
      <c r="C98" s="297"/>
      <c r="D98" s="298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8"/>
      <c r="S98" s="46"/>
      <c r="T98" s="118"/>
      <c r="U98" s="109"/>
      <c r="V98" s="110"/>
      <c r="W98" s="111"/>
      <c r="X98" s="114"/>
      <c r="Y98" s="299"/>
      <c r="Z98" s="300"/>
      <c r="AA98" s="115"/>
      <c r="AB98" s="108"/>
      <c r="AC98" s="313"/>
    </row>
    <row r="99" spans="1:29" ht="15.75" customHeight="1">
      <c r="A99" s="303"/>
      <c r="B99" s="98"/>
      <c r="C99" s="297"/>
      <c r="D99" s="298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8"/>
      <c r="S99" s="46"/>
      <c r="T99" s="118"/>
      <c r="U99" s="109"/>
      <c r="V99" s="110"/>
      <c r="W99" s="111"/>
      <c r="X99" s="114"/>
      <c r="Y99" s="299"/>
      <c r="Z99" s="300"/>
      <c r="AA99" s="115"/>
      <c r="AB99" s="108"/>
      <c r="AC99" s="313"/>
    </row>
    <row r="100" spans="1:29" ht="15.75" customHeight="1">
      <c r="A100" s="303"/>
      <c r="B100" s="98"/>
      <c r="C100" s="297"/>
      <c r="D100" s="298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8"/>
      <c r="S100" s="46"/>
      <c r="T100" s="118"/>
      <c r="U100" s="109"/>
      <c r="V100" s="110"/>
      <c r="W100" s="124"/>
      <c r="X100" s="125"/>
      <c r="Y100" s="299"/>
      <c r="Z100" s="300"/>
      <c r="AA100" s="115"/>
      <c r="AB100" s="108"/>
      <c r="AC100" s="313"/>
    </row>
    <row r="101" spans="1:29" ht="15.75" customHeight="1">
      <c r="A101" s="303"/>
      <c r="B101" s="98"/>
      <c r="C101" s="297"/>
      <c r="D101" s="298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8"/>
      <c r="S101" s="46"/>
      <c r="T101" s="118"/>
      <c r="U101" s="109"/>
      <c r="V101" s="110"/>
      <c r="W101" s="124"/>
      <c r="X101" s="125"/>
      <c r="Y101" s="299"/>
      <c r="Z101" s="300"/>
      <c r="AA101" s="115"/>
      <c r="AB101" s="108"/>
      <c r="AC101" s="313"/>
    </row>
    <row r="102" spans="1:29" ht="15.75" customHeight="1">
      <c r="A102" s="303"/>
      <c r="B102" s="98"/>
      <c r="C102" s="297"/>
      <c r="D102" s="298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8"/>
      <c r="S102" s="46"/>
      <c r="T102" s="118"/>
      <c r="U102" s="109"/>
      <c r="V102" s="110"/>
      <c r="W102" s="124"/>
      <c r="X102" s="125"/>
      <c r="Y102" s="299"/>
      <c r="Z102" s="300"/>
      <c r="AA102" s="115"/>
      <c r="AB102" s="108"/>
      <c r="AC102" s="313"/>
    </row>
    <row r="103" spans="1:29" ht="15.75" customHeight="1">
      <c r="A103" s="303"/>
      <c r="B103" s="98"/>
      <c r="C103" s="297"/>
      <c r="D103" s="298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8"/>
      <c r="S103" s="46"/>
      <c r="T103" s="118"/>
      <c r="U103" s="109"/>
      <c r="V103" s="110"/>
      <c r="W103" s="124"/>
      <c r="X103" s="125"/>
      <c r="Y103" s="299"/>
      <c r="Z103" s="300"/>
      <c r="AA103" s="115"/>
      <c r="AB103" s="108"/>
      <c r="AC103" s="313"/>
    </row>
    <row r="104" spans="1:29" ht="15.75" customHeight="1">
      <c r="A104" s="303"/>
      <c r="B104" s="98"/>
      <c r="C104" s="297"/>
      <c r="D104" s="298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8"/>
      <c r="S104" s="46"/>
      <c r="T104" s="118"/>
      <c r="U104" s="109"/>
      <c r="V104" s="110"/>
      <c r="W104" s="124"/>
      <c r="X104" s="125"/>
      <c r="Y104" s="299"/>
      <c r="Z104" s="300"/>
      <c r="AA104" s="115"/>
      <c r="AB104" s="108"/>
      <c r="AC104" s="313"/>
    </row>
    <row r="105" spans="1:29" ht="15.75" customHeight="1">
      <c r="A105" s="303"/>
      <c r="B105" s="98"/>
      <c r="C105" s="297"/>
      <c r="D105" s="298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8"/>
      <c r="S105" s="117"/>
      <c r="T105" s="118"/>
      <c r="U105" s="128"/>
      <c r="V105" s="129"/>
      <c r="W105" s="124"/>
      <c r="X105" s="125"/>
      <c r="Y105" s="299"/>
      <c r="Z105" s="300"/>
      <c r="AA105" s="163"/>
      <c r="AB105" s="123"/>
      <c r="AC105" s="313"/>
    </row>
    <row r="106" spans="1:29" ht="15.75" customHeight="1" thickBot="1">
      <c r="A106" s="304"/>
      <c r="B106" s="131" t="s">
        <v>115</v>
      </c>
      <c r="C106" s="294"/>
      <c r="D106" s="294"/>
      <c r="E106" s="132"/>
      <c r="F106" s="97"/>
      <c r="G106" s="133"/>
      <c r="H106" s="67"/>
      <c r="I106" s="134">
        <f t="shared" ref="I106:J106" si="45">AVERAGE(I90:I105)</f>
        <v>4</v>
      </c>
      <c r="J106" s="135">
        <f t="shared" si="45"/>
        <v>3000</v>
      </c>
      <c r="K106" s="136">
        <f t="shared" ref="K106" si="46">J106/I106</f>
        <v>750</v>
      </c>
      <c r="L106" s="134">
        <f t="shared" ref="L106:M106" si="47">AVERAGE(L90:L105)</f>
        <v>4</v>
      </c>
      <c r="M106" s="135">
        <f t="shared" si="47"/>
        <v>2797.8750586002002</v>
      </c>
      <c r="N106" s="136">
        <f t="shared" ref="N106:N120" si="48">M106/L106</f>
        <v>699.46876465005005</v>
      </c>
      <c r="O106" s="137">
        <f t="shared" ref="O106:O120" si="49">L106-I106</f>
        <v>0</v>
      </c>
      <c r="P106" s="138">
        <f t="shared" ref="P106:P120" si="50">N106-K106</f>
        <v>-50.531235349949952</v>
      </c>
      <c r="Q106" s="139">
        <f t="shared" ref="Q106:Q120" si="51">N106/K106</f>
        <v>0.93262501953340005</v>
      </c>
      <c r="R106" s="309"/>
      <c r="S106" s="140">
        <v>0.70833333333333337</v>
      </c>
      <c r="T106" s="141">
        <v>0.72113425925925934</v>
      </c>
      <c r="U106" s="142"/>
      <c r="V106" s="164"/>
      <c r="W106" s="97"/>
      <c r="X106" s="67"/>
      <c r="Y106" s="295"/>
      <c r="Z106" s="296"/>
      <c r="AA106" s="166">
        <f t="shared" ref="AA106:AA120" si="52">M106-J106</f>
        <v>-202.12494139979981</v>
      </c>
      <c r="AB106" s="139">
        <f t="shared" ref="AB106:AB120" si="53">M106/J106</f>
        <v>0.93262501953340005</v>
      </c>
      <c r="AC106" s="314"/>
    </row>
    <row r="107" spans="1:29" ht="15.75" customHeight="1">
      <c r="A107" s="315" t="s">
        <v>138</v>
      </c>
      <c r="B107" s="112" t="s">
        <v>118</v>
      </c>
      <c r="C107" s="305" t="s">
        <v>139</v>
      </c>
      <c r="D107" s="306"/>
      <c r="E107" s="145">
        <v>14.03</v>
      </c>
      <c r="F107" s="95">
        <v>318</v>
      </c>
      <c r="G107" s="146">
        <f t="shared" ref="G107:G120" si="54">E107*F107</f>
        <v>4461.54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55">F107/V107*60</f>
        <v>2803.3382829214338</v>
      </c>
      <c r="N107" s="150">
        <f t="shared" si="48"/>
        <v>934.44609430714456</v>
      </c>
      <c r="O107" s="152">
        <f t="shared" si="49"/>
        <v>0</v>
      </c>
      <c r="P107" s="153">
        <f t="shared" si="50"/>
        <v>-65.553905692855437</v>
      </c>
      <c r="Q107" s="154">
        <f t="shared" si="51"/>
        <v>0.93444609430714454</v>
      </c>
      <c r="R107" s="307">
        <f>Q123</f>
        <v>0.91789513864286265</v>
      </c>
      <c r="S107" s="155">
        <v>0.7319444444444444</v>
      </c>
      <c r="T107" s="156">
        <v>0.73666666666666658</v>
      </c>
      <c r="U107" s="157"/>
      <c r="V107" s="158">
        <v>6.8061710983079147</v>
      </c>
      <c r="W107" s="159"/>
      <c r="X107" s="160"/>
      <c r="Y107" s="310"/>
      <c r="Z107" s="311"/>
      <c r="AA107" s="113">
        <f t="shared" si="52"/>
        <v>-196.6617170785662</v>
      </c>
      <c r="AB107" s="154">
        <f t="shared" si="53"/>
        <v>0.93444609430714465</v>
      </c>
      <c r="AC107" s="312">
        <f>AB123</f>
        <v>0.91789513864286265</v>
      </c>
    </row>
    <row r="108" spans="1:29" ht="15.75" customHeight="1">
      <c r="A108" s="316"/>
      <c r="B108" s="98" t="s">
        <v>118</v>
      </c>
      <c r="C108" s="297" t="s">
        <v>140</v>
      </c>
      <c r="D108" s="298"/>
      <c r="E108" s="99">
        <v>18.18</v>
      </c>
      <c r="F108" s="100">
        <v>622</v>
      </c>
      <c r="G108" s="101">
        <f t="shared" si="54"/>
        <v>11307.96</v>
      </c>
      <c r="H108" s="26">
        <v>2</v>
      </c>
      <c r="I108" s="102">
        <v>3</v>
      </c>
      <c r="J108" s="103">
        <v>3000</v>
      </c>
      <c r="K108" s="104">
        <f t="shared" ref="K108:K137" si="56">J108/I108</f>
        <v>1000</v>
      </c>
      <c r="L108" s="105">
        <v>3</v>
      </c>
      <c r="M108" s="103">
        <f t="shared" si="55"/>
        <v>2797.8874183060402</v>
      </c>
      <c r="N108" s="104">
        <f t="shared" si="48"/>
        <v>932.6291394353467</v>
      </c>
      <c r="O108" s="106">
        <f t="shared" si="49"/>
        <v>0</v>
      </c>
      <c r="P108" s="107">
        <f t="shared" si="50"/>
        <v>-67.370860564653299</v>
      </c>
      <c r="Q108" s="108">
        <f t="shared" si="51"/>
        <v>0.93262913943534675</v>
      </c>
      <c r="R108" s="308"/>
      <c r="S108" s="46">
        <v>0.74583333333333324</v>
      </c>
      <c r="T108" s="47">
        <v>0.75509259259259254</v>
      </c>
      <c r="U108" s="109">
        <v>13.199999999999985</v>
      </c>
      <c r="V108" s="110">
        <v>13.33863534173048</v>
      </c>
      <c r="W108" s="111"/>
      <c r="X108" s="114"/>
      <c r="Y108" s="299"/>
      <c r="Z108" s="300"/>
      <c r="AA108" s="115">
        <f t="shared" si="52"/>
        <v>-202.11258169395978</v>
      </c>
      <c r="AB108" s="108">
        <f t="shared" si="53"/>
        <v>0.93262913943534675</v>
      </c>
      <c r="AC108" s="313"/>
    </row>
    <row r="109" spans="1:29" ht="15.75" customHeight="1">
      <c r="A109" s="316"/>
      <c r="B109" s="98" t="s">
        <v>118</v>
      </c>
      <c r="C109" s="297" t="s">
        <v>144</v>
      </c>
      <c r="D109" s="298"/>
      <c r="E109" s="99">
        <v>18.18</v>
      </c>
      <c r="F109" s="100">
        <v>389</v>
      </c>
      <c r="G109" s="101">
        <f t="shared" si="54"/>
        <v>7072.0199999999995</v>
      </c>
      <c r="H109" s="26">
        <v>2</v>
      </c>
      <c r="I109" s="102">
        <v>3</v>
      </c>
      <c r="J109" s="103">
        <v>3600</v>
      </c>
      <c r="K109" s="104">
        <f t="shared" si="56"/>
        <v>1200</v>
      </c>
      <c r="L109" s="105">
        <v>3</v>
      </c>
      <c r="M109" s="103">
        <f t="shared" si="55"/>
        <v>3286.4253450014594</v>
      </c>
      <c r="N109" s="104">
        <f t="shared" si="48"/>
        <v>1095.4751150004865</v>
      </c>
      <c r="O109" s="106">
        <f t="shared" si="49"/>
        <v>0</v>
      </c>
      <c r="P109" s="107">
        <f t="shared" si="50"/>
        <v>-104.52488499951346</v>
      </c>
      <c r="Q109" s="108">
        <f t="shared" si="51"/>
        <v>0.91289592916707207</v>
      </c>
      <c r="R109" s="308"/>
      <c r="S109" s="46">
        <v>0.76388888888888873</v>
      </c>
      <c r="T109" s="47">
        <v>0.76881944444444428</v>
      </c>
      <c r="U109" s="109">
        <v>12.666666666666515</v>
      </c>
      <c r="V109" s="110">
        <v>7.1019413343739402</v>
      </c>
      <c r="W109" s="111"/>
      <c r="X109" s="114"/>
      <c r="Y109" s="299"/>
      <c r="Z109" s="300"/>
      <c r="AA109" s="115">
        <f t="shared" si="52"/>
        <v>-313.57465499854061</v>
      </c>
      <c r="AB109" s="108">
        <f t="shared" si="53"/>
        <v>0.91289592916707207</v>
      </c>
      <c r="AC109" s="313"/>
    </row>
    <row r="110" spans="1:29" ht="15.75" customHeight="1">
      <c r="A110" s="316"/>
      <c r="B110" s="98" t="s">
        <v>118</v>
      </c>
      <c r="C110" s="297" t="s">
        <v>133</v>
      </c>
      <c r="D110" s="298"/>
      <c r="E110" s="99">
        <v>16.7</v>
      </c>
      <c r="F110" s="100">
        <v>1101</v>
      </c>
      <c r="G110" s="101">
        <f t="shared" si="54"/>
        <v>18386.7</v>
      </c>
      <c r="H110" s="26">
        <v>2</v>
      </c>
      <c r="I110" s="102">
        <v>3</v>
      </c>
      <c r="J110" s="103">
        <v>3600</v>
      </c>
      <c r="K110" s="104">
        <f t="shared" si="56"/>
        <v>1200</v>
      </c>
      <c r="L110" s="105">
        <v>3</v>
      </c>
      <c r="M110" s="103">
        <f t="shared" si="55"/>
        <v>3285.4320307845678</v>
      </c>
      <c r="N110" s="104">
        <f t="shared" si="48"/>
        <v>1095.1440102615227</v>
      </c>
      <c r="O110" s="106">
        <f t="shared" si="49"/>
        <v>0</v>
      </c>
      <c r="P110" s="107">
        <f t="shared" si="50"/>
        <v>-104.85598973847732</v>
      </c>
      <c r="Q110" s="108">
        <f t="shared" si="51"/>
        <v>0.9126200085512689</v>
      </c>
      <c r="R110" s="308"/>
      <c r="S110" s="46">
        <v>0.77777777777777757</v>
      </c>
      <c r="T110" s="47">
        <v>0.79173611111111086</v>
      </c>
      <c r="U110" s="109">
        <v>12.899999999999938</v>
      </c>
      <c r="V110" s="110">
        <v>20.106944651728114</v>
      </c>
      <c r="W110" s="111"/>
      <c r="X110" s="114"/>
      <c r="Y110" s="299"/>
      <c r="Z110" s="300"/>
      <c r="AA110" s="115">
        <f t="shared" si="52"/>
        <v>-314.56796921543219</v>
      </c>
      <c r="AB110" s="108">
        <f t="shared" si="53"/>
        <v>0.91262000855126879</v>
      </c>
      <c r="AC110" s="313"/>
    </row>
    <row r="111" spans="1:29" ht="15.75" customHeight="1">
      <c r="A111" s="316"/>
      <c r="B111" s="98" t="s">
        <v>118</v>
      </c>
      <c r="C111" s="297" t="s">
        <v>193</v>
      </c>
      <c r="D111" s="298"/>
      <c r="E111" s="99">
        <v>30</v>
      </c>
      <c r="F111" s="100">
        <v>737</v>
      </c>
      <c r="G111" s="101">
        <f t="shared" si="54"/>
        <v>22110</v>
      </c>
      <c r="H111" s="26">
        <v>2</v>
      </c>
      <c r="I111" s="102">
        <v>4</v>
      </c>
      <c r="J111" s="103">
        <v>3600</v>
      </c>
      <c r="K111" s="104">
        <f t="shared" si="56"/>
        <v>900</v>
      </c>
      <c r="L111" s="105">
        <v>4</v>
      </c>
      <c r="M111" s="103">
        <f t="shared" si="55"/>
        <v>3285.8737785870526</v>
      </c>
      <c r="N111" s="104">
        <f t="shared" si="48"/>
        <v>821.46844464676315</v>
      </c>
      <c r="O111" s="106">
        <f t="shared" si="49"/>
        <v>0</v>
      </c>
      <c r="P111" s="107">
        <f t="shared" si="50"/>
        <v>-78.531555353236854</v>
      </c>
      <c r="Q111" s="108">
        <f t="shared" si="51"/>
        <v>0.91274271627418124</v>
      </c>
      <c r="R111" s="308"/>
      <c r="S111" s="46">
        <v>0.8013888888888886</v>
      </c>
      <c r="T111" s="47">
        <v>0.81072916666666639</v>
      </c>
      <c r="U111" s="109">
        <v>13.899999999999935</v>
      </c>
      <c r="V111" s="110">
        <v>13.457607619673965</v>
      </c>
      <c r="W111" s="111"/>
      <c r="X111" s="114"/>
      <c r="Y111" s="299"/>
      <c r="Z111" s="300"/>
      <c r="AA111" s="115">
        <f t="shared" si="52"/>
        <v>-314.12622141294742</v>
      </c>
      <c r="AB111" s="108">
        <f t="shared" si="53"/>
        <v>0.91274271627418124</v>
      </c>
      <c r="AC111" s="313"/>
    </row>
    <row r="112" spans="1:29" ht="15.75" customHeight="1">
      <c r="A112" s="316"/>
      <c r="B112" s="98" t="s">
        <v>118</v>
      </c>
      <c r="C112" s="297" t="s">
        <v>146</v>
      </c>
      <c r="D112" s="298"/>
      <c r="E112" s="99">
        <v>25.03</v>
      </c>
      <c r="F112" s="100">
        <v>452</v>
      </c>
      <c r="G112" s="119">
        <f t="shared" si="54"/>
        <v>11313.560000000001</v>
      </c>
      <c r="H112" s="26">
        <v>2</v>
      </c>
      <c r="I112" s="102">
        <v>5</v>
      </c>
      <c r="J112" s="103">
        <v>3600</v>
      </c>
      <c r="K112" s="104">
        <f t="shared" si="56"/>
        <v>720</v>
      </c>
      <c r="L112" s="105">
        <v>5</v>
      </c>
      <c r="M112" s="103">
        <f t="shared" si="55"/>
        <v>3283.7238857107945</v>
      </c>
      <c r="N112" s="104">
        <f t="shared" si="48"/>
        <v>656.74477714215891</v>
      </c>
      <c r="O112" s="106">
        <f t="shared" si="49"/>
        <v>0</v>
      </c>
      <c r="P112" s="107">
        <f t="shared" si="50"/>
        <v>-63.25522285784109</v>
      </c>
      <c r="Q112" s="108">
        <f t="shared" si="51"/>
        <v>0.91214552380855407</v>
      </c>
      <c r="R112" s="308"/>
      <c r="S112" s="46">
        <v>0.81944444444444409</v>
      </c>
      <c r="T112" s="118">
        <v>0.82517361111111076</v>
      </c>
      <c r="U112" s="109">
        <v>12.549999999999883</v>
      </c>
      <c r="V112" s="110">
        <v>8.2589160793979506</v>
      </c>
      <c r="W112" s="111"/>
      <c r="X112" s="114"/>
      <c r="Y112" s="299"/>
      <c r="Z112" s="300"/>
      <c r="AA112" s="115">
        <f t="shared" si="52"/>
        <v>-316.27611428920545</v>
      </c>
      <c r="AB112" s="108">
        <f t="shared" si="53"/>
        <v>0.91214552380855407</v>
      </c>
      <c r="AC112" s="313"/>
    </row>
    <row r="113" spans="1:29" ht="15.75" customHeight="1">
      <c r="A113" s="316"/>
      <c r="B113" s="98" t="s">
        <v>118</v>
      </c>
      <c r="C113" s="297" t="s">
        <v>137</v>
      </c>
      <c r="D113" s="298"/>
      <c r="E113" s="99">
        <v>16.66</v>
      </c>
      <c r="F113" s="100">
        <v>2448</v>
      </c>
      <c r="G113" s="119">
        <f t="shared" si="54"/>
        <v>40783.68</v>
      </c>
      <c r="H113" s="26">
        <v>2</v>
      </c>
      <c r="I113" s="102">
        <v>5</v>
      </c>
      <c r="J113" s="103">
        <v>3600</v>
      </c>
      <c r="K113" s="104">
        <f t="shared" si="56"/>
        <v>720</v>
      </c>
      <c r="L113" s="105">
        <v>5</v>
      </c>
      <c r="M113" s="103">
        <f t="shared" si="55"/>
        <v>3287.0457407684116</v>
      </c>
      <c r="N113" s="104">
        <f t="shared" si="48"/>
        <v>657.40914815368228</v>
      </c>
      <c r="O113" s="121">
        <f t="shared" si="49"/>
        <v>0</v>
      </c>
      <c r="P113" s="122">
        <f t="shared" si="50"/>
        <v>-62.590851846317719</v>
      </c>
      <c r="Q113" s="123">
        <f t="shared" si="51"/>
        <v>0.91306826132455876</v>
      </c>
      <c r="R113" s="308"/>
      <c r="S113" s="46">
        <v>0.83402777777777737</v>
      </c>
      <c r="T113" s="118">
        <v>0.86505787037036996</v>
      </c>
      <c r="U113" s="109">
        <v>12.749999999999915</v>
      </c>
      <c r="V113" s="110">
        <v>44.684501398408862</v>
      </c>
      <c r="W113" s="111"/>
      <c r="X113" s="114"/>
      <c r="Y113" s="299"/>
      <c r="Z113" s="300"/>
      <c r="AA113" s="115">
        <f t="shared" si="52"/>
        <v>-312.95425923158837</v>
      </c>
      <c r="AB113" s="108">
        <f t="shared" si="53"/>
        <v>0.91306826132455876</v>
      </c>
      <c r="AC113" s="313"/>
    </row>
    <row r="114" spans="1:29" ht="15.75" customHeight="1">
      <c r="A114" s="316"/>
      <c r="B114" s="98" t="s">
        <v>118</v>
      </c>
      <c r="C114" s="297" t="s">
        <v>140</v>
      </c>
      <c r="D114" s="298"/>
      <c r="E114" s="99">
        <v>18.18</v>
      </c>
      <c r="F114" s="100">
        <v>806</v>
      </c>
      <c r="G114" s="119">
        <f t="shared" si="54"/>
        <v>14653.08</v>
      </c>
      <c r="H114" s="26"/>
      <c r="I114" s="102">
        <v>3</v>
      </c>
      <c r="J114" s="103">
        <v>3000</v>
      </c>
      <c r="K114" s="104">
        <f t="shared" si="56"/>
        <v>1000</v>
      </c>
      <c r="L114" s="116">
        <v>3</v>
      </c>
      <c r="M114" s="103">
        <f t="shared" si="55"/>
        <v>2797.8874183060407</v>
      </c>
      <c r="N114" s="104">
        <f t="shared" si="48"/>
        <v>932.62913943534693</v>
      </c>
      <c r="O114" s="121">
        <f t="shared" si="49"/>
        <v>0</v>
      </c>
      <c r="P114" s="122">
        <f t="shared" si="50"/>
        <v>-67.370860564653071</v>
      </c>
      <c r="Q114" s="123">
        <f t="shared" si="51"/>
        <v>0.93262913943534698</v>
      </c>
      <c r="R114" s="308"/>
      <c r="S114" s="46">
        <v>0.87361111111111067</v>
      </c>
      <c r="T114" s="118">
        <v>0.88561342592592551</v>
      </c>
      <c r="U114" s="109">
        <v>12.31666666666662</v>
      </c>
      <c r="V114" s="110">
        <v>17.284469590731135</v>
      </c>
      <c r="W114" s="111"/>
      <c r="X114" s="114"/>
      <c r="Y114" s="299"/>
      <c r="Z114" s="300"/>
      <c r="AA114" s="115">
        <f t="shared" si="52"/>
        <v>-202.11258169395933</v>
      </c>
      <c r="AB114" s="108">
        <f t="shared" si="53"/>
        <v>0.93262913943534687</v>
      </c>
      <c r="AC114" s="313"/>
    </row>
    <row r="115" spans="1:29" ht="15.75" customHeight="1">
      <c r="A115" s="316"/>
      <c r="B115" s="98" t="s">
        <v>118</v>
      </c>
      <c r="C115" s="297" t="s">
        <v>144</v>
      </c>
      <c r="D115" s="298"/>
      <c r="E115" s="99">
        <v>18.18</v>
      </c>
      <c r="F115" s="100">
        <v>485</v>
      </c>
      <c r="G115" s="119">
        <f t="shared" si="54"/>
        <v>8817.2999999999993</v>
      </c>
      <c r="H115" s="26"/>
      <c r="I115" s="102">
        <v>3</v>
      </c>
      <c r="J115" s="103">
        <v>3600</v>
      </c>
      <c r="K115" s="104">
        <f t="shared" si="56"/>
        <v>1200</v>
      </c>
      <c r="L115" s="116">
        <v>3</v>
      </c>
      <c r="M115" s="103">
        <f t="shared" si="55"/>
        <v>3286.4253450014598</v>
      </c>
      <c r="N115" s="104">
        <f t="shared" si="48"/>
        <v>1095.4751150004865</v>
      </c>
      <c r="O115" s="121">
        <f t="shared" si="49"/>
        <v>0</v>
      </c>
      <c r="P115" s="122">
        <f t="shared" si="50"/>
        <v>-104.52488499951346</v>
      </c>
      <c r="Q115" s="123">
        <f t="shared" si="51"/>
        <v>0.91289592916707207</v>
      </c>
      <c r="R115" s="308"/>
      <c r="S115" s="46">
        <v>0.89513888888888837</v>
      </c>
      <c r="T115" s="118">
        <v>0.90128472222222167</v>
      </c>
      <c r="U115" s="109">
        <v>13.716666666666519</v>
      </c>
      <c r="V115" s="110">
        <v>8.854605519720721</v>
      </c>
      <c r="W115" s="111"/>
      <c r="X115" s="114"/>
      <c r="Y115" s="299"/>
      <c r="Z115" s="300"/>
      <c r="AA115" s="115">
        <f t="shared" si="52"/>
        <v>-313.57465499854015</v>
      </c>
      <c r="AB115" s="108">
        <f t="shared" si="53"/>
        <v>0.91289592916707218</v>
      </c>
      <c r="AC115" s="313"/>
    </row>
    <row r="116" spans="1:29" ht="15.75" customHeight="1">
      <c r="A116" s="316"/>
      <c r="B116" s="98" t="s">
        <v>118</v>
      </c>
      <c r="C116" s="297" t="s">
        <v>133</v>
      </c>
      <c r="D116" s="298"/>
      <c r="E116" s="99">
        <v>16.7</v>
      </c>
      <c r="F116" s="100">
        <v>1463</v>
      </c>
      <c r="G116" s="119">
        <f t="shared" si="54"/>
        <v>24432.1</v>
      </c>
      <c r="H116" s="26"/>
      <c r="I116" s="102">
        <v>3</v>
      </c>
      <c r="J116" s="103">
        <v>3600</v>
      </c>
      <c r="K116" s="104">
        <f t="shared" si="56"/>
        <v>1200</v>
      </c>
      <c r="L116" s="116">
        <v>3</v>
      </c>
      <c r="M116" s="103">
        <f t="shared" si="55"/>
        <v>3285.4320307845678</v>
      </c>
      <c r="N116" s="104">
        <f t="shared" si="48"/>
        <v>1095.1440102615227</v>
      </c>
      <c r="O116" s="121">
        <f t="shared" si="49"/>
        <v>0</v>
      </c>
      <c r="P116" s="122">
        <f t="shared" si="50"/>
        <v>-104.85598973847732</v>
      </c>
      <c r="Q116" s="123">
        <f t="shared" si="51"/>
        <v>0.9126200085512689</v>
      </c>
      <c r="R116" s="308"/>
      <c r="S116" s="46">
        <v>0.90972222222222165</v>
      </c>
      <c r="T116" s="118">
        <v>0.92827546296296237</v>
      </c>
      <c r="U116" s="109">
        <v>12.149999999999981</v>
      </c>
      <c r="V116" s="110">
        <v>26.71794734375861</v>
      </c>
      <c r="W116" s="111"/>
      <c r="X116" s="114"/>
      <c r="Y116" s="299"/>
      <c r="Z116" s="300"/>
      <c r="AA116" s="115">
        <f t="shared" si="52"/>
        <v>-314.56796921543219</v>
      </c>
      <c r="AB116" s="108">
        <f t="shared" si="53"/>
        <v>0.91262000855126879</v>
      </c>
      <c r="AC116" s="313"/>
    </row>
    <row r="117" spans="1:29" ht="15.75" customHeight="1">
      <c r="A117" s="316"/>
      <c r="B117" s="98" t="s">
        <v>118</v>
      </c>
      <c r="C117" s="297" t="s">
        <v>193</v>
      </c>
      <c r="D117" s="298"/>
      <c r="E117" s="99">
        <v>30</v>
      </c>
      <c r="F117" s="100">
        <v>930</v>
      </c>
      <c r="G117" s="119">
        <f t="shared" si="54"/>
        <v>27900</v>
      </c>
      <c r="H117" s="60"/>
      <c r="I117" s="102">
        <v>4</v>
      </c>
      <c r="J117" s="103">
        <v>3600</v>
      </c>
      <c r="K117" s="104">
        <f t="shared" si="56"/>
        <v>900</v>
      </c>
      <c r="L117" s="116">
        <v>4</v>
      </c>
      <c r="M117" s="103">
        <f t="shared" si="55"/>
        <v>3285.8737785870526</v>
      </c>
      <c r="N117" s="104">
        <f t="shared" si="48"/>
        <v>821.46844464676315</v>
      </c>
      <c r="O117" s="121">
        <f t="shared" si="49"/>
        <v>0</v>
      </c>
      <c r="P117" s="122">
        <f t="shared" si="50"/>
        <v>-78.531555353236854</v>
      </c>
      <c r="Q117" s="123">
        <f t="shared" si="51"/>
        <v>0.91274271627418124</v>
      </c>
      <c r="R117" s="308"/>
      <c r="S117" s="46">
        <v>0.93749999999999944</v>
      </c>
      <c r="T117" s="118">
        <v>0.94928240740740688</v>
      </c>
      <c r="U117" s="109">
        <v>13.283333333333385</v>
      </c>
      <c r="V117" s="110">
        <v>16.981784377607582</v>
      </c>
      <c r="W117" s="124"/>
      <c r="X117" s="125"/>
      <c r="Y117" s="299"/>
      <c r="Z117" s="300"/>
      <c r="AA117" s="115">
        <f t="shared" si="52"/>
        <v>-314.12622141294742</v>
      </c>
      <c r="AB117" s="108">
        <f t="shared" si="53"/>
        <v>0.91274271627418124</v>
      </c>
      <c r="AC117" s="313"/>
    </row>
    <row r="118" spans="1:29" ht="15.75" customHeight="1">
      <c r="A118" s="316"/>
      <c r="B118" s="98" t="s">
        <v>118</v>
      </c>
      <c r="C118" s="297" t="s">
        <v>146</v>
      </c>
      <c r="D118" s="298"/>
      <c r="E118" s="99">
        <v>25.03</v>
      </c>
      <c r="F118" s="100">
        <v>515</v>
      </c>
      <c r="G118" s="119">
        <f t="shared" si="54"/>
        <v>12890.45</v>
      </c>
      <c r="H118" s="60"/>
      <c r="I118" s="102">
        <v>5</v>
      </c>
      <c r="J118" s="103">
        <v>3600</v>
      </c>
      <c r="K118" s="104">
        <f t="shared" si="56"/>
        <v>720</v>
      </c>
      <c r="L118" s="116">
        <v>5</v>
      </c>
      <c r="M118" s="103">
        <f t="shared" si="55"/>
        <v>3283.2375764086783</v>
      </c>
      <c r="N118" s="104">
        <f t="shared" si="48"/>
        <v>656.64751528173565</v>
      </c>
      <c r="O118" s="121">
        <f t="shared" si="49"/>
        <v>0</v>
      </c>
      <c r="P118" s="122">
        <f t="shared" si="50"/>
        <v>-63.35248471826435</v>
      </c>
      <c r="Q118" s="123">
        <f t="shared" si="51"/>
        <v>0.91201043789129954</v>
      </c>
      <c r="R118" s="308"/>
      <c r="S118" s="46">
        <v>0.9583333333333327</v>
      </c>
      <c r="T118" s="118">
        <v>0.9648611111111105</v>
      </c>
      <c r="U118" s="109">
        <v>13.033333333333186</v>
      </c>
      <c r="V118" s="110">
        <v>9.4114419931193396</v>
      </c>
      <c r="W118" s="124"/>
      <c r="X118" s="125"/>
      <c r="Y118" s="299"/>
      <c r="Z118" s="300"/>
      <c r="AA118" s="115">
        <f t="shared" si="52"/>
        <v>-316.76242359132175</v>
      </c>
      <c r="AB118" s="108">
        <f t="shared" si="53"/>
        <v>0.91201043789129954</v>
      </c>
      <c r="AC118" s="313"/>
    </row>
    <row r="119" spans="1:29" ht="15.75" customHeight="1">
      <c r="A119" s="316"/>
      <c r="B119" s="98" t="s">
        <v>118</v>
      </c>
      <c r="C119" s="297" t="s">
        <v>139</v>
      </c>
      <c r="D119" s="298"/>
      <c r="E119" s="99">
        <v>14.03</v>
      </c>
      <c r="F119" s="100">
        <v>5642</v>
      </c>
      <c r="G119" s="119">
        <f t="shared" si="54"/>
        <v>79157.259999999995</v>
      </c>
      <c r="H119" s="60"/>
      <c r="I119" s="102">
        <v>3</v>
      </c>
      <c r="J119" s="103">
        <v>3000</v>
      </c>
      <c r="K119" s="104">
        <f t="shared" si="56"/>
        <v>1000</v>
      </c>
      <c r="L119" s="116">
        <v>3</v>
      </c>
      <c r="M119" s="103">
        <f t="shared" si="55"/>
        <v>2803.3382829214333</v>
      </c>
      <c r="N119" s="104">
        <f t="shared" si="48"/>
        <v>934.44609430714445</v>
      </c>
      <c r="O119" s="121">
        <f t="shared" si="49"/>
        <v>0</v>
      </c>
      <c r="P119" s="122">
        <f t="shared" si="50"/>
        <v>-65.553905692855551</v>
      </c>
      <c r="Q119" s="123">
        <f t="shared" si="51"/>
        <v>0.93444609430714443</v>
      </c>
      <c r="R119" s="308"/>
      <c r="S119" s="46">
        <v>0.97430555555555487</v>
      </c>
      <c r="T119" s="118">
        <v>1.0581597222222214</v>
      </c>
      <c r="U119" s="109">
        <v>13.599999999999888</v>
      </c>
      <c r="V119" s="110">
        <v>120.75602936054484</v>
      </c>
      <c r="W119" s="124"/>
      <c r="X119" s="125"/>
      <c r="Y119" s="299"/>
      <c r="Z119" s="300"/>
      <c r="AA119" s="115">
        <f t="shared" si="52"/>
        <v>-196.66171707856665</v>
      </c>
      <c r="AB119" s="108">
        <f t="shared" si="53"/>
        <v>0.93444609430714443</v>
      </c>
      <c r="AC119" s="313"/>
    </row>
    <row r="120" spans="1:29" ht="15.75" customHeight="1">
      <c r="A120" s="316"/>
      <c r="B120" s="98" t="s">
        <v>118</v>
      </c>
      <c r="C120" s="297" t="s">
        <v>137</v>
      </c>
      <c r="D120" s="298"/>
      <c r="E120" s="99">
        <v>16.66</v>
      </c>
      <c r="F120" s="100">
        <v>3745</v>
      </c>
      <c r="G120" s="119">
        <f t="shared" si="54"/>
        <v>62391.7</v>
      </c>
      <c r="H120" s="60"/>
      <c r="I120" s="102">
        <v>5</v>
      </c>
      <c r="J120" s="103">
        <v>3600</v>
      </c>
      <c r="K120" s="104">
        <f t="shared" si="56"/>
        <v>720</v>
      </c>
      <c r="L120" s="116">
        <v>5</v>
      </c>
      <c r="M120" s="103">
        <f t="shared" si="55"/>
        <v>3287.0457407684116</v>
      </c>
      <c r="N120" s="104">
        <f t="shared" si="48"/>
        <v>657.40914815368228</v>
      </c>
      <c r="O120" s="121">
        <f t="shared" si="49"/>
        <v>0</v>
      </c>
      <c r="P120" s="122">
        <f t="shared" si="50"/>
        <v>-62.590851846317719</v>
      </c>
      <c r="Q120" s="123">
        <f t="shared" si="51"/>
        <v>0.91306826132455876</v>
      </c>
      <c r="R120" s="308"/>
      <c r="S120" s="46">
        <v>1.066666666666666</v>
      </c>
      <c r="T120" s="118">
        <v>1.1141319444444437</v>
      </c>
      <c r="U120" s="109">
        <v>12.250000000000156</v>
      </c>
      <c r="V120" s="110">
        <v>68.35925561153644</v>
      </c>
      <c r="W120" s="124"/>
      <c r="X120" s="125"/>
      <c r="Y120" s="299"/>
      <c r="Z120" s="300"/>
      <c r="AA120" s="115">
        <f t="shared" si="52"/>
        <v>-312.95425923158837</v>
      </c>
      <c r="AB120" s="108">
        <f t="shared" si="53"/>
        <v>0.91306826132455876</v>
      </c>
      <c r="AC120" s="313"/>
    </row>
    <row r="121" spans="1:29" ht="15.75" customHeight="1">
      <c r="A121" s="316"/>
      <c r="B121" s="98"/>
      <c r="C121" s="297"/>
      <c r="D121" s="298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8"/>
      <c r="S121" s="46"/>
      <c r="T121" s="118"/>
      <c r="U121" s="109"/>
      <c r="V121" s="110"/>
      <c r="W121" s="124"/>
      <c r="X121" s="125"/>
      <c r="Y121" s="299"/>
      <c r="Z121" s="300"/>
      <c r="AA121" s="115"/>
      <c r="AB121" s="108"/>
      <c r="AC121" s="313"/>
    </row>
    <row r="122" spans="1:29" ht="15.75" customHeight="1">
      <c r="A122" s="316"/>
      <c r="B122" s="98"/>
      <c r="C122" s="297"/>
      <c r="D122" s="298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8"/>
      <c r="S122" s="117"/>
      <c r="T122" s="118"/>
      <c r="U122" s="128"/>
      <c r="V122" s="129"/>
      <c r="W122" s="124"/>
      <c r="X122" s="125"/>
      <c r="Y122" s="299"/>
      <c r="Z122" s="300"/>
      <c r="AA122" s="163"/>
      <c r="AB122" s="123"/>
      <c r="AC122" s="313"/>
    </row>
    <row r="123" spans="1:29" ht="15.75" customHeight="1" thickBot="1">
      <c r="A123" s="317"/>
      <c r="B123" s="131" t="s">
        <v>115</v>
      </c>
      <c r="C123" s="294"/>
      <c r="D123" s="294"/>
      <c r="E123" s="132"/>
      <c r="F123" s="97"/>
      <c r="G123" s="133"/>
      <c r="H123" s="67"/>
      <c r="I123" s="134">
        <f t="shared" ref="I123:J123" si="57">AVERAGE(I107:I122)</f>
        <v>3.7142857142857144</v>
      </c>
      <c r="J123" s="135">
        <f t="shared" si="57"/>
        <v>3428.5714285714284</v>
      </c>
      <c r="K123" s="136">
        <f t="shared" ref="K123" si="58">J123/I123</f>
        <v>923.07692307692298</v>
      </c>
      <c r="L123" s="134">
        <f t="shared" ref="L123:M123" si="59">AVERAGE(L107:L122)</f>
        <v>3.7142857142857144</v>
      </c>
      <c r="M123" s="135">
        <f t="shared" si="59"/>
        <v>3147.0690467755289</v>
      </c>
      <c r="N123" s="136">
        <f t="shared" ref="N123:N137" si="60">M123/L123</f>
        <v>847.28782028571925</v>
      </c>
      <c r="O123" s="137">
        <f t="shared" ref="O123:O137" si="61">L123-I123</f>
        <v>0</v>
      </c>
      <c r="P123" s="138">
        <f t="shared" ref="P123:P137" si="62">N123-K123</f>
        <v>-75.789102791203732</v>
      </c>
      <c r="Q123" s="139">
        <f t="shared" ref="Q123:Q137" si="63">N123/K123</f>
        <v>0.91789513864286265</v>
      </c>
      <c r="R123" s="309"/>
      <c r="S123" s="140">
        <v>0.7319444444444444</v>
      </c>
      <c r="T123" s="141">
        <v>1.1141319444444437</v>
      </c>
      <c r="U123" s="142"/>
      <c r="V123" s="164"/>
      <c r="W123" s="97"/>
      <c r="X123" s="67"/>
      <c r="Y123" s="295"/>
      <c r="Z123" s="296"/>
      <c r="AA123" s="166">
        <f t="shared" ref="AA123:AA137" si="64">M123-J123</f>
        <v>-281.50238179589951</v>
      </c>
      <c r="AB123" s="139">
        <f t="shared" ref="AB123:AB137" si="65">M123/J123</f>
        <v>0.91789513864286265</v>
      </c>
      <c r="AC123" s="314"/>
    </row>
    <row r="124" spans="1:29" ht="15.75" customHeight="1">
      <c r="A124" s="301" t="s">
        <v>142</v>
      </c>
      <c r="B124" s="112" t="s">
        <v>118</v>
      </c>
      <c r="C124" s="305" t="s">
        <v>141</v>
      </c>
      <c r="D124" s="306"/>
      <c r="E124" s="145">
        <v>14.28</v>
      </c>
      <c r="F124" s="95">
        <v>356</v>
      </c>
      <c r="G124" s="146">
        <f t="shared" ref="G124:G137" si="66">E124*F124</f>
        <v>5083.6799999999994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7" si="67">F124/V124*60</f>
        <v>3286.1245142649391</v>
      </c>
      <c r="N124" s="150">
        <f t="shared" si="60"/>
        <v>1095.374838088313</v>
      </c>
      <c r="O124" s="152">
        <f t="shared" si="61"/>
        <v>0</v>
      </c>
      <c r="P124" s="153">
        <f t="shared" si="62"/>
        <v>-104.62516191168697</v>
      </c>
      <c r="Q124" s="154">
        <f t="shared" si="63"/>
        <v>0.9128123650735942</v>
      </c>
      <c r="R124" s="307">
        <f>Q140</f>
        <v>0.91231576731903374</v>
      </c>
      <c r="S124" s="155">
        <v>0.7319444444444444</v>
      </c>
      <c r="T124" s="156">
        <v>0.73645833333333333</v>
      </c>
      <c r="U124" s="157"/>
      <c r="V124" s="158">
        <v>6.500058018884272</v>
      </c>
      <c r="W124" s="156"/>
      <c r="X124" s="167"/>
      <c r="Y124" s="310"/>
      <c r="Z124" s="311"/>
      <c r="AA124" s="169">
        <f t="shared" si="64"/>
        <v>-313.87548573506092</v>
      </c>
      <c r="AB124" s="154">
        <f t="shared" si="65"/>
        <v>0.9128123650735942</v>
      </c>
      <c r="AC124" s="312">
        <f>AB140</f>
        <v>0.91231576731903374</v>
      </c>
    </row>
    <row r="125" spans="1:29" ht="15.75" customHeight="1">
      <c r="A125" s="302"/>
      <c r="B125" s="98" t="s">
        <v>118</v>
      </c>
      <c r="C125" s="297" t="s">
        <v>217</v>
      </c>
      <c r="D125" s="298"/>
      <c r="E125" s="99">
        <v>23.8</v>
      </c>
      <c r="F125" s="100">
        <v>310</v>
      </c>
      <c r="G125" s="101">
        <f t="shared" si="66"/>
        <v>7378</v>
      </c>
      <c r="H125" s="26">
        <v>2</v>
      </c>
      <c r="I125" s="102">
        <v>4</v>
      </c>
      <c r="J125" s="103">
        <v>3600</v>
      </c>
      <c r="K125" s="104">
        <f t="shared" si="56"/>
        <v>900</v>
      </c>
      <c r="L125" s="105">
        <v>4</v>
      </c>
      <c r="M125" s="103">
        <f t="shared" si="67"/>
        <v>3284.3984763995413</v>
      </c>
      <c r="N125" s="104">
        <f t="shared" si="60"/>
        <v>821.09961909988533</v>
      </c>
      <c r="O125" s="106">
        <f t="shared" si="61"/>
        <v>0</v>
      </c>
      <c r="P125" s="107">
        <f t="shared" si="62"/>
        <v>-78.900380900114669</v>
      </c>
      <c r="Q125" s="108">
        <f t="shared" si="63"/>
        <v>0.91233291011098372</v>
      </c>
      <c r="R125" s="308"/>
      <c r="S125" s="46">
        <v>0.74583333333333324</v>
      </c>
      <c r="T125" s="47">
        <v>0.7497569444444443</v>
      </c>
      <c r="U125" s="109">
        <v>13.499999999999872</v>
      </c>
      <c r="V125" s="110">
        <v>5.6631374462181254</v>
      </c>
      <c r="W125" s="111"/>
      <c r="X125" s="13"/>
      <c r="Y125" s="299"/>
      <c r="Z125" s="300"/>
      <c r="AA125" s="170">
        <f t="shared" si="64"/>
        <v>-315.60152360045868</v>
      </c>
      <c r="AB125" s="108">
        <f t="shared" si="65"/>
        <v>0.91233291011098372</v>
      </c>
      <c r="AC125" s="313"/>
    </row>
    <row r="126" spans="1:29" ht="15.75" customHeight="1">
      <c r="A126" s="302"/>
      <c r="B126" s="98" t="s">
        <v>118</v>
      </c>
      <c r="C126" s="297" t="s">
        <v>145</v>
      </c>
      <c r="D126" s="298"/>
      <c r="E126" s="99">
        <v>24.82</v>
      </c>
      <c r="F126" s="100">
        <v>690</v>
      </c>
      <c r="G126" s="101">
        <f t="shared" si="66"/>
        <v>17125.8</v>
      </c>
      <c r="H126" s="26">
        <v>2</v>
      </c>
      <c r="I126" s="102">
        <v>5</v>
      </c>
      <c r="J126" s="103">
        <v>3600</v>
      </c>
      <c r="K126" s="104">
        <f t="shared" si="56"/>
        <v>720</v>
      </c>
      <c r="L126" s="105">
        <v>5</v>
      </c>
      <c r="M126" s="103">
        <f t="shared" si="67"/>
        <v>3283.0451855282299</v>
      </c>
      <c r="N126" s="104">
        <f t="shared" si="60"/>
        <v>656.60903710564594</v>
      </c>
      <c r="O126" s="106">
        <f t="shared" si="61"/>
        <v>0</v>
      </c>
      <c r="P126" s="107">
        <f t="shared" si="62"/>
        <v>-63.390962894354061</v>
      </c>
      <c r="Q126" s="108">
        <f t="shared" si="63"/>
        <v>0.91195699598006386</v>
      </c>
      <c r="R126" s="308"/>
      <c r="S126" s="46">
        <v>0.75902777777777763</v>
      </c>
      <c r="T126" s="47">
        <v>0.76777777777777767</v>
      </c>
      <c r="U126" s="109">
        <v>13.350000000000009</v>
      </c>
      <c r="V126" s="110">
        <v>12.610243740321501</v>
      </c>
      <c r="W126" s="111"/>
      <c r="X126" s="13"/>
      <c r="Y126" s="299"/>
      <c r="Z126" s="300"/>
      <c r="AA126" s="170">
        <f t="shared" si="64"/>
        <v>-316.95481447177008</v>
      </c>
      <c r="AB126" s="108">
        <f t="shared" si="65"/>
        <v>0.91195699598006386</v>
      </c>
      <c r="AC126" s="313"/>
    </row>
    <row r="127" spans="1:29" ht="15.75" customHeight="1">
      <c r="A127" s="302"/>
      <c r="B127" s="98" t="s">
        <v>118</v>
      </c>
      <c r="C127" s="297" t="s">
        <v>216</v>
      </c>
      <c r="D127" s="298"/>
      <c r="E127" s="99">
        <v>24.76</v>
      </c>
      <c r="F127" s="100">
        <v>492</v>
      </c>
      <c r="G127" s="101">
        <f t="shared" si="66"/>
        <v>12181.92</v>
      </c>
      <c r="H127" s="26">
        <v>2</v>
      </c>
      <c r="I127" s="102">
        <v>4</v>
      </c>
      <c r="J127" s="103">
        <v>3600</v>
      </c>
      <c r="K127" s="104">
        <f t="shared" si="56"/>
        <v>900</v>
      </c>
      <c r="L127" s="105">
        <v>4</v>
      </c>
      <c r="M127" s="103">
        <f t="shared" si="67"/>
        <v>3286.0998108928907</v>
      </c>
      <c r="N127" s="104">
        <f t="shared" si="60"/>
        <v>821.52495272322267</v>
      </c>
      <c r="O127" s="106">
        <f t="shared" si="61"/>
        <v>0</v>
      </c>
      <c r="P127" s="107">
        <f t="shared" si="62"/>
        <v>-78.475047276777332</v>
      </c>
      <c r="Q127" s="108">
        <f t="shared" si="63"/>
        <v>0.91280550302580299</v>
      </c>
      <c r="R127" s="308"/>
      <c r="S127" s="46">
        <v>0.77638888888888868</v>
      </c>
      <c r="T127" s="47">
        <v>0.78261574074074058</v>
      </c>
      <c r="U127" s="109">
        <v>12.39999999999986</v>
      </c>
      <c r="V127" s="110">
        <v>8.9832937825400077</v>
      </c>
      <c r="W127" s="111"/>
      <c r="X127" s="13"/>
      <c r="Y127" s="299"/>
      <c r="Z127" s="300"/>
      <c r="AA127" s="170">
        <f t="shared" si="64"/>
        <v>-313.90018910710933</v>
      </c>
      <c r="AB127" s="108">
        <f t="shared" si="65"/>
        <v>0.91280550302580299</v>
      </c>
      <c r="AC127" s="313"/>
    </row>
    <row r="128" spans="1:29" ht="15.75" customHeight="1">
      <c r="A128" s="303"/>
      <c r="B128" s="98" t="s">
        <v>118</v>
      </c>
      <c r="C128" s="297" t="s">
        <v>212</v>
      </c>
      <c r="D128" s="298"/>
      <c r="E128" s="99">
        <v>22.32</v>
      </c>
      <c r="F128" s="100">
        <v>731</v>
      </c>
      <c r="G128" s="101">
        <f t="shared" si="66"/>
        <v>16315.92</v>
      </c>
      <c r="H128" s="26">
        <v>2</v>
      </c>
      <c r="I128" s="102">
        <v>5</v>
      </c>
      <c r="J128" s="103">
        <v>3600</v>
      </c>
      <c r="K128" s="104">
        <f t="shared" si="56"/>
        <v>720</v>
      </c>
      <c r="L128" s="105">
        <v>5</v>
      </c>
      <c r="M128" s="103">
        <f t="shared" si="67"/>
        <v>3283.5361209884727</v>
      </c>
      <c r="N128" s="104">
        <f t="shared" si="60"/>
        <v>656.70722419769459</v>
      </c>
      <c r="O128" s="106">
        <f t="shared" si="61"/>
        <v>0</v>
      </c>
      <c r="P128" s="107">
        <f t="shared" si="62"/>
        <v>-63.292775802305414</v>
      </c>
      <c r="Q128" s="108">
        <f t="shared" si="63"/>
        <v>0.91209336694124243</v>
      </c>
      <c r="R128" s="308"/>
      <c r="S128" s="46">
        <v>0.79097222222222197</v>
      </c>
      <c r="T128" s="47">
        <v>0.8002430555555553</v>
      </c>
      <c r="U128" s="109">
        <v>12.033333333333189</v>
      </c>
      <c r="V128" s="110">
        <v>13.3575506356228</v>
      </c>
      <c r="W128" s="111"/>
      <c r="X128" s="114"/>
      <c r="Y128" s="299"/>
      <c r="Z128" s="300"/>
      <c r="AA128" s="170">
        <f t="shared" si="64"/>
        <v>-316.4638790115273</v>
      </c>
      <c r="AB128" s="108">
        <f t="shared" si="65"/>
        <v>0.91209336694124243</v>
      </c>
      <c r="AC128" s="313"/>
    </row>
    <row r="129" spans="1:29" ht="15.75" customHeight="1">
      <c r="A129" s="303"/>
      <c r="B129" s="98" t="s">
        <v>118</v>
      </c>
      <c r="C129" s="297" t="s">
        <v>143</v>
      </c>
      <c r="D129" s="298"/>
      <c r="E129" s="99">
        <v>18.18</v>
      </c>
      <c r="F129" s="100">
        <v>1058</v>
      </c>
      <c r="G129" s="119">
        <f t="shared" si="66"/>
        <v>19234.439999999999</v>
      </c>
      <c r="H129" s="26">
        <v>2</v>
      </c>
      <c r="I129" s="102">
        <v>3</v>
      </c>
      <c r="J129" s="103">
        <v>3600</v>
      </c>
      <c r="K129" s="104">
        <f t="shared" si="56"/>
        <v>1200</v>
      </c>
      <c r="L129" s="105">
        <v>3</v>
      </c>
      <c r="M129" s="103">
        <f t="shared" si="67"/>
        <v>3281.7493376259558</v>
      </c>
      <c r="N129" s="104">
        <f t="shared" si="60"/>
        <v>1093.9164458753187</v>
      </c>
      <c r="O129" s="106">
        <f t="shared" si="61"/>
        <v>0</v>
      </c>
      <c r="P129" s="107">
        <f t="shared" si="62"/>
        <v>-106.08355412468131</v>
      </c>
      <c r="Q129" s="108">
        <f t="shared" si="63"/>
        <v>0.91159703822943228</v>
      </c>
      <c r="R129" s="308"/>
      <c r="S129" s="46">
        <v>0.80902777777777746</v>
      </c>
      <c r="T129" s="118">
        <v>0.82245370370370341</v>
      </c>
      <c r="U129" s="109">
        <v>12.649999999999899</v>
      </c>
      <c r="V129" s="110">
        <v>19.3433420621704</v>
      </c>
      <c r="W129" s="111"/>
      <c r="X129" s="49"/>
      <c r="Y129" s="299"/>
      <c r="Z129" s="300"/>
      <c r="AA129" s="170">
        <f t="shared" si="64"/>
        <v>-318.25066237404417</v>
      </c>
      <c r="AB129" s="108">
        <f t="shared" si="65"/>
        <v>0.91159703822943217</v>
      </c>
      <c r="AC129" s="313"/>
    </row>
    <row r="130" spans="1:29" ht="15.75" customHeight="1">
      <c r="A130" s="303"/>
      <c r="B130" s="98" t="s">
        <v>118</v>
      </c>
      <c r="C130" s="297" t="s">
        <v>136</v>
      </c>
      <c r="D130" s="298"/>
      <c r="E130" s="99">
        <v>17.89</v>
      </c>
      <c r="F130" s="100">
        <v>1657</v>
      </c>
      <c r="G130" s="119">
        <f t="shared" si="66"/>
        <v>29643.73</v>
      </c>
      <c r="H130" s="26">
        <v>2</v>
      </c>
      <c r="I130" s="102">
        <v>4</v>
      </c>
      <c r="J130" s="103">
        <v>3600</v>
      </c>
      <c r="K130" s="104">
        <f t="shared" si="56"/>
        <v>900</v>
      </c>
      <c r="L130" s="105">
        <v>4</v>
      </c>
      <c r="M130" s="103">
        <f t="shared" si="67"/>
        <v>3286.3051389568932</v>
      </c>
      <c r="N130" s="104">
        <f t="shared" si="60"/>
        <v>821.5762847392233</v>
      </c>
      <c r="O130" s="121">
        <f t="shared" si="61"/>
        <v>0</v>
      </c>
      <c r="P130" s="122">
        <f t="shared" si="62"/>
        <v>-78.423715260776703</v>
      </c>
      <c r="Q130" s="123">
        <f t="shared" si="63"/>
        <v>0.91286253859913702</v>
      </c>
      <c r="R130" s="308"/>
      <c r="S130" s="46">
        <v>0.83194444444444404</v>
      </c>
      <c r="T130" s="118">
        <v>0.85295138888888844</v>
      </c>
      <c r="U130" s="109">
        <v>13.666666666666512</v>
      </c>
      <c r="V130" s="110">
        <v>30.252820659117774</v>
      </c>
      <c r="W130" s="111"/>
      <c r="X130" s="114"/>
      <c r="Y130" s="299"/>
      <c r="Z130" s="300"/>
      <c r="AA130" s="170">
        <f t="shared" si="64"/>
        <v>-313.69486104310681</v>
      </c>
      <c r="AB130" s="108">
        <f t="shared" si="65"/>
        <v>0.91286253859913702</v>
      </c>
      <c r="AC130" s="313"/>
    </row>
    <row r="131" spans="1:29" ht="15.75" customHeight="1">
      <c r="A131" s="303"/>
      <c r="B131" s="98" t="s">
        <v>118</v>
      </c>
      <c r="C131" s="297" t="s">
        <v>217</v>
      </c>
      <c r="D131" s="298"/>
      <c r="E131" s="99">
        <v>23.8</v>
      </c>
      <c r="F131" s="100">
        <v>334</v>
      </c>
      <c r="G131" s="119">
        <f t="shared" si="66"/>
        <v>7949.2</v>
      </c>
      <c r="H131" s="26"/>
      <c r="I131" s="102">
        <v>4</v>
      </c>
      <c r="J131" s="103">
        <v>3600</v>
      </c>
      <c r="K131" s="104">
        <f t="shared" si="56"/>
        <v>900</v>
      </c>
      <c r="L131" s="116">
        <v>4</v>
      </c>
      <c r="M131" s="103">
        <f t="shared" si="67"/>
        <v>3284.3984763995413</v>
      </c>
      <c r="N131" s="104">
        <f t="shared" si="60"/>
        <v>821.09961909988533</v>
      </c>
      <c r="O131" s="121">
        <f t="shared" si="61"/>
        <v>0</v>
      </c>
      <c r="P131" s="122">
        <f t="shared" si="62"/>
        <v>-78.900380900114669</v>
      </c>
      <c r="Q131" s="123">
        <f t="shared" si="63"/>
        <v>0.91233291011098372</v>
      </c>
      <c r="R131" s="308"/>
      <c r="S131" s="46">
        <v>0.86180555555555516</v>
      </c>
      <c r="T131" s="118">
        <v>0.86604166666666627</v>
      </c>
      <c r="U131" s="109">
        <v>12.750000000000075</v>
      </c>
      <c r="V131" s="110">
        <v>6.1015738936672701</v>
      </c>
      <c r="W131" s="111"/>
      <c r="X131" s="114"/>
      <c r="Y131" s="299"/>
      <c r="Z131" s="300"/>
      <c r="AA131" s="170">
        <f t="shared" si="64"/>
        <v>-315.60152360045868</v>
      </c>
      <c r="AB131" s="108">
        <f t="shared" si="65"/>
        <v>0.91233291011098372</v>
      </c>
      <c r="AC131" s="313"/>
    </row>
    <row r="132" spans="1:29" ht="15.75" customHeight="1">
      <c r="A132" s="303"/>
      <c r="B132" s="98" t="s">
        <v>118</v>
      </c>
      <c r="C132" s="297" t="s">
        <v>145</v>
      </c>
      <c r="D132" s="298"/>
      <c r="E132" s="99">
        <v>24.82</v>
      </c>
      <c r="F132" s="100">
        <v>867</v>
      </c>
      <c r="G132" s="119">
        <f t="shared" si="66"/>
        <v>21518.94</v>
      </c>
      <c r="H132" s="26"/>
      <c r="I132" s="102">
        <v>5</v>
      </c>
      <c r="J132" s="103">
        <v>3600</v>
      </c>
      <c r="K132" s="104">
        <f t="shared" si="56"/>
        <v>720</v>
      </c>
      <c r="L132" s="116">
        <v>5</v>
      </c>
      <c r="M132" s="103">
        <f t="shared" si="67"/>
        <v>3282.5137663249038</v>
      </c>
      <c r="N132" s="104">
        <f t="shared" si="60"/>
        <v>656.50275326498081</v>
      </c>
      <c r="O132" s="121">
        <f t="shared" si="61"/>
        <v>0</v>
      </c>
      <c r="P132" s="122">
        <f t="shared" si="62"/>
        <v>-63.497246735019189</v>
      </c>
      <c r="Q132" s="123">
        <f t="shared" si="63"/>
        <v>0.91180937953469554</v>
      </c>
      <c r="R132" s="308"/>
      <c r="S132" s="46">
        <v>0.875694444444444</v>
      </c>
      <c r="T132" s="118">
        <v>0.88668981481481435</v>
      </c>
      <c r="U132" s="109">
        <v>13.899999999999935</v>
      </c>
      <c r="V132" s="110">
        <v>15.8476106128388</v>
      </c>
      <c r="W132" s="124"/>
      <c r="X132" s="125"/>
      <c r="Y132" s="299"/>
      <c r="Z132" s="300"/>
      <c r="AA132" s="170">
        <f t="shared" si="64"/>
        <v>-317.48623367509617</v>
      </c>
      <c r="AB132" s="108">
        <f t="shared" si="65"/>
        <v>0.91180937953469554</v>
      </c>
      <c r="AC132" s="313"/>
    </row>
    <row r="133" spans="1:29" ht="15.75" customHeight="1">
      <c r="A133" s="303"/>
      <c r="B133" s="98" t="s">
        <v>118</v>
      </c>
      <c r="C133" s="297" t="s">
        <v>216</v>
      </c>
      <c r="D133" s="298"/>
      <c r="E133" s="99">
        <v>24.76</v>
      </c>
      <c r="F133" s="100">
        <v>652</v>
      </c>
      <c r="G133" s="119">
        <f t="shared" si="66"/>
        <v>16143.52</v>
      </c>
      <c r="H133" s="26"/>
      <c r="I133" s="102">
        <v>4</v>
      </c>
      <c r="J133" s="103">
        <v>3600</v>
      </c>
      <c r="K133" s="104">
        <f t="shared" si="56"/>
        <v>900</v>
      </c>
      <c r="L133" s="116">
        <v>4</v>
      </c>
      <c r="M133" s="103">
        <f t="shared" si="67"/>
        <v>3286.0998108928902</v>
      </c>
      <c r="N133" s="104">
        <f t="shared" si="60"/>
        <v>821.52495272322255</v>
      </c>
      <c r="O133" s="121">
        <f t="shared" si="61"/>
        <v>0</v>
      </c>
      <c r="P133" s="122">
        <f t="shared" si="62"/>
        <v>-78.475047276777445</v>
      </c>
      <c r="Q133" s="123">
        <f t="shared" si="63"/>
        <v>0.91280550302580288</v>
      </c>
      <c r="R133" s="308"/>
      <c r="S133" s="46">
        <v>0.89513888888888837</v>
      </c>
      <c r="T133" s="118">
        <v>0.90340277777777722</v>
      </c>
      <c r="U133" s="109">
        <v>12.166666666666597</v>
      </c>
      <c r="V133" s="110">
        <v>11.90469013458554</v>
      </c>
      <c r="W133" s="124"/>
      <c r="X133" s="125"/>
      <c r="Y133" s="299"/>
      <c r="Z133" s="300"/>
      <c r="AA133" s="170">
        <f t="shared" si="64"/>
        <v>-313.90018910710978</v>
      </c>
      <c r="AB133" s="108">
        <f t="shared" si="65"/>
        <v>0.91280550302580288</v>
      </c>
      <c r="AC133" s="313"/>
    </row>
    <row r="134" spans="1:29" ht="15.75" customHeight="1">
      <c r="A134" s="303"/>
      <c r="B134" s="98" t="s">
        <v>118</v>
      </c>
      <c r="C134" s="297" t="s">
        <v>212</v>
      </c>
      <c r="D134" s="298"/>
      <c r="E134" s="99">
        <v>22.32</v>
      </c>
      <c r="F134" s="100">
        <v>1162</v>
      </c>
      <c r="G134" s="119">
        <f t="shared" si="66"/>
        <v>25935.84</v>
      </c>
      <c r="H134" s="60"/>
      <c r="I134" s="102">
        <v>5</v>
      </c>
      <c r="J134" s="103">
        <v>3600</v>
      </c>
      <c r="K134" s="104">
        <f t="shared" si="56"/>
        <v>720</v>
      </c>
      <c r="L134" s="116">
        <v>5</v>
      </c>
      <c r="M134" s="103">
        <f t="shared" si="67"/>
        <v>3281.7135897367539</v>
      </c>
      <c r="N134" s="104">
        <f t="shared" si="60"/>
        <v>656.34271794735082</v>
      </c>
      <c r="O134" s="121">
        <f t="shared" si="61"/>
        <v>0</v>
      </c>
      <c r="P134" s="122">
        <f t="shared" si="62"/>
        <v>-63.65728205264918</v>
      </c>
      <c r="Q134" s="123">
        <f t="shared" si="63"/>
        <v>0.9115871082602095</v>
      </c>
      <c r="R134" s="308"/>
      <c r="S134" s="46">
        <v>0.91249999999999942</v>
      </c>
      <c r="T134" s="118">
        <v>0.9272453703703698</v>
      </c>
      <c r="U134" s="109">
        <v>13.099999999999969</v>
      </c>
      <c r="V134" s="110">
        <v>21.244998411208901</v>
      </c>
      <c r="W134" s="124"/>
      <c r="X134" s="125"/>
      <c r="Y134" s="299"/>
      <c r="Z134" s="300"/>
      <c r="AA134" s="170">
        <f t="shared" si="64"/>
        <v>-318.28641026324613</v>
      </c>
      <c r="AB134" s="108">
        <f t="shared" si="65"/>
        <v>0.91158710826020939</v>
      </c>
      <c r="AC134" s="313"/>
    </row>
    <row r="135" spans="1:29" ht="15.75" customHeight="1">
      <c r="A135" s="303"/>
      <c r="B135" s="98" t="s">
        <v>118</v>
      </c>
      <c r="C135" s="297" t="s">
        <v>143</v>
      </c>
      <c r="D135" s="298"/>
      <c r="E135" s="99">
        <v>18.18</v>
      </c>
      <c r="F135" s="100">
        <v>1597</v>
      </c>
      <c r="G135" s="119">
        <f t="shared" si="66"/>
        <v>29033.46</v>
      </c>
      <c r="H135" s="60"/>
      <c r="I135" s="102">
        <v>3</v>
      </c>
      <c r="J135" s="103">
        <v>3600</v>
      </c>
      <c r="K135" s="104">
        <f t="shared" si="56"/>
        <v>1200</v>
      </c>
      <c r="L135" s="116">
        <v>3</v>
      </c>
      <c r="M135" s="103">
        <f t="shared" si="67"/>
        <v>3282.3007916464512</v>
      </c>
      <c r="N135" s="104">
        <f t="shared" si="60"/>
        <v>1094.1002638821503</v>
      </c>
      <c r="O135" s="121">
        <f t="shared" si="61"/>
        <v>0</v>
      </c>
      <c r="P135" s="122">
        <f t="shared" si="62"/>
        <v>-105.89973611784967</v>
      </c>
      <c r="Q135" s="123">
        <f t="shared" si="63"/>
        <v>0.91175021990179195</v>
      </c>
      <c r="R135" s="308"/>
      <c r="S135" s="46">
        <v>0.93680555555555489</v>
      </c>
      <c r="T135" s="118">
        <v>0.95707175925925858</v>
      </c>
      <c r="U135" s="109">
        <v>13.766666666666527</v>
      </c>
      <c r="V135" s="110">
        <v>29.1929369312723</v>
      </c>
      <c r="W135" s="124"/>
      <c r="X135" s="125"/>
      <c r="Y135" s="299"/>
      <c r="Z135" s="300"/>
      <c r="AA135" s="170">
        <f t="shared" si="64"/>
        <v>-317.69920835354878</v>
      </c>
      <c r="AB135" s="108">
        <f t="shared" si="65"/>
        <v>0.91175021990179206</v>
      </c>
      <c r="AC135" s="313"/>
    </row>
    <row r="136" spans="1:29" ht="15.75" customHeight="1">
      <c r="A136" s="303"/>
      <c r="B136" s="98" t="s">
        <v>118</v>
      </c>
      <c r="C136" s="297" t="s">
        <v>136</v>
      </c>
      <c r="D136" s="298"/>
      <c r="E136" s="99">
        <v>17.89</v>
      </c>
      <c r="F136" s="100">
        <v>2538</v>
      </c>
      <c r="G136" s="119">
        <f t="shared" si="66"/>
        <v>45404.82</v>
      </c>
      <c r="H136" s="60"/>
      <c r="I136" s="102">
        <v>4</v>
      </c>
      <c r="J136" s="103">
        <v>3600</v>
      </c>
      <c r="K136" s="104">
        <f t="shared" si="56"/>
        <v>900</v>
      </c>
      <c r="L136" s="116">
        <v>4</v>
      </c>
      <c r="M136" s="103">
        <f t="shared" si="67"/>
        <v>3286.3051389568932</v>
      </c>
      <c r="N136" s="104">
        <f t="shared" si="60"/>
        <v>821.5762847392233</v>
      </c>
      <c r="O136" s="121">
        <f t="shared" si="61"/>
        <v>0</v>
      </c>
      <c r="P136" s="122">
        <f t="shared" si="62"/>
        <v>-78.423715260776703</v>
      </c>
      <c r="Q136" s="123">
        <f t="shared" si="63"/>
        <v>0.91286253859913702</v>
      </c>
      <c r="R136" s="308"/>
      <c r="S136" s="46">
        <v>0.96597222222222157</v>
      </c>
      <c r="T136" s="118">
        <v>0.99814814814814745</v>
      </c>
      <c r="U136" s="109">
        <v>12.816666666666698</v>
      </c>
      <c r="V136" s="110">
        <v>46.337754274496625</v>
      </c>
      <c r="W136" s="124"/>
      <c r="X136" s="125"/>
      <c r="Y136" s="299"/>
      <c r="Z136" s="300"/>
      <c r="AA136" s="170">
        <f t="shared" si="64"/>
        <v>-313.69486104310681</v>
      </c>
      <c r="AB136" s="108">
        <f t="shared" si="65"/>
        <v>0.91286253859913702</v>
      </c>
      <c r="AC136" s="313"/>
    </row>
    <row r="137" spans="1:29" ht="15.75" customHeight="1">
      <c r="A137" s="303"/>
      <c r="B137" s="98" t="s">
        <v>118</v>
      </c>
      <c r="C137" s="297" t="s">
        <v>141</v>
      </c>
      <c r="D137" s="298"/>
      <c r="E137" s="99">
        <v>14.28</v>
      </c>
      <c r="F137" s="100">
        <v>7277</v>
      </c>
      <c r="G137" s="119">
        <f t="shared" si="66"/>
        <v>103915.56</v>
      </c>
      <c r="H137" s="60"/>
      <c r="I137" s="102">
        <v>3</v>
      </c>
      <c r="J137" s="103">
        <v>3600</v>
      </c>
      <c r="K137" s="104">
        <f t="shared" si="56"/>
        <v>1200</v>
      </c>
      <c r="L137" s="116">
        <v>3</v>
      </c>
      <c r="M137" s="103">
        <f t="shared" si="67"/>
        <v>3286.1245142649395</v>
      </c>
      <c r="N137" s="104">
        <f t="shared" si="60"/>
        <v>1095.3748380883133</v>
      </c>
      <c r="O137" s="121">
        <f t="shared" si="61"/>
        <v>0</v>
      </c>
      <c r="P137" s="122">
        <f t="shared" si="62"/>
        <v>-104.62516191168675</v>
      </c>
      <c r="Q137" s="123">
        <f t="shared" si="63"/>
        <v>0.91281236507359442</v>
      </c>
      <c r="R137" s="308"/>
      <c r="S137" s="46">
        <v>1.0069444444444438</v>
      </c>
      <c r="T137" s="118">
        <v>1.0992129629629623</v>
      </c>
      <c r="U137" s="109">
        <v>12.666666666666675</v>
      </c>
      <c r="V137" s="110">
        <v>132.86775899837315</v>
      </c>
      <c r="W137" s="111"/>
      <c r="X137" s="114"/>
      <c r="Y137" s="299"/>
      <c r="Z137" s="300"/>
      <c r="AA137" s="170">
        <f t="shared" si="64"/>
        <v>-313.87548573506047</v>
      </c>
      <c r="AB137" s="108">
        <f t="shared" si="65"/>
        <v>0.91281236507359431</v>
      </c>
      <c r="AC137" s="313"/>
    </row>
    <row r="138" spans="1:29" ht="15.75" customHeight="1">
      <c r="A138" s="303"/>
      <c r="B138" s="98"/>
      <c r="C138" s="297"/>
      <c r="D138" s="298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8"/>
      <c r="S138" s="46"/>
      <c r="T138" s="118"/>
      <c r="U138" s="109"/>
      <c r="V138" s="110"/>
      <c r="W138" s="124"/>
      <c r="X138" s="125"/>
      <c r="Y138" s="299"/>
      <c r="Z138" s="300"/>
      <c r="AA138" s="170"/>
      <c r="AB138" s="108"/>
      <c r="AC138" s="313"/>
    </row>
    <row r="139" spans="1:29" ht="15.75" customHeight="1">
      <c r="A139" s="303"/>
      <c r="B139" s="98"/>
      <c r="C139" s="297"/>
      <c r="D139" s="298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8"/>
      <c r="S139" s="117"/>
      <c r="T139" s="118"/>
      <c r="U139" s="128"/>
      <c r="V139" s="129"/>
      <c r="W139" s="124"/>
      <c r="X139" s="125"/>
      <c r="Y139" s="299"/>
      <c r="Z139" s="300"/>
      <c r="AA139" s="171"/>
      <c r="AB139" s="123"/>
      <c r="AC139" s="313"/>
    </row>
    <row r="140" spans="1:29" ht="15.75" customHeight="1" thickBot="1">
      <c r="A140" s="304"/>
      <c r="B140" s="131" t="s">
        <v>115</v>
      </c>
      <c r="C140" s="294"/>
      <c r="D140" s="294"/>
      <c r="E140" s="132"/>
      <c r="F140" s="165"/>
      <c r="G140" s="133"/>
      <c r="H140" s="67"/>
      <c r="I140" s="134">
        <f t="shared" ref="I140:J140" si="68">AVERAGE(I124:I139)</f>
        <v>4</v>
      </c>
      <c r="J140" s="135">
        <f t="shared" si="68"/>
        <v>3600</v>
      </c>
      <c r="K140" s="136">
        <f t="shared" ref="K140" si="69">J140/I140</f>
        <v>900</v>
      </c>
      <c r="L140" s="134">
        <f t="shared" ref="L140:M140" si="70">AVERAGE(L124:L139)</f>
        <v>4</v>
      </c>
      <c r="M140" s="135">
        <f t="shared" si="70"/>
        <v>3284.3367623485215</v>
      </c>
      <c r="N140" s="136">
        <f>M140/L140</f>
        <v>821.08419058713037</v>
      </c>
      <c r="O140" s="137">
        <f>L140-I140</f>
        <v>0</v>
      </c>
      <c r="P140" s="138">
        <f>N140-K140</f>
        <v>-78.915809412869635</v>
      </c>
      <c r="Q140" s="139">
        <f>N140/K140</f>
        <v>0.91231576731903374</v>
      </c>
      <c r="R140" s="309"/>
      <c r="S140" s="140">
        <v>0.7319444444444444</v>
      </c>
      <c r="T140" s="141">
        <v>1.0992129629629623</v>
      </c>
      <c r="U140" s="142"/>
      <c r="V140" s="164"/>
      <c r="W140" s="165"/>
      <c r="X140" s="136"/>
      <c r="Y140" s="295"/>
      <c r="Z140" s="296"/>
      <c r="AA140" s="172">
        <f>M140-J140</f>
        <v>-315.66323765147854</v>
      </c>
      <c r="AB140" s="139">
        <f>M140/J140</f>
        <v>0.91231576731903374</v>
      </c>
      <c r="AC140" s="314"/>
    </row>
    <row r="142" spans="1:29">
      <c r="Y142" s="293" t="s">
        <v>147</v>
      </c>
      <c r="Z142" s="293"/>
    </row>
    <row r="143" spans="1:29">
      <c r="Y143" s="293" t="s">
        <v>148</v>
      </c>
      <c r="Z143" s="293"/>
    </row>
    <row r="144" spans="1:29">
      <c r="Y144" s="293" t="s">
        <v>149</v>
      </c>
      <c r="Z144" s="293"/>
    </row>
    <row r="145" spans="25:26">
      <c r="Y145" s="293" t="s">
        <v>150</v>
      </c>
      <c r="Z145" s="293"/>
    </row>
    <row r="146" spans="25:26">
      <c r="Y146" s="293" t="s">
        <v>151</v>
      </c>
      <c r="Z146" s="293"/>
    </row>
    <row r="147" spans="25:26">
      <c r="Y147" s="293" t="s">
        <v>152</v>
      </c>
      <c r="Z147" s="293"/>
    </row>
    <row r="148" spans="25:26">
      <c r="Y148" s="293" t="s">
        <v>153</v>
      </c>
      <c r="Z148" s="293"/>
    </row>
    <row r="149" spans="25:26">
      <c r="Y149" s="293" t="s">
        <v>154</v>
      </c>
      <c r="Z149" s="293"/>
    </row>
    <row r="150" spans="25:26">
      <c r="Y150" s="293" t="s">
        <v>155</v>
      </c>
      <c r="Z150" s="293"/>
    </row>
    <row r="151" spans="25:26">
      <c r="Y151" s="293" t="s">
        <v>156</v>
      </c>
      <c r="Z151" s="293"/>
    </row>
    <row r="152" spans="25:26">
      <c r="Y152" s="293" t="s">
        <v>157</v>
      </c>
      <c r="Z152" s="293"/>
    </row>
    <row r="153" spans="25:26">
      <c r="Y153" s="293" t="s">
        <v>158</v>
      </c>
      <c r="Z153" s="293"/>
    </row>
    <row r="154" spans="25:26">
      <c r="Y154" s="293" t="s">
        <v>159</v>
      </c>
      <c r="Z154" s="293"/>
    </row>
  </sheetData>
  <dataConsolidate/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Y128:Z128"/>
    <mergeCell ref="C129:D129"/>
    <mergeCell ref="Y129:Z129"/>
    <mergeCell ref="C130:D130"/>
    <mergeCell ref="Y130:Z130"/>
    <mergeCell ref="C116:D116"/>
    <mergeCell ref="Y116:Z116"/>
    <mergeCell ref="C117:D117"/>
    <mergeCell ref="Y117:Z117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137" priority="1" operator="greaterThan">
      <formula>0</formula>
    </cfRule>
  </conditionalFormatting>
  <conditionalFormatting sqref="P5:P140 AA5:AA140">
    <cfRule type="cellIs" dxfId="136" priority="4" operator="lessThan">
      <formula>0</formula>
    </cfRule>
  </conditionalFormatting>
  <conditionalFormatting sqref="Q5:Q140 AB5:AB140">
    <cfRule type="cellIs" dxfId="135" priority="2" operator="greaterThan">
      <formula>1</formula>
    </cfRule>
    <cfRule type="cellIs" dxfId="134" priority="3" operator="lessThan">
      <formula>0.8</formula>
    </cfRule>
  </conditionalFormatting>
  <conditionalFormatting sqref="AC5:AC6 R5:R140 AC73:AC78">
    <cfRule type="cellIs" dxfId="133" priority="5" operator="lessThan">
      <formula>0.8</formula>
    </cfRule>
  </conditionalFormatting>
  <conditionalFormatting sqref="AC12:AC20">
    <cfRule type="cellIs" dxfId="132" priority="12" operator="lessThan">
      <formula>0.8</formula>
    </cfRule>
  </conditionalFormatting>
  <conditionalFormatting sqref="AC22">
    <cfRule type="cellIs" dxfId="131" priority="11" operator="lessThan">
      <formula>0.8</formula>
    </cfRule>
  </conditionalFormatting>
  <conditionalFormatting sqref="AC39">
    <cfRule type="cellIs" dxfId="130" priority="7" operator="lessThan">
      <formula>0.8</formula>
    </cfRule>
  </conditionalFormatting>
  <conditionalFormatting sqref="AC56:AC61">
    <cfRule type="cellIs" dxfId="129" priority="6" operator="lessThan">
      <formula>0.8</formula>
    </cfRule>
  </conditionalFormatting>
  <conditionalFormatting sqref="AC90">
    <cfRule type="cellIs" dxfId="128" priority="10" operator="lessThan">
      <formula>0.8</formula>
    </cfRule>
  </conditionalFormatting>
  <conditionalFormatting sqref="AC107">
    <cfRule type="cellIs" dxfId="127" priority="9" operator="lessThan">
      <formula>0.8</formula>
    </cfRule>
  </conditionalFormatting>
  <conditionalFormatting sqref="AC124:AC129">
    <cfRule type="cellIs" dxfId="126" priority="8" operator="lessThan">
      <formula>0.8</formula>
    </cfRule>
  </conditionalFormatting>
  <dataValidations count="1">
    <dataValidation type="list" allowBlank="1" showInputMessage="1" showErrorMessage="1" sqref="Y5:Z140" xr:uid="{8A8043D0-A41D-4416-B2A0-4C0B06AC92E6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8A055-EE94-443D-9EDE-CA4AAAF487DE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K48" sqref="K48"/>
      <selection pane="bottomLeft" activeCell="K48" sqref="K48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81286</v>
      </c>
      <c r="E1" s="86" t="s">
        <v>3</v>
      </c>
      <c r="F1" s="87">
        <f>SUM(G5:G140)</f>
        <v>3508305.6799999997</v>
      </c>
      <c r="G1" s="88" t="s">
        <v>84</v>
      </c>
      <c r="H1" s="89">
        <f>L21+L38+L55+L72+L89+L106+L123+L140</f>
        <v>137.6</v>
      </c>
      <c r="I1" s="359" t="s">
        <v>85</v>
      </c>
      <c r="J1" s="360"/>
      <c r="K1" s="361"/>
      <c r="L1" s="365" t="s">
        <v>86</v>
      </c>
      <c r="M1" s="366"/>
      <c r="N1" s="367"/>
      <c r="O1" s="360" t="s">
        <v>87</v>
      </c>
      <c r="P1" s="360"/>
      <c r="Q1" s="360"/>
      <c r="R1" s="371"/>
      <c r="S1" s="359" t="s">
        <v>88</v>
      </c>
      <c r="T1" s="360"/>
      <c r="U1" s="360"/>
      <c r="V1" s="360"/>
      <c r="W1" s="360"/>
      <c r="X1" s="371"/>
      <c r="Y1" s="190" t="s">
        <v>183</v>
      </c>
      <c r="Z1" s="190" t="s">
        <v>184</v>
      </c>
      <c r="AA1" s="391" t="s">
        <v>161</v>
      </c>
      <c r="AB1" s="392"/>
      <c r="AC1" s="174" t="s">
        <v>19</v>
      </c>
      <c r="AD1" s="175" t="s">
        <v>160</v>
      </c>
      <c r="AE1" s="359" t="s">
        <v>90</v>
      </c>
      <c r="AF1" s="374"/>
      <c r="AG1" s="375"/>
    </row>
    <row r="2" spans="1:33" ht="26.25" customHeight="1" thickBot="1">
      <c r="A2" s="352">
        <v>46301</v>
      </c>
      <c r="B2" s="353"/>
      <c r="C2" s="90" t="s">
        <v>40</v>
      </c>
      <c r="D2" s="91">
        <f>AVERAGE(N21,N38,N55,N72,N89,N106,N123,N140)</f>
        <v>208.36636113292022</v>
      </c>
      <c r="E2" s="91" t="s">
        <v>91</v>
      </c>
      <c r="F2" s="92">
        <f>F1/D1</f>
        <v>43.160023620303619</v>
      </c>
      <c r="G2" s="93" t="s">
        <v>92</v>
      </c>
      <c r="H2" s="94">
        <f>COUNT(H5:H140)</f>
        <v>1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1">
        <f>SUM(Y21,Y38,Y55,Y72,Y89,Y106,Y123,Y140)</f>
        <v>0</v>
      </c>
      <c r="Z2" s="191">
        <f>SUM(Z21,Z38,Z55,Z72,Z89,Z106,Z123,Z140)</f>
        <v>0</v>
      </c>
      <c r="AA2" s="393"/>
      <c r="AB2" s="394"/>
      <c r="AC2" s="199">
        <f>SUM(AC21,AC38,AC55,AC72,AC89,AC106,AC123,AC140)</f>
        <v>0</v>
      </c>
      <c r="AD2" s="200">
        <f>SUM(AD21,AD38,AD55,AD72,AD89,AD106,AD123,AD140)</f>
        <v>0</v>
      </c>
      <c r="AE2" s="376"/>
      <c r="AF2" s="377"/>
      <c r="AG2" s="378"/>
    </row>
    <row r="3" spans="1:33" ht="23.25" customHeight="1">
      <c r="A3" s="354" t="s">
        <v>93</v>
      </c>
      <c r="B3" s="356" t="s">
        <v>94</v>
      </c>
      <c r="C3" s="326" t="s">
        <v>95</v>
      </c>
      <c r="D3" s="326"/>
      <c r="E3" s="346" t="s">
        <v>96</v>
      </c>
      <c r="F3" s="326" t="s">
        <v>97</v>
      </c>
      <c r="G3" s="346" t="s">
        <v>98</v>
      </c>
      <c r="H3" s="348" t="s">
        <v>99</v>
      </c>
      <c r="I3" s="338" t="s">
        <v>100</v>
      </c>
      <c r="J3" s="334" t="s">
        <v>101</v>
      </c>
      <c r="K3" s="336" t="s">
        <v>40</v>
      </c>
      <c r="L3" s="350" t="s">
        <v>100</v>
      </c>
      <c r="M3" s="334" t="s">
        <v>101</v>
      </c>
      <c r="N3" s="336" t="s">
        <v>40</v>
      </c>
      <c r="O3" s="338" t="s">
        <v>100</v>
      </c>
      <c r="P3" s="340" t="s">
        <v>40</v>
      </c>
      <c r="Q3" s="342" t="s">
        <v>102</v>
      </c>
      <c r="R3" s="344" t="s">
        <v>103</v>
      </c>
      <c r="S3" s="322" t="s">
        <v>104</v>
      </c>
      <c r="T3" s="323"/>
      <c r="U3" s="324" t="s">
        <v>105</v>
      </c>
      <c r="V3" s="324" t="s">
        <v>106</v>
      </c>
      <c r="W3" s="326" t="s">
        <v>107</v>
      </c>
      <c r="X3" s="327"/>
      <c r="Y3" s="383" t="s">
        <v>185</v>
      </c>
      <c r="Z3" s="384"/>
      <c r="AA3" s="387" t="s">
        <v>108</v>
      </c>
      <c r="AB3" s="388"/>
      <c r="AC3" s="383" t="s">
        <v>186</v>
      </c>
      <c r="AD3" s="384"/>
      <c r="AE3" s="332" t="s">
        <v>101</v>
      </c>
      <c r="AF3" s="318" t="s">
        <v>102</v>
      </c>
      <c r="AG3" s="320" t="s">
        <v>109</v>
      </c>
    </row>
    <row r="4" spans="1:33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201" t="s">
        <v>110</v>
      </c>
      <c r="T4" s="202" t="s">
        <v>111</v>
      </c>
      <c r="U4" s="325"/>
      <c r="V4" s="325"/>
      <c r="W4" s="97" t="s">
        <v>112</v>
      </c>
      <c r="X4" s="67" t="s">
        <v>113</v>
      </c>
      <c r="Y4" s="192" t="s">
        <v>49</v>
      </c>
      <c r="Z4" s="193" t="s">
        <v>50</v>
      </c>
      <c r="AA4" s="389"/>
      <c r="AB4" s="390"/>
      <c r="AC4" s="192" t="s">
        <v>162</v>
      </c>
      <c r="AD4" s="193" t="s">
        <v>163</v>
      </c>
      <c r="AE4" s="333"/>
      <c r="AF4" s="319"/>
      <c r="AG4" s="321"/>
    </row>
    <row r="5" spans="1:33" ht="15.75" customHeight="1">
      <c r="A5" s="315" t="s">
        <v>168</v>
      </c>
      <c r="B5" s="112" t="s">
        <v>164</v>
      </c>
      <c r="C5" s="385" t="s">
        <v>165</v>
      </c>
      <c r="D5" s="385"/>
      <c r="E5" s="145">
        <v>19.7</v>
      </c>
      <c r="F5" s="149">
        <v>4194</v>
      </c>
      <c r="G5" s="146">
        <f t="shared" ref="G5:G7" si="0">E5*F5</f>
        <v>82621.8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1085.9672881768488</v>
      </c>
      <c r="N5" s="150">
        <f>M5/L5</f>
        <v>83.535945244372982</v>
      </c>
      <c r="O5" s="152">
        <f>L5-I5</f>
        <v>0</v>
      </c>
      <c r="P5" s="153">
        <f>N5-K5</f>
        <v>-8.7717470633193244</v>
      </c>
      <c r="Q5" s="154">
        <f>N5/K5</f>
        <v>0.90497274014737394</v>
      </c>
      <c r="R5" s="307">
        <f>Q21</f>
        <v>0.90272159591158763</v>
      </c>
      <c r="S5" s="155">
        <v>0.20833333333333334</v>
      </c>
      <c r="T5" s="156">
        <v>0.36924768518518519</v>
      </c>
      <c r="U5" s="157"/>
      <c r="V5" s="158">
        <v>231.71968690001705</v>
      </c>
      <c r="W5" s="179"/>
      <c r="X5" s="150"/>
      <c r="Y5" s="12"/>
      <c r="Z5" s="196"/>
      <c r="AA5" s="310"/>
      <c r="AB5" s="311"/>
      <c r="AC5" s="12"/>
      <c r="AD5" s="196"/>
      <c r="AE5" s="176">
        <f>M5-J5</f>
        <v>-114.0327118231512</v>
      </c>
      <c r="AF5" s="130">
        <f>M5/J5</f>
        <v>0.90497274014737394</v>
      </c>
      <c r="AG5" s="386">
        <f>AF21</f>
        <v>0.90272159591158774</v>
      </c>
    </row>
    <row r="6" spans="1:33" ht="15.75" customHeight="1">
      <c r="A6" s="316"/>
      <c r="B6" s="98" t="s">
        <v>169</v>
      </c>
      <c r="C6" s="382" t="s">
        <v>170</v>
      </c>
      <c r="D6" s="382"/>
      <c r="E6" s="99">
        <v>56.43</v>
      </c>
      <c r="F6" s="100">
        <v>5033</v>
      </c>
      <c r="G6" s="101">
        <f t="shared" si="0"/>
        <v>284012.19</v>
      </c>
      <c r="H6" s="26"/>
      <c r="I6" s="102">
        <v>24</v>
      </c>
      <c r="J6" s="103">
        <v>2000</v>
      </c>
      <c r="K6" s="104">
        <f t="shared" ref="K6:K43" si="1">J6/I6</f>
        <v>83.333333333333329</v>
      </c>
      <c r="L6" s="105">
        <v>24</v>
      </c>
      <c r="M6" s="103">
        <f>F6/V6*60</f>
        <v>1801.3548219448439</v>
      </c>
      <c r="N6" s="104">
        <f>M6/L6</f>
        <v>75.056450914368497</v>
      </c>
      <c r="O6" s="106">
        <f>L6-I6</f>
        <v>0</v>
      </c>
      <c r="P6" s="107">
        <f>N6-K6</f>
        <v>-8.2768824189648313</v>
      </c>
      <c r="Q6" s="108">
        <f>N6/K6</f>
        <v>0.90067741097242204</v>
      </c>
      <c r="R6" s="308"/>
      <c r="S6" s="46">
        <v>0.37222222222222223</v>
      </c>
      <c r="T6" s="47">
        <v>0.4886342592592593</v>
      </c>
      <c r="U6" s="109">
        <v>5</v>
      </c>
      <c r="V6" s="110">
        <v>167.64048721615291</v>
      </c>
      <c r="W6" s="111">
        <v>0.4886342592592593</v>
      </c>
      <c r="X6" s="114">
        <v>0.52708333333333335</v>
      </c>
      <c r="Y6" s="12"/>
      <c r="Z6" s="196"/>
      <c r="AA6" s="299"/>
      <c r="AB6" s="300"/>
      <c r="AC6" s="12"/>
      <c r="AD6" s="196"/>
      <c r="AE6" s="115">
        <f>M6-J6</f>
        <v>-198.64517805515607</v>
      </c>
      <c r="AF6" s="108">
        <f>M6/J6</f>
        <v>0.90067741097242193</v>
      </c>
      <c r="AG6" s="380"/>
    </row>
    <row r="7" spans="1:33" ht="15.75" customHeight="1">
      <c r="A7" s="316"/>
      <c r="B7" s="98" t="s">
        <v>171</v>
      </c>
      <c r="C7" s="382" t="s">
        <v>173</v>
      </c>
      <c r="D7" s="382"/>
      <c r="E7" s="99">
        <v>59.52</v>
      </c>
      <c r="F7" s="100">
        <v>5174</v>
      </c>
      <c r="G7" s="101">
        <f t="shared" si="0"/>
        <v>307956.48000000004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1806.8301886185632</v>
      </c>
      <c r="N7" s="104">
        <f>M7/L7</f>
        <v>75.284591192440132</v>
      </c>
      <c r="O7" s="106">
        <f>L7-I7</f>
        <v>0</v>
      </c>
      <c r="P7" s="107">
        <f>N7-K7</f>
        <v>-8.0487421408931965</v>
      </c>
      <c r="Q7" s="108">
        <f>N7/K7</f>
        <v>0.90341509430928169</v>
      </c>
      <c r="R7" s="308"/>
      <c r="S7" s="46">
        <v>0.52708333333333335</v>
      </c>
      <c r="T7" s="47">
        <v>0.6463888888888889</v>
      </c>
      <c r="U7" s="109">
        <v>55.366666666666632</v>
      </c>
      <c r="V7" s="110">
        <v>171.81470730093963</v>
      </c>
      <c r="W7" s="111"/>
      <c r="X7" s="114"/>
      <c r="Y7" s="12"/>
      <c r="Z7" s="196"/>
      <c r="AA7" s="299"/>
      <c r="AB7" s="300"/>
      <c r="AC7" s="12"/>
      <c r="AD7" s="196"/>
      <c r="AE7" s="115">
        <f>M7-J7</f>
        <v>-193.16981138143683</v>
      </c>
      <c r="AF7" s="108">
        <f>M7/J7</f>
        <v>0.90341509430928157</v>
      </c>
      <c r="AG7" s="380"/>
    </row>
    <row r="8" spans="1:33" ht="15.75" customHeight="1">
      <c r="A8" s="316"/>
      <c r="B8" s="98"/>
      <c r="C8" s="382"/>
      <c r="D8" s="382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8"/>
      <c r="S8" s="46"/>
      <c r="T8" s="47"/>
      <c r="U8" s="109"/>
      <c r="V8" s="110"/>
      <c r="W8" s="111"/>
      <c r="X8" s="114"/>
      <c r="Y8" s="12"/>
      <c r="Z8" s="196"/>
      <c r="AA8" s="299"/>
      <c r="AB8" s="300"/>
      <c r="AC8" s="12"/>
      <c r="AD8" s="196"/>
      <c r="AE8" s="115"/>
      <c r="AF8" s="108"/>
      <c r="AG8" s="380"/>
    </row>
    <row r="9" spans="1:33" ht="15.75" customHeight="1">
      <c r="A9" s="316"/>
      <c r="B9" s="98"/>
      <c r="C9" s="382"/>
      <c r="D9" s="382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8"/>
      <c r="S9" s="46"/>
      <c r="T9" s="47"/>
      <c r="U9" s="109"/>
      <c r="V9" s="110"/>
      <c r="W9" s="111"/>
      <c r="X9" s="114"/>
      <c r="Y9" s="12"/>
      <c r="Z9" s="196"/>
      <c r="AA9" s="299"/>
      <c r="AB9" s="300"/>
      <c r="AC9" s="12"/>
      <c r="AD9" s="196"/>
      <c r="AE9" s="115"/>
      <c r="AF9" s="108"/>
      <c r="AG9" s="380"/>
    </row>
    <row r="10" spans="1:33" ht="15.75" customHeight="1">
      <c r="A10" s="316"/>
      <c r="B10" s="98"/>
      <c r="C10" s="382"/>
      <c r="D10" s="382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8"/>
      <c r="S10" s="46"/>
      <c r="T10" s="118"/>
      <c r="U10" s="109"/>
      <c r="V10" s="110"/>
      <c r="W10" s="111"/>
      <c r="X10" s="114"/>
      <c r="Y10" s="12"/>
      <c r="Z10" s="196"/>
      <c r="AA10" s="299"/>
      <c r="AB10" s="300"/>
      <c r="AC10" s="12"/>
      <c r="AD10" s="196"/>
      <c r="AE10" s="115"/>
      <c r="AF10" s="108"/>
      <c r="AG10" s="380"/>
    </row>
    <row r="11" spans="1:33" ht="15.75" customHeight="1">
      <c r="A11" s="316"/>
      <c r="B11" s="98"/>
      <c r="C11" s="382"/>
      <c r="D11" s="382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8"/>
      <c r="S11" s="46"/>
      <c r="T11" s="118"/>
      <c r="U11" s="109"/>
      <c r="V11" s="110"/>
      <c r="W11" s="111"/>
      <c r="X11" s="114"/>
      <c r="Y11" s="12"/>
      <c r="Z11" s="196"/>
      <c r="AA11" s="299"/>
      <c r="AB11" s="300"/>
      <c r="AC11" s="12"/>
      <c r="AD11" s="196"/>
      <c r="AE11" s="115"/>
      <c r="AF11" s="108"/>
      <c r="AG11" s="380"/>
    </row>
    <row r="12" spans="1:33" ht="15.75" customHeight="1">
      <c r="A12" s="316"/>
      <c r="B12" s="98"/>
      <c r="C12" s="382"/>
      <c r="D12" s="382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8"/>
      <c r="S12" s="46"/>
      <c r="T12" s="118"/>
      <c r="U12" s="109"/>
      <c r="V12" s="110"/>
      <c r="W12" s="111"/>
      <c r="X12" s="114"/>
      <c r="Y12" s="12"/>
      <c r="Z12" s="196"/>
      <c r="AA12" s="299"/>
      <c r="AB12" s="300"/>
      <c r="AC12" s="12"/>
      <c r="AD12" s="196"/>
      <c r="AE12" s="115"/>
      <c r="AF12" s="108"/>
      <c r="AG12" s="380"/>
    </row>
    <row r="13" spans="1:33" ht="15.75" customHeight="1">
      <c r="A13" s="316"/>
      <c r="B13" s="98"/>
      <c r="C13" s="382"/>
      <c r="D13" s="382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8"/>
      <c r="S13" s="46"/>
      <c r="T13" s="118"/>
      <c r="U13" s="109"/>
      <c r="V13" s="110"/>
      <c r="W13" s="111"/>
      <c r="X13" s="114"/>
      <c r="Y13" s="12"/>
      <c r="Z13" s="196"/>
      <c r="AA13" s="299"/>
      <c r="AB13" s="300"/>
      <c r="AC13" s="12"/>
      <c r="AD13" s="196"/>
      <c r="AE13" s="115"/>
      <c r="AF13" s="108"/>
      <c r="AG13" s="380"/>
    </row>
    <row r="14" spans="1:33" ht="15.75" customHeight="1">
      <c r="A14" s="316"/>
      <c r="B14" s="98"/>
      <c r="C14" s="382"/>
      <c r="D14" s="382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8"/>
      <c r="S14" s="46"/>
      <c r="T14" s="118"/>
      <c r="U14" s="109"/>
      <c r="V14" s="110"/>
      <c r="W14" s="111"/>
      <c r="X14" s="114"/>
      <c r="Y14" s="12"/>
      <c r="Z14" s="196"/>
      <c r="AA14" s="299"/>
      <c r="AB14" s="300"/>
      <c r="AC14" s="12"/>
      <c r="AD14" s="196"/>
      <c r="AE14" s="115"/>
      <c r="AF14" s="108"/>
      <c r="AG14" s="380"/>
    </row>
    <row r="15" spans="1:33" ht="15.75" customHeight="1">
      <c r="A15" s="316"/>
      <c r="B15" s="98"/>
      <c r="C15" s="382"/>
      <c r="D15" s="382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8"/>
      <c r="S15" s="46"/>
      <c r="T15" s="118"/>
      <c r="U15" s="109"/>
      <c r="V15" s="110"/>
      <c r="W15" s="111"/>
      <c r="X15" s="114"/>
      <c r="Y15" s="12"/>
      <c r="Z15" s="196"/>
      <c r="AA15" s="299"/>
      <c r="AB15" s="300"/>
      <c r="AC15" s="12"/>
      <c r="AD15" s="196"/>
      <c r="AE15" s="115"/>
      <c r="AF15" s="108"/>
      <c r="AG15" s="380"/>
    </row>
    <row r="16" spans="1:33" ht="15.75" customHeight="1">
      <c r="A16" s="316"/>
      <c r="B16" s="98"/>
      <c r="C16" s="382"/>
      <c r="D16" s="382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8"/>
      <c r="S16" s="46"/>
      <c r="T16" s="118"/>
      <c r="U16" s="109"/>
      <c r="V16" s="110"/>
      <c r="W16" s="111"/>
      <c r="X16" s="114"/>
      <c r="Y16" s="12"/>
      <c r="Z16" s="196"/>
      <c r="AA16" s="299"/>
      <c r="AB16" s="300"/>
      <c r="AC16" s="12"/>
      <c r="AD16" s="196"/>
      <c r="AE16" s="115"/>
      <c r="AF16" s="108"/>
      <c r="AG16" s="380"/>
    </row>
    <row r="17" spans="1:33" ht="15.75" customHeight="1">
      <c r="A17" s="316"/>
      <c r="B17" s="98"/>
      <c r="C17" s="382"/>
      <c r="D17" s="382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8"/>
      <c r="S17" s="46"/>
      <c r="T17" s="118"/>
      <c r="U17" s="109"/>
      <c r="V17" s="110"/>
      <c r="W17" s="111"/>
      <c r="X17" s="114"/>
      <c r="Y17" s="12"/>
      <c r="Z17" s="196"/>
      <c r="AA17" s="299"/>
      <c r="AB17" s="300"/>
      <c r="AC17" s="12"/>
      <c r="AD17" s="196"/>
      <c r="AE17" s="115"/>
      <c r="AF17" s="108"/>
      <c r="AG17" s="380"/>
    </row>
    <row r="18" spans="1:33" ht="15.75" customHeight="1">
      <c r="A18" s="316"/>
      <c r="B18" s="98"/>
      <c r="C18" s="382"/>
      <c r="D18" s="382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8"/>
      <c r="S18" s="46"/>
      <c r="T18" s="118"/>
      <c r="U18" s="109"/>
      <c r="V18" s="110"/>
      <c r="W18" s="111"/>
      <c r="X18" s="114"/>
      <c r="Y18" s="12"/>
      <c r="Z18" s="196"/>
      <c r="AA18" s="299"/>
      <c r="AB18" s="300"/>
      <c r="AC18" s="12"/>
      <c r="AD18" s="196"/>
      <c r="AE18" s="115"/>
      <c r="AF18" s="108"/>
      <c r="AG18" s="380"/>
    </row>
    <row r="19" spans="1:33" ht="15.75" customHeight="1">
      <c r="A19" s="316"/>
      <c r="B19" s="98"/>
      <c r="C19" s="382"/>
      <c r="D19" s="382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8"/>
      <c r="S19" s="46"/>
      <c r="T19" s="118"/>
      <c r="U19" s="109"/>
      <c r="V19" s="110"/>
      <c r="W19" s="111"/>
      <c r="X19" s="114"/>
      <c r="Y19" s="12"/>
      <c r="Z19" s="196"/>
      <c r="AA19" s="299"/>
      <c r="AB19" s="300"/>
      <c r="AC19" s="12"/>
      <c r="AD19" s="196"/>
      <c r="AE19" s="115"/>
      <c r="AF19" s="108"/>
      <c r="AG19" s="380"/>
    </row>
    <row r="20" spans="1:33" ht="15.75" customHeight="1">
      <c r="A20" s="316"/>
      <c r="B20" s="98"/>
      <c r="C20" s="382"/>
      <c r="D20" s="382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8"/>
      <c r="S20" s="46"/>
      <c r="T20" s="118"/>
      <c r="U20" s="128"/>
      <c r="V20" s="110"/>
      <c r="W20" s="111"/>
      <c r="X20" s="114"/>
      <c r="Y20" s="12"/>
      <c r="Z20" s="196"/>
      <c r="AA20" s="299"/>
      <c r="AB20" s="300"/>
      <c r="AC20" s="12"/>
      <c r="AD20" s="196"/>
      <c r="AE20" s="115"/>
      <c r="AF20" s="108"/>
      <c r="AG20" s="380"/>
    </row>
    <row r="21" spans="1:33" ht="15.75" customHeight="1" thickBot="1">
      <c r="A21" s="317"/>
      <c r="B21" s="131" t="s">
        <v>115</v>
      </c>
      <c r="C21" s="294"/>
      <c r="D21" s="294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1564.7174329134186</v>
      </c>
      <c r="N21" s="136">
        <f t="shared" ref="N21:N26" si="5">M21/L21</f>
        <v>76.953316372791079</v>
      </c>
      <c r="O21" s="137">
        <f t="shared" ref="O21:O26" si="6">L21-I21</f>
        <v>0</v>
      </c>
      <c r="P21" s="138">
        <f t="shared" ref="P21:P26" si="7">N21-K21</f>
        <v>-8.2925852665531892</v>
      </c>
      <c r="Q21" s="139">
        <f t="shared" ref="Q21:Q26" si="8">N21/K21</f>
        <v>0.90272159591158763</v>
      </c>
      <c r="R21" s="309"/>
      <c r="S21" s="140">
        <v>0.20833333333333334</v>
      </c>
      <c r="T21" s="141">
        <v>0.6463888888888889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5"/>
      <c r="AB21" s="296"/>
      <c r="AC21" s="177">
        <f>SUM(AC5:AC20)</f>
        <v>0</v>
      </c>
      <c r="AD21" s="178">
        <f>SUM(AD5:AD20)</f>
        <v>0</v>
      </c>
      <c r="AE21" s="166">
        <f t="shared" ref="AE21:AE26" si="9">M21-J21</f>
        <v>-168.61590041991462</v>
      </c>
      <c r="AF21" s="139">
        <f t="shared" ref="AF21:AF26" si="10">M21/J21</f>
        <v>0.90272159591158774</v>
      </c>
      <c r="AG21" s="381"/>
    </row>
    <row r="22" spans="1:33" ht="15.75" customHeight="1">
      <c r="A22" s="301" t="s">
        <v>174</v>
      </c>
      <c r="B22" s="144" t="s">
        <v>166</v>
      </c>
      <c r="C22" s="305" t="s">
        <v>167</v>
      </c>
      <c r="D22" s="306"/>
      <c r="E22" s="145">
        <v>29.97</v>
      </c>
      <c r="F22" s="157">
        <v>2293</v>
      </c>
      <c r="G22" s="146">
        <f t="shared" ref="G22:G26" si="11">E22*F22</f>
        <v>68721.209999999992</v>
      </c>
      <c r="H22" s="147"/>
      <c r="I22" s="151">
        <v>21</v>
      </c>
      <c r="J22" s="149">
        <v>2790</v>
      </c>
      <c r="K22" s="150">
        <f>J22/I22</f>
        <v>132.85714285714286</v>
      </c>
      <c r="L22" s="105">
        <v>22</v>
      </c>
      <c r="M22" s="149">
        <f>F22/V22*60</f>
        <v>2626.6346153846152</v>
      </c>
      <c r="N22" s="150">
        <f t="shared" si="5"/>
        <v>119.39248251748251</v>
      </c>
      <c r="O22" s="152">
        <f t="shared" si="6"/>
        <v>1</v>
      </c>
      <c r="P22" s="153">
        <f t="shared" si="7"/>
        <v>-13.464660339660355</v>
      </c>
      <c r="Q22" s="154">
        <f t="shared" si="8"/>
        <v>0.89865309421761019</v>
      </c>
      <c r="R22" s="307">
        <f>Q38</f>
        <v>0.90285388531194788</v>
      </c>
      <c r="S22" s="155">
        <v>0.20833333333333334</v>
      </c>
      <c r="T22" s="156">
        <v>0.2446990740740741</v>
      </c>
      <c r="U22" s="157"/>
      <c r="V22" s="158">
        <v>52.378811728959988</v>
      </c>
      <c r="W22" s="95"/>
      <c r="X22" s="96"/>
      <c r="Y22" s="12"/>
      <c r="Z22" s="196"/>
      <c r="AA22" s="310"/>
      <c r="AB22" s="311"/>
      <c r="AC22" s="12"/>
      <c r="AD22" s="196"/>
      <c r="AE22" s="113">
        <f t="shared" si="9"/>
        <v>-163.36538461538476</v>
      </c>
      <c r="AF22" s="154">
        <f t="shared" si="10"/>
        <v>0.94144609870416318</v>
      </c>
      <c r="AG22" s="379">
        <f>AF38</f>
        <v>0.92055690267100576</v>
      </c>
    </row>
    <row r="23" spans="1:33" ht="15.75" customHeight="1">
      <c r="A23" s="302"/>
      <c r="B23" s="161" t="s">
        <v>166</v>
      </c>
      <c r="C23" s="297" t="s">
        <v>221</v>
      </c>
      <c r="D23" s="298"/>
      <c r="E23" s="99">
        <v>24.35</v>
      </c>
      <c r="F23" s="109">
        <v>2663</v>
      </c>
      <c r="G23" s="101">
        <f t="shared" si="11"/>
        <v>64844.05</v>
      </c>
      <c r="H23" s="26"/>
      <c r="I23" s="105">
        <v>21</v>
      </c>
      <c r="J23" s="103">
        <v>2790</v>
      </c>
      <c r="K23" s="104">
        <f t="shared" si="1"/>
        <v>132.85714285714286</v>
      </c>
      <c r="L23" s="105">
        <v>22</v>
      </c>
      <c r="M23" s="103">
        <f>F23/V23*60</f>
        <v>2626.6346153846152</v>
      </c>
      <c r="N23" s="104">
        <f t="shared" si="5"/>
        <v>119.39248251748251</v>
      </c>
      <c r="O23" s="106">
        <f t="shared" si="6"/>
        <v>1</v>
      </c>
      <c r="P23" s="107">
        <f t="shared" si="7"/>
        <v>-13.464660339660355</v>
      </c>
      <c r="Q23" s="108">
        <f t="shared" si="8"/>
        <v>0.89865309421761019</v>
      </c>
      <c r="R23" s="308"/>
      <c r="S23" s="46">
        <v>0.24861111111111114</v>
      </c>
      <c r="T23" s="47">
        <v>0.29084490740740743</v>
      </c>
      <c r="U23" s="109">
        <v>5.633333333333348</v>
      </c>
      <c r="V23" s="110">
        <v>60.830691510780838</v>
      </c>
      <c r="W23" s="111"/>
      <c r="X23" s="114"/>
      <c r="Y23" s="12"/>
      <c r="Z23" s="196"/>
      <c r="AA23" s="299"/>
      <c r="AB23" s="300"/>
      <c r="AC23" s="12"/>
      <c r="AD23" s="196"/>
      <c r="AE23" s="115">
        <f t="shared" si="9"/>
        <v>-163.36538461538476</v>
      </c>
      <c r="AF23" s="108">
        <f t="shared" si="10"/>
        <v>0.94144609870416318</v>
      </c>
      <c r="AG23" s="380"/>
    </row>
    <row r="24" spans="1:33" ht="15.75" customHeight="1">
      <c r="A24" s="302"/>
      <c r="B24" s="161" t="s">
        <v>188</v>
      </c>
      <c r="C24" s="297" t="s">
        <v>204</v>
      </c>
      <c r="D24" s="298"/>
      <c r="E24" s="99">
        <v>36.450000000000003</v>
      </c>
      <c r="F24" s="109">
        <v>2040</v>
      </c>
      <c r="G24" s="101">
        <f t="shared" si="11"/>
        <v>74358</v>
      </c>
      <c r="H24" s="26"/>
      <c r="I24" s="105">
        <v>20</v>
      </c>
      <c r="J24" s="103">
        <v>2100</v>
      </c>
      <c r="K24" s="104">
        <f t="shared" si="1"/>
        <v>105</v>
      </c>
      <c r="L24" s="105">
        <v>20</v>
      </c>
      <c r="M24" s="103">
        <f>F24/V24*60</f>
        <v>1890.5483422375005</v>
      </c>
      <c r="N24" s="104">
        <f t="shared" si="5"/>
        <v>94.527417111875025</v>
      </c>
      <c r="O24" s="106">
        <f t="shared" si="6"/>
        <v>0</v>
      </c>
      <c r="P24" s="107">
        <f t="shared" si="7"/>
        <v>-10.472582888124975</v>
      </c>
      <c r="Q24" s="108">
        <f t="shared" si="8"/>
        <v>0.90026111535119069</v>
      </c>
      <c r="R24" s="308"/>
      <c r="S24" s="46">
        <v>0.29375000000000001</v>
      </c>
      <c r="T24" s="47">
        <v>0.33870370370370373</v>
      </c>
      <c r="U24" s="109">
        <v>5</v>
      </c>
      <c r="V24" s="110">
        <v>64.743120958831042</v>
      </c>
      <c r="W24" s="111"/>
      <c r="X24" s="114"/>
      <c r="Y24" s="12"/>
      <c r="Z24" s="196"/>
      <c r="AA24" s="299"/>
      <c r="AB24" s="300"/>
      <c r="AC24" s="12"/>
      <c r="AD24" s="196"/>
      <c r="AE24" s="115">
        <f t="shared" si="9"/>
        <v>-209.45165776249951</v>
      </c>
      <c r="AF24" s="108">
        <f t="shared" si="10"/>
        <v>0.90026111535119069</v>
      </c>
      <c r="AG24" s="380"/>
    </row>
    <row r="25" spans="1:33" ht="15.75" customHeight="1">
      <c r="A25" s="302"/>
      <c r="B25" s="161" t="s">
        <v>171</v>
      </c>
      <c r="C25" s="297" t="s">
        <v>200</v>
      </c>
      <c r="D25" s="298"/>
      <c r="E25" s="99">
        <v>61.09</v>
      </c>
      <c r="F25" s="109">
        <v>3454</v>
      </c>
      <c r="G25" s="101">
        <f t="shared" si="11"/>
        <v>211004.86000000002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>F25/V25*60</f>
        <v>1806.242661405797</v>
      </c>
      <c r="N25" s="104">
        <f t="shared" si="5"/>
        <v>90.312133070289846</v>
      </c>
      <c r="O25" s="106">
        <f t="shared" si="6"/>
        <v>0</v>
      </c>
      <c r="P25" s="107">
        <f t="shared" si="7"/>
        <v>-9.6878669297101538</v>
      </c>
      <c r="Q25" s="108">
        <f t="shared" si="8"/>
        <v>0.90312133070289846</v>
      </c>
      <c r="R25" s="308"/>
      <c r="S25" s="46">
        <v>0.34166666666666667</v>
      </c>
      <c r="T25" s="47">
        <v>0.4213425925925926</v>
      </c>
      <c r="U25" s="109">
        <v>5</v>
      </c>
      <c r="V25" s="110">
        <v>114.73541425419845</v>
      </c>
      <c r="W25" s="111">
        <v>0.4213425925925926</v>
      </c>
      <c r="X25" s="114">
        <v>0.45902777777777776</v>
      </c>
      <c r="Y25" s="12"/>
      <c r="Z25" s="196"/>
      <c r="AA25" s="299"/>
      <c r="AB25" s="300"/>
      <c r="AC25" s="12"/>
      <c r="AD25" s="196"/>
      <c r="AE25" s="115">
        <f t="shared" si="9"/>
        <v>-193.75733859420302</v>
      </c>
      <c r="AF25" s="108">
        <f t="shared" si="10"/>
        <v>0.90312133070289846</v>
      </c>
      <c r="AG25" s="380"/>
    </row>
    <row r="26" spans="1:33" ht="15.75" customHeight="1">
      <c r="A26" s="303"/>
      <c r="B26" s="161" t="s">
        <v>171</v>
      </c>
      <c r="C26" s="297" t="s">
        <v>177</v>
      </c>
      <c r="D26" s="298"/>
      <c r="E26" s="99">
        <v>53.76</v>
      </c>
      <c r="F26" s="109">
        <v>3297</v>
      </c>
      <c r="G26" s="101">
        <f t="shared" si="11"/>
        <v>177246.72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>F26/V26*60</f>
        <v>1802.0443887848194</v>
      </c>
      <c r="N26" s="104">
        <f t="shared" si="5"/>
        <v>90.102219439240969</v>
      </c>
      <c r="O26" s="106">
        <f t="shared" si="6"/>
        <v>0</v>
      </c>
      <c r="P26" s="107">
        <f t="shared" si="7"/>
        <v>-9.8977805607590312</v>
      </c>
      <c r="Q26" s="108">
        <f t="shared" si="8"/>
        <v>0.90102219439240971</v>
      </c>
      <c r="R26" s="308"/>
      <c r="S26" s="46">
        <v>0.45902777777777776</v>
      </c>
      <c r="T26" s="47">
        <v>0.53525462962962966</v>
      </c>
      <c r="U26" s="109">
        <v>55</v>
      </c>
      <c r="V26" s="110">
        <v>109.77532031461047</v>
      </c>
      <c r="W26" s="111"/>
      <c r="X26" s="114"/>
      <c r="Y26" s="12"/>
      <c r="Z26" s="196"/>
      <c r="AA26" s="299"/>
      <c r="AB26" s="300"/>
      <c r="AC26" s="12"/>
      <c r="AD26" s="196"/>
      <c r="AE26" s="115">
        <f t="shared" si="9"/>
        <v>-197.95561121518062</v>
      </c>
      <c r="AF26" s="108">
        <f t="shared" si="10"/>
        <v>0.90102219439240971</v>
      </c>
      <c r="AG26" s="380"/>
    </row>
    <row r="27" spans="1:33" ht="15.75" customHeight="1">
      <c r="A27" s="303"/>
      <c r="B27" s="161"/>
      <c r="C27" s="297"/>
      <c r="D27" s="298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08"/>
      <c r="S27" s="46"/>
      <c r="T27" s="118"/>
      <c r="U27" s="109"/>
      <c r="V27" s="110"/>
      <c r="W27" s="111"/>
      <c r="X27" s="114"/>
      <c r="Y27" s="12"/>
      <c r="Z27" s="196"/>
      <c r="AA27" s="299"/>
      <c r="AB27" s="300"/>
      <c r="AC27" s="12"/>
      <c r="AD27" s="196"/>
      <c r="AE27" s="115"/>
      <c r="AF27" s="108"/>
      <c r="AG27" s="380"/>
    </row>
    <row r="28" spans="1:33" ht="15.75" customHeight="1">
      <c r="A28" s="303"/>
      <c r="B28" s="161"/>
      <c r="C28" s="297"/>
      <c r="D28" s="298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8"/>
      <c r="S28" s="46"/>
      <c r="T28" s="118"/>
      <c r="U28" s="109"/>
      <c r="V28" s="110"/>
      <c r="W28" s="111"/>
      <c r="X28" s="114"/>
      <c r="Y28" s="12"/>
      <c r="Z28" s="196"/>
      <c r="AA28" s="299"/>
      <c r="AB28" s="300"/>
      <c r="AC28" s="12"/>
      <c r="AD28" s="196"/>
      <c r="AE28" s="115"/>
      <c r="AF28" s="108"/>
      <c r="AG28" s="380"/>
    </row>
    <row r="29" spans="1:33" ht="15.75" customHeight="1">
      <c r="A29" s="303"/>
      <c r="B29" s="161"/>
      <c r="C29" s="297"/>
      <c r="D29" s="298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8"/>
      <c r="S29" s="46"/>
      <c r="T29" s="118"/>
      <c r="U29" s="109"/>
      <c r="V29" s="110"/>
      <c r="W29" s="111"/>
      <c r="X29" s="114"/>
      <c r="Y29" s="12"/>
      <c r="Z29" s="196"/>
      <c r="AA29" s="299"/>
      <c r="AB29" s="300"/>
      <c r="AC29" s="12"/>
      <c r="AD29" s="196"/>
      <c r="AE29" s="115"/>
      <c r="AF29" s="108"/>
      <c r="AG29" s="380"/>
    </row>
    <row r="30" spans="1:33" ht="15.75" customHeight="1">
      <c r="A30" s="303"/>
      <c r="B30" s="161"/>
      <c r="C30" s="297"/>
      <c r="D30" s="298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8"/>
      <c r="S30" s="46"/>
      <c r="T30" s="118"/>
      <c r="U30" s="109"/>
      <c r="V30" s="110"/>
      <c r="W30" s="111"/>
      <c r="X30" s="114"/>
      <c r="Y30" s="12"/>
      <c r="Z30" s="196"/>
      <c r="AA30" s="299"/>
      <c r="AB30" s="300"/>
      <c r="AC30" s="12"/>
      <c r="AD30" s="196"/>
      <c r="AE30" s="115"/>
      <c r="AF30" s="108"/>
      <c r="AG30" s="380"/>
    </row>
    <row r="31" spans="1:33" ht="15.75" customHeight="1">
      <c r="A31" s="303"/>
      <c r="B31" s="161"/>
      <c r="C31" s="297"/>
      <c r="D31" s="298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8"/>
      <c r="S31" s="46"/>
      <c r="T31" s="118"/>
      <c r="U31" s="109"/>
      <c r="V31" s="110"/>
      <c r="W31" s="111"/>
      <c r="X31" s="114"/>
      <c r="Y31" s="12"/>
      <c r="Z31" s="196"/>
      <c r="AA31" s="299"/>
      <c r="AB31" s="300"/>
      <c r="AC31" s="12"/>
      <c r="AD31" s="196"/>
      <c r="AE31" s="115"/>
      <c r="AF31" s="108"/>
      <c r="AG31" s="380"/>
    </row>
    <row r="32" spans="1:33" ht="15.75" customHeight="1">
      <c r="A32" s="303"/>
      <c r="B32" s="161"/>
      <c r="C32" s="297"/>
      <c r="D32" s="298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8"/>
      <c r="S32" s="46"/>
      <c r="T32" s="118"/>
      <c r="U32" s="109"/>
      <c r="V32" s="110"/>
      <c r="W32" s="111"/>
      <c r="X32" s="114"/>
      <c r="Y32" s="12"/>
      <c r="Z32" s="196"/>
      <c r="AA32" s="299"/>
      <c r="AB32" s="300"/>
      <c r="AC32" s="12"/>
      <c r="AD32" s="196"/>
      <c r="AE32" s="115"/>
      <c r="AF32" s="108"/>
      <c r="AG32" s="380"/>
    </row>
    <row r="33" spans="1:33" ht="15.75" customHeight="1">
      <c r="A33" s="303"/>
      <c r="B33" s="161"/>
      <c r="C33" s="297"/>
      <c r="D33" s="298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8"/>
      <c r="S33" s="46"/>
      <c r="T33" s="118"/>
      <c r="U33" s="109"/>
      <c r="V33" s="110"/>
      <c r="W33" s="111"/>
      <c r="X33" s="114"/>
      <c r="Y33" s="12"/>
      <c r="Z33" s="196"/>
      <c r="AA33" s="299"/>
      <c r="AB33" s="300"/>
      <c r="AC33" s="12"/>
      <c r="AD33" s="196"/>
      <c r="AE33" s="115"/>
      <c r="AF33" s="108"/>
      <c r="AG33" s="380"/>
    </row>
    <row r="34" spans="1:33" ht="15.75" customHeight="1">
      <c r="A34" s="303"/>
      <c r="B34" s="161"/>
      <c r="C34" s="297"/>
      <c r="D34" s="298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8"/>
      <c r="S34" s="46"/>
      <c r="T34" s="118"/>
      <c r="U34" s="109"/>
      <c r="V34" s="110"/>
      <c r="W34" s="111"/>
      <c r="X34" s="114"/>
      <c r="Y34" s="12"/>
      <c r="Z34" s="196"/>
      <c r="AA34" s="299"/>
      <c r="AB34" s="300"/>
      <c r="AC34" s="12"/>
      <c r="AD34" s="196"/>
      <c r="AE34" s="115"/>
      <c r="AF34" s="108"/>
      <c r="AG34" s="380"/>
    </row>
    <row r="35" spans="1:33" ht="15.75" customHeight="1">
      <c r="A35" s="303"/>
      <c r="B35" s="161"/>
      <c r="C35" s="297"/>
      <c r="D35" s="298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8"/>
      <c r="S35" s="46"/>
      <c r="T35" s="118"/>
      <c r="U35" s="109"/>
      <c r="V35" s="110"/>
      <c r="W35" s="181"/>
      <c r="X35" s="182"/>
      <c r="Y35" s="12"/>
      <c r="Z35" s="196"/>
      <c r="AA35" s="299"/>
      <c r="AB35" s="300"/>
      <c r="AC35" s="12"/>
      <c r="AD35" s="196"/>
      <c r="AE35" s="115"/>
      <c r="AF35" s="108"/>
      <c r="AG35" s="380"/>
    </row>
    <row r="36" spans="1:33" ht="15.75" customHeight="1">
      <c r="A36" s="303"/>
      <c r="B36" s="161"/>
      <c r="C36" s="297"/>
      <c r="D36" s="298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8"/>
      <c r="S36" s="46"/>
      <c r="T36" s="118"/>
      <c r="U36" s="109"/>
      <c r="V36" s="110"/>
      <c r="W36" s="183"/>
      <c r="X36" s="184"/>
      <c r="Y36" s="12"/>
      <c r="Z36" s="196"/>
      <c r="AA36" s="299"/>
      <c r="AB36" s="300"/>
      <c r="AC36" s="12"/>
      <c r="AD36" s="196"/>
      <c r="AE36" s="115"/>
      <c r="AF36" s="108"/>
      <c r="AG36" s="380"/>
    </row>
    <row r="37" spans="1:33" ht="15.75" customHeight="1">
      <c r="A37" s="303"/>
      <c r="B37" s="98"/>
      <c r="C37" s="297"/>
      <c r="D37" s="298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8"/>
      <c r="S37" s="46"/>
      <c r="T37" s="118"/>
      <c r="U37" s="128"/>
      <c r="V37" s="110"/>
      <c r="W37" s="183"/>
      <c r="X37" s="184"/>
      <c r="Y37" s="12"/>
      <c r="Z37" s="196"/>
      <c r="AA37" s="299"/>
      <c r="AB37" s="300"/>
      <c r="AC37" s="12"/>
      <c r="AD37" s="196"/>
      <c r="AE37" s="115"/>
      <c r="AF37" s="108"/>
      <c r="AG37" s="380"/>
    </row>
    <row r="38" spans="1:33" ht="15.75" customHeight="1" thickBot="1">
      <c r="A38" s="304"/>
      <c r="B38" s="131" t="s">
        <v>115</v>
      </c>
      <c r="C38" s="294"/>
      <c r="D38" s="294"/>
      <c r="E38" s="132"/>
      <c r="F38" s="165"/>
      <c r="G38" s="133"/>
      <c r="H38" s="67"/>
      <c r="I38" s="134">
        <f t="shared" ref="I38:J38" si="12">AVERAGE(I22:I37)</f>
        <v>20.399999999999999</v>
      </c>
      <c r="J38" s="135">
        <f t="shared" si="12"/>
        <v>2336</v>
      </c>
      <c r="K38" s="136">
        <f t="shared" ref="K38" si="13">J38/I38</f>
        <v>114.50980392156863</v>
      </c>
      <c r="L38" s="134">
        <f t="shared" ref="L38:M38" si="14">AVERAGE(L22:L37)</f>
        <v>20.8</v>
      </c>
      <c r="M38" s="135">
        <f t="shared" si="14"/>
        <v>2150.4209246394694</v>
      </c>
      <c r="N38" s="136">
        <f t="shared" ref="N38:N43" si="15">M38/L38</f>
        <v>103.38562137689756</v>
      </c>
      <c r="O38" s="137">
        <f t="shared" ref="O38:O43" si="16">L38-I38</f>
        <v>0.40000000000000213</v>
      </c>
      <c r="P38" s="138">
        <f t="shared" ref="P38:P43" si="17">N38-K38</f>
        <v>-11.124182544671072</v>
      </c>
      <c r="Q38" s="139">
        <f t="shared" ref="Q38:Q43" si="18">N38/K38</f>
        <v>0.90285388531194788</v>
      </c>
      <c r="R38" s="309"/>
      <c r="S38" s="140">
        <v>0.20833333333333334</v>
      </c>
      <c r="T38" s="141">
        <v>0.53525462962962966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5"/>
      <c r="AB38" s="296"/>
      <c r="AC38" s="177">
        <f>SUM(AC22:AC37)</f>
        <v>0</v>
      </c>
      <c r="AD38" s="178">
        <f>SUM(AD22:AD37)</f>
        <v>0</v>
      </c>
      <c r="AE38" s="166">
        <f t="shared" ref="AE38:AE43" si="19">M38-J38</f>
        <v>-185.57907536053062</v>
      </c>
      <c r="AF38" s="139">
        <f t="shared" ref="AF38:AF43" si="20">M38/J38</f>
        <v>0.92055690267100576</v>
      </c>
      <c r="AG38" s="381"/>
    </row>
    <row r="39" spans="1:33" ht="15.75" customHeight="1">
      <c r="A39" s="315" t="s">
        <v>175</v>
      </c>
      <c r="B39" s="144" t="s">
        <v>171</v>
      </c>
      <c r="C39" s="305" t="s">
        <v>178</v>
      </c>
      <c r="D39" s="306"/>
      <c r="E39" s="145">
        <v>71.55</v>
      </c>
      <c r="F39" s="95">
        <v>2603</v>
      </c>
      <c r="G39" s="146">
        <f t="shared" ref="G39:G43" si="21">E39*F39</f>
        <v>186244.65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>F39/V39*60</f>
        <v>1808.2185926713996</v>
      </c>
      <c r="N39" s="150">
        <f t="shared" si="15"/>
        <v>82.191754212336349</v>
      </c>
      <c r="O39" s="152">
        <f t="shared" si="16"/>
        <v>0</v>
      </c>
      <c r="P39" s="153">
        <f t="shared" si="17"/>
        <v>-8.7173366967545576</v>
      </c>
      <c r="Q39" s="154">
        <f t="shared" si="18"/>
        <v>0.90410929633569992</v>
      </c>
      <c r="R39" s="307">
        <f>Q55</f>
        <v>0.9033175975653962</v>
      </c>
      <c r="S39" s="155">
        <v>0.20833333333333334</v>
      </c>
      <c r="T39" s="156">
        <v>0.26831018518518518</v>
      </c>
      <c r="U39" s="157"/>
      <c r="V39" s="158">
        <v>86.372300690297109</v>
      </c>
      <c r="W39" s="156"/>
      <c r="X39" s="167"/>
      <c r="Y39" s="12"/>
      <c r="Z39" s="196"/>
      <c r="AA39" s="310"/>
      <c r="AB39" s="311"/>
      <c r="AC39" s="12"/>
      <c r="AD39" s="196"/>
      <c r="AE39" s="113">
        <f t="shared" si="19"/>
        <v>-191.78140732860038</v>
      </c>
      <c r="AF39" s="154">
        <f t="shared" si="20"/>
        <v>0.90410929633569981</v>
      </c>
      <c r="AG39" s="312">
        <f>AF55</f>
        <v>0.90331759756539609</v>
      </c>
    </row>
    <row r="40" spans="1:33" ht="15.75" customHeight="1">
      <c r="A40" s="316"/>
      <c r="B40" s="161" t="s">
        <v>171</v>
      </c>
      <c r="C40" s="297" t="s">
        <v>176</v>
      </c>
      <c r="D40" s="298"/>
      <c r="E40" s="99">
        <v>59.54</v>
      </c>
      <c r="F40" s="100">
        <v>2693</v>
      </c>
      <c r="G40" s="101">
        <f t="shared" si="21"/>
        <v>160341.22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>F40/V40*60</f>
        <v>1807.2273887531587</v>
      </c>
      <c r="N40" s="104">
        <f t="shared" si="15"/>
        <v>78.575103858832989</v>
      </c>
      <c r="O40" s="106">
        <f t="shared" si="16"/>
        <v>0</v>
      </c>
      <c r="P40" s="107">
        <f t="shared" si="17"/>
        <v>-8.3814178802974482</v>
      </c>
      <c r="Q40" s="108">
        <f t="shared" si="18"/>
        <v>0.90361369437657935</v>
      </c>
      <c r="R40" s="308"/>
      <c r="S40" s="46">
        <v>0.2722222222222222</v>
      </c>
      <c r="T40" s="47">
        <v>0.33430555555555552</v>
      </c>
      <c r="U40" s="109">
        <v>5.633333333333308</v>
      </c>
      <c r="V40" s="110">
        <v>89.407675539643733</v>
      </c>
      <c r="W40" s="111"/>
      <c r="X40" s="114"/>
      <c r="Y40" s="12"/>
      <c r="Z40" s="196"/>
      <c r="AA40" s="299"/>
      <c r="AB40" s="300"/>
      <c r="AC40" s="12"/>
      <c r="AD40" s="196"/>
      <c r="AE40" s="115">
        <f t="shared" si="19"/>
        <v>-192.77261124684128</v>
      </c>
      <c r="AF40" s="108">
        <f t="shared" si="20"/>
        <v>0.90361369437657935</v>
      </c>
      <c r="AG40" s="313"/>
    </row>
    <row r="41" spans="1:33" ht="15.75" customHeight="1">
      <c r="A41" s="316"/>
      <c r="B41" s="161" t="s">
        <v>171</v>
      </c>
      <c r="C41" s="297" t="s">
        <v>172</v>
      </c>
      <c r="D41" s="298"/>
      <c r="E41" s="99">
        <v>58.67</v>
      </c>
      <c r="F41" s="100">
        <v>3983</v>
      </c>
      <c r="G41" s="101">
        <f t="shared" si="21"/>
        <v>233682.61000000002</v>
      </c>
      <c r="H41" s="26"/>
      <c r="I41" s="102">
        <v>23</v>
      </c>
      <c r="J41" s="103">
        <v>2000</v>
      </c>
      <c r="K41" s="104">
        <f t="shared" si="1"/>
        <v>86.956521739130437</v>
      </c>
      <c r="L41" s="105">
        <v>23</v>
      </c>
      <c r="M41" s="103">
        <f>F41/V41*60</f>
        <v>1803.5093623021282</v>
      </c>
      <c r="N41" s="104">
        <f t="shared" si="15"/>
        <v>78.413450534875139</v>
      </c>
      <c r="O41" s="106">
        <f t="shared" si="16"/>
        <v>0</v>
      </c>
      <c r="P41" s="107">
        <f t="shared" si="17"/>
        <v>-8.5430712042552983</v>
      </c>
      <c r="Q41" s="108">
        <f t="shared" si="18"/>
        <v>0.90175468115106405</v>
      </c>
      <c r="R41" s="308"/>
      <c r="S41" s="46">
        <v>0.33749999999999997</v>
      </c>
      <c r="T41" s="47">
        <v>0.42951388888888886</v>
      </c>
      <c r="U41" s="109">
        <v>4.5999999999999996</v>
      </c>
      <c r="V41" s="110">
        <v>132.50832238261788</v>
      </c>
      <c r="W41" s="111"/>
      <c r="X41" s="114"/>
      <c r="Y41" s="12"/>
      <c r="Z41" s="196"/>
      <c r="AA41" s="299"/>
      <c r="AB41" s="300"/>
      <c r="AC41" s="12"/>
      <c r="AD41" s="196"/>
      <c r="AE41" s="115">
        <f t="shared" si="19"/>
        <v>-196.49063769787176</v>
      </c>
      <c r="AF41" s="108">
        <f t="shared" si="20"/>
        <v>0.90175468115106416</v>
      </c>
      <c r="AG41" s="313"/>
    </row>
    <row r="42" spans="1:33" ht="15.75" customHeight="1">
      <c r="A42" s="316"/>
      <c r="B42" s="161" t="s">
        <v>171</v>
      </c>
      <c r="C42" s="297" t="s">
        <v>211</v>
      </c>
      <c r="D42" s="298"/>
      <c r="E42" s="99">
        <v>69.260000000000005</v>
      </c>
      <c r="F42" s="100">
        <v>542</v>
      </c>
      <c r="G42" s="101">
        <f t="shared" si="21"/>
        <v>37538.920000000006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>F42/V42*60</f>
        <v>1803.3151935597887</v>
      </c>
      <c r="N42" s="104">
        <f t="shared" si="15"/>
        <v>75.138133064991194</v>
      </c>
      <c r="O42" s="106">
        <f t="shared" si="16"/>
        <v>0</v>
      </c>
      <c r="P42" s="107">
        <f t="shared" si="17"/>
        <v>-8.1952002683421341</v>
      </c>
      <c r="Q42" s="108">
        <f t="shared" si="18"/>
        <v>0.90165759677989443</v>
      </c>
      <c r="R42" s="308"/>
      <c r="S42" s="46">
        <v>0.43263888888888885</v>
      </c>
      <c r="T42" s="47">
        <v>0.445162037037037</v>
      </c>
      <c r="U42" s="109">
        <v>5</v>
      </c>
      <c r="V42" s="110">
        <v>18.033453117979182</v>
      </c>
      <c r="W42" s="111">
        <v>0.445162037037037</v>
      </c>
      <c r="X42" s="114">
        <v>0.48333333333333328</v>
      </c>
      <c r="Y42" s="12"/>
      <c r="Z42" s="196"/>
      <c r="AA42" s="299"/>
      <c r="AB42" s="300"/>
      <c r="AC42" s="12"/>
      <c r="AD42" s="196"/>
      <c r="AE42" s="115">
        <f t="shared" si="19"/>
        <v>-196.68480644021133</v>
      </c>
      <c r="AF42" s="108">
        <f t="shared" si="20"/>
        <v>0.90165759677989432</v>
      </c>
      <c r="AG42" s="313"/>
    </row>
    <row r="43" spans="1:33" ht="15.75" customHeight="1">
      <c r="A43" s="316"/>
      <c r="B43" s="161" t="s">
        <v>171</v>
      </c>
      <c r="C43" s="297" t="s">
        <v>206</v>
      </c>
      <c r="D43" s="298"/>
      <c r="E43" s="99">
        <v>63.92</v>
      </c>
      <c r="F43" s="100">
        <v>1648</v>
      </c>
      <c r="G43" s="101">
        <f t="shared" si="21"/>
        <v>105340.16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>F43/V43*60</f>
        <v>1810.9054383674854</v>
      </c>
      <c r="N43" s="104">
        <f t="shared" si="15"/>
        <v>75.454393265311893</v>
      </c>
      <c r="O43" s="106">
        <f t="shared" si="16"/>
        <v>0</v>
      </c>
      <c r="P43" s="107">
        <f t="shared" si="17"/>
        <v>-7.8789400680214356</v>
      </c>
      <c r="Q43" s="108">
        <f t="shared" si="18"/>
        <v>0.90545271918374282</v>
      </c>
      <c r="R43" s="308"/>
      <c r="S43" s="46">
        <v>0.48333333333333328</v>
      </c>
      <c r="T43" s="47">
        <v>0.52124999999999999</v>
      </c>
      <c r="U43" s="109">
        <v>54.966666666666654</v>
      </c>
      <c r="V43" s="110">
        <v>54.602519769966236</v>
      </c>
      <c r="W43" s="111"/>
      <c r="X43" s="114"/>
      <c r="Y43" s="12"/>
      <c r="Z43" s="196"/>
      <c r="AA43" s="299"/>
      <c r="AB43" s="300"/>
      <c r="AC43" s="12"/>
      <c r="AD43" s="196"/>
      <c r="AE43" s="115">
        <f t="shared" si="19"/>
        <v>-189.09456163251457</v>
      </c>
      <c r="AF43" s="108">
        <f t="shared" si="20"/>
        <v>0.9054527191837427</v>
      </c>
      <c r="AG43" s="313"/>
    </row>
    <row r="44" spans="1:33" ht="15.75" customHeight="1">
      <c r="A44" s="316"/>
      <c r="B44" s="161"/>
      <c r="C44" s="297"/>
      <c r="D44" s="298"/>
      <c r="E44" s="99"/>
      <c r="F44" s="100"/>
      <c r="G44" s="119"/>
      <c r="H44" s="120"/>
      <c r="I44" s="102"/>
      <c r="J44" s="103"/>
      <c r="K44" s="104"/>
      <c r="L44" s="105"/>
      <c r="M44" s="103"/>
      <c r="N44" s="104"/>
      <c r="O44" s="106"/>
      <c r="P44" s="107"/>
      <c r="Q44" s="108"/>
      <c r="R44" s="308"/>
      <c r="S44" s="46"/>
      <c r="T44" s="118"/>
      <c r="U44" s="109"/>
      <c r="V44" s="110"/>
      <c r="W44" s="111"/>
      <c r="X44" s="114"/>
      <c r="Y44" s="12"/>
      <c r="Z44" s="196"/>
      <c r="AA44" s="299"/>
      <c r="AB44" s="300"/>
      <c r="AC44" s="12"/>
      <c r="AD44" s="196"/>
      <c r="AE44" s="115"/>
      <c r="AF44" s="108"/>
      <c r="AG44" s="313"/>
    </row>
    <row r="45" spans="1:33" ht="15.75" customHeight="1">
      <c r="A45" s="316"/>
      <c r="B45" s="161"/>
      <c r="C45" s="297"/>
      <c r="D45" s="298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8"/>
      <c r="S45" s="117"/>
      <c r="T45" s="118"/>
      <c r="U45" s="109"/>
      <c r="V45" s="110"/>
      <c r="W45" s="118"/>
      <c r="X45" s="187"/>
      <c r="Y45" s="12"/>
      <c r="Z45" s="196"/>
      <c r="AA45" s="299"/>
      <c r="AB45" s="300"/>
      <c r="AC45" s="12"/>
      <c r="AD45" s="196"/>
      <c r="AE45" s="115"/>
      <c r="AF45" s="108"/>
      <c r="AG45" s="313"/>
    </row>
    <row r="46" spans="1:33" ht="15.75" customHeight="1">
      <c r="A46" s="316"/>
      <c r="B46" s="161"/>
      <c r="C46" s="297"/>
      <c r="D46" s="298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8"/>
      <c r="S46" s="117"/>
      <c r="T46" s="118"/>
      <c r="U46" s="109"/>
      <c r="V46" s="110"/>
      <c r="W46" s="118"/>
      <c r="X46" s="187"/>
      <c r="Y46" s="12"/>
      <c r="Z46" s="196"/>
      <c r="AA46" s="299"/>
      <c r="AB46" s="300"/>
      <c r="AC46" s="12"/>
      <c r="AD46" s="196"/>
      <c r="AE46" s="115"/>
      <c r="AF46" s="108"/>
      <c r="AG46" s="313"/>
    </row>
    <row r="47" spans="1:33" ht="15.75" customHeight="1">
      <c r="A47" s="316"/>
      <c r="B47" s="161"/>
      <c r="C47" s="297"/>
      <c r="D47" s="298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8"/>
      <c r="S47" s="117"/>
      <c r="T47" s="118"/>
      <c r="U47" s="109"/>
      <c r="V47" s="110"/>
      <c r="W47" s="118"/>
      <c r="X47" s="187"/>
      <c r="Y47" s="12"/>
      <c r="Z47" s="196"/>
      <c r="AA47" s="299"/>
      <c r="AB47" s="300"/>
      <c r="AC47" s="12"/>
      <c r="AD47" s="196"/>
      <c r="AE47" s="115"/>
      <c r="AF47" s="108"/>
      <c r="AG47" s="313"/>
    </row>
    <row r="48" spans="1:33" ht="15.75" customHeight="1">
      <c r="A48" s="316"/>
      <c r="B48" s="161"/>
      <c r="C48" s="297"/>
      <c r="D48" s="298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8"/>
      <c r="S48" s="117"/>
      <c r="T48" s="118"/>
      <c r="U48" s="109"/>
      <c r="V48" s="110"/>
      <c r="W48" s="118"/>
      <c r="X48" s="187"/>
      <c r="Y48" s="12"/>
      <c r="Z48" s="196"/>
      <c r="AA48" s="299"/>
      <c r="AB48" s="300"/>
      <c r="AC48" s="12"/>
      <c r="AD48" s="196"/>
      <c r="AE48" s="115"/>
      <c r="AF48" s="108"/>
      <c r="AG48" s="313"/>
    </row>
    <row r="49" spans="1:33" ht="15.75" customHeight="1">
      <c r="A49" s="316"/>
      <c r="B49" s="161"/>
      <c r="C49" s="297"/>
      <c r="D49" s="298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8"/>
      <c r="S49" s="117"/>
      <c r="T49" s="118"/>
      <c r="U49" s="109"/>
      <c r="V49" s="110"/>
      <c r="W49" s="118"/>
      <c r="X49" s="187"/>
      <c r="Y49" s="12"/>
      <c r="Z49" s="196"/>
      <c r="AA49" s="299"/>
      <c r="AB49" s="300"/>
      <c r="AC49" s="12"/>
      <c r="AD49" s="196"/>
      <c r="AE49" s="115"/>
      <c r="AF49" s="108"/>
      <c r="AG49" s="313"/>
    </row>
    <row r="50" spans="1:33" ht="15.75" customHeight="1">
      <c r="A50" s="316"/>
      <c r="B50" s="161"/>
      <c r="C50" s="297"/>
      <c r="D50" s="298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8"/>
      <c r="S50" s="117"/>
      <c r="T50" s="118"/>
      <c r="U50" s="109"/>
      <c r="V50" s="110"/>
      <c r="W50" s="118"/>
      <c r="X50" s="187"/>
      <c r="Y50" s="12"/>
      <c r="Z50" s="196"/>
      <c r="AA50" s="299"/>
      <c r="AB50" s="300"/>
      <c r="AC50" s="12"/>
      <c r="AD50" s="196"/>
      <c r="AE50" s="115"/>
      <c r="AF50" s="108"/>
      <c r="AG50" s="313"/>
    </row>
    <row r="51" spans="1:33" ht="15.75" customHeight="1">
      <c r="A51" s="316"/>
      <c r="B51" s="161"/>
      <c r="C51" s="297"/>
      <c r="D51" s="298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8"/>
      <c r="S51" s="117"/>
      <c r="T51" s="118"/>
      <c r="U51" s="109"/>
      <c r="V51" s="110"/>
      <c r="W51" s="118"/>
      <c r="X51" s="187"/>
      <c r="Y51" s="12"/>
      <c r="Z51" s="196"/>
      <c r="AA51" s="299"/>
      <c r="AB51" s="300"/>
      <c r="AC51" s="12"/>
      <c r="AD51" s="196"/>
      <c r="AE51" s="115"/>
      <c r="AF51" s="108"/>
      <c r="AG51" s="313"/>
    </row>
    <row r="52" spans="1:33" ht="15.75" customHeight="1">
      <c r="A52" s="316"/>
      <c r="B52" s="161"/>
      <c r="C52" s="297"/>
      <c r="D52" s="298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8"/>
      <c r="S52" s="117"/>
      <c r="T52" s="118"/>
      <c r="U52" s="109"/>
      <c r="V52" s="110"/>
      <c r="W52" s="118"/>
      <c r="X52" s="187"/>
      <c r="Y52" s="12"/>
      <c r="Z52" s="196"/>
      <c r="AA52" s="299"/>
      <c r="AB52" s="300"/>
      <c r="AC52" s="12"/>
      <c r="AD52" s="196"/>
      <c r="AE52" s="115"/>
      <c r="AF52" s="108"/>
      <c r="AG52" s="313"/>
    </row>
    <row r="53" spans="1:33" ht="15.75" customHeight="1">
      <c r="A53" s="316"/>
      <c r="B53" s="161"/>
      <c r="C53" s="297"/>
      <c r="D53" s="298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8"/>
      <c r="S53" s="117"/>
      <c r="T53" s="118"/>
      <c r="U53" s="109"/>
      <c r="V53" s="110"/>
      <c r="W53" s="118"/>
      <c r="X53" s="187"/>
      <c r="Y53" s="12"/>
      <c r="Z53" s="196"/>
      <c r="AA53" s="299"/>
      <c r="AB53" s="300"/>
      <c r="AC53" s="12"/>
      <c r="AD53" s="196"/>
      <c r="AE53" s="115"/>
      <c r="AF53" s="108"/>
      <c r="AG53" s="313"/>
    </row>
    <row r="54" spans="1:33" ht="15.75" customHeight="1">
      <c r="A54" s="316"/>
      <c r="B54" s="161"/>
      <c r="C54" s="297"/>
      <c r="D54" s="298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8"/>
      <c r="S54" s="117"/>
      <c r="T54" s="118"/>
      <c r="U54" s="128"/>
      <c r="V54" s="129"/>
      <c r="W54" s="124"/>
      <c r="X54" s="125"/>
      <c r="Y54" s="12"/>
      <c r="Z54" s="196"/>
      <c r="AA54" s="299"/>
      <c r="AB54" s="300"/>
      <c r="AC54" s="12"/>
      <c r="AD54" s="196"/>
      <c r="AE54" s="163"/>
      <c r="AF54" s="123"/>
      <c r="AG54" s="313"/>
    </row>
    <row r="55" spans="1:33" ht="15.75" customHeight="1" thickBot="1">
      <c r="A55" s="317"/>
      <c r="B55" s="131" t="s">
        <v>115</v>
      </c>
      <c r="C55" s="294"/>
      <c r="D55" s="294"/>
      <c r="E55" s="132"/>
      <c r="F55" s="165"/>
      <c r="G55" s="133"/>
      <c r="H55" s="67"/>
      <c r="I55" s="134">
        <f t="shared" ref="I55:J55" si="22">AVERAGE(I39:I54)</f>
        <v>23.2</v>
      </c>
      <c r="J55" s="135">
        <f t="shared" si="22"/>
        <v>2000</v>
      </c>
      <c r="K55" s="136">
        <f t="shared" ref="K55" si="23">J55/I55</f>
        <v>86.206896551724142</v>
      </c>
      <c r="L55" s="134">
        <f t="shared" ref="L55:M55" si="24">AVERAGE(L39:L54)</f>
        <v>23.2</v>
      </c>
      <c r="M55" s="135">
        <f t="shared" si="24"/>
        <v>1806.6351951307922</v>
      </c>
      <c r="N55" s="136">
        <f t="shared" ref="N55:N60" si="25">M55/L55</f>
        <v>77.872206686672087</v>
      </c>
      <c r="O55" s="137">
        <f t="shared" ref="O55:O60" si="26">L55-I55</f>
        <v>0</v>
      </c>
      <c r="P55" s="138">
        <f t="shared" ref="P55:P60" si="27">N55-K55</f>
        <v>-8.3346898650520558</v>
      </c>
      <c r="Q55" s="139">
        <f t="shared" ref="Q55:Q60" si="28">N55/K55</f>
        <v>0.9033175975653962</v>
      </c>
      <c r="R55" s="309"/>
      <c r="S55" s="140">
        <v>0.20833333333333334</v>
      </c>
      <c r="T55" s="141">
        <v>0.52124999999999999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5"/>
      <c r="AB55" s="296"/>
      <c r="AC55" s="177">
        <f>SUM(AC39:AC54)</f>
        <v>0</v>
      </c>
      <c r="AD55" s="189">
        <f>SUM(AD39:AD54)</f>
        <v>0</v>
      </c>
      <c r="AE55" s="166">
        <f t="shared" ref="AE55:AE60" si="29">M55-J55</f>
        <v>-193.36480486920777</v>
      </c>
      <c r="AF55" s="139">
        <f t="shared" ref="AF55:AF60" si="30">M55/J55</f>
        <v>0.90331759756539609</v>
      </c>
      <c r="AG55" s="314"/>
    </row>
    <row r="56" spans="1:33" ht="15.75" customHeight="1">
      <c r="A56" s="301" t="s">
        <v>187</v>
      </c>
      <c r="B56" s="112" t="s">
        <v>194</v>
      </c>
      <c r="C56" s="385" t="s">
        <v>195</v>
      </c>
      <c r="D56" s="385"/>
      <c r="E56" s="145">
        <v>28.86</v>
      </c>
      <c r="F56" s="95">
        <v>1119</v>
      </c>
      <c r="G56" s="146">
        <f t="shared" ref="G56:G60" si="31">E56*F56</f>
        <v>32294.34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>F56/V56*60</f>
        <v>3193.9077202368771</v>
      </c>
      <c r="N56" s="150">
        <f t="shared" si="25"/>
        <v>177.43931779093762</v>
      </c>
      <c r="O56" s="152">
        <f t="shared" si="26"/>
        <v>0</v>
      </c>
      <c r="P56" s="153">
        <f t="shared" si="27"/>
        <v>-22.560682209062378</v>
      </c>
      <c r="Q56" s="154">
        <f t="shared" si="28"/>
        <v>0.88719658895468811</v>
      </c>
      <c r="R56" s="307">
        <f>Q72</f>
        <v>0.89638941527590932</v>
      </c>
      <c r="S56" s="155">
        <v>0.25</v>
      </c>
      <c r="T56" s="156">
        <v>0.26459490740740743</v>
      </c>
      <c r="U56" s="157"/>
      <c r="V56" s="158">
        <v>21.021271082628694</v>
      </c>
      <c r="W56" s="156"/>
      <c r="X56" s="167"/>
      <c r="Y56" s="12"/>
      <c r="Z56" s="196"/>
      <c r="AA56" s="310"/>
      <c r="AB56" s="311"/>
      <c r="AC56" s="12"/>
      <c r="AD56" s="196"/>
      <c r="AE56" s="113">
        <f t="shared" si="29"/>
        <v>-406.09227976312286</v>
      </c>
      <c r="AF56" s="154">
        <f t="shared" si="30"/>
        <v>0.88719658895468811</v>
      </c>
      <c r="AG56" s="312">
        <f>AF72</f>
        <v>0.89638941527590921</v>
      </c>
    </row>
    <row r="57" spans="1:33" ht="15.75" customHeight="1">
      <c r="A57" s="302"/>
      <c r="B57" s="98" t="s">
        <v>194</v>
      </c>
      <c r="C57" s="382" t="s">
        <v>210</v>
      </c>
      <c r="D57" s="382"/>
      <c r="E57" s="99">
        <v>36.729999999999997</v>
      </c>
      <c r="F57" s="100">
        <v>1299</v>
      </c>
      <c r="G57" s="101">
        <f t="shared" si="31"/>
        <v>47712.27</v>
      </c>
      <c r="H57" s="26"/>
      <c r="I57" s="102">
        <v>21</v>
      </c>
      <c r="J57" s="103">
        <v>3600</v>
      </c>
      <c r="K57" s="104">
        <f t="shared" ref="K57:K91" si="32">J57/I57</f>
        <v>171.42857142857142</v>
      </c>
      <c r="L57" s="105">
        <v>21</v>
      </c>
      <c r="M57" s="103">
        <f>F57/V57*60</f>
        <v>3192.7256053458132</v>
      </c>
      <c r="N57" s="104">
        <f t="shared" si="25"/>
        <v>152.0345526355149</v>
      </c>
      <c r="O57" s="106">
        <f t="shared" si="26"/>
        <v>0</v>
      </c>
      <c r="P57" s="107">
        <f t="shared" si="27"/>
        <v>-19.394018793056517</v>
      </c>
      <c r="Q57" s="108">
        <f t="shared" si="28"/>
        <v>0.88686822370717033</v>
      </c>
      <c r="R57" s="308"/>
      <c r="S57" s="46">
        <v>0.26805555555555555</v>
      </c>
      <c r="T57" s="47">
        <v>0.28499999999999998</v>
      </c>
      <c r="U57" s="109">
        <v>4.9833333333332863</v>
      </c>
      <c r="V57" s="110">
        <v>24.411743956166912</v>
      </c>
      <c r="W57" s="111"/>
      <c r="X57" s="114"/>
      <c r="Y57" s="12"/>
      <c r="Z57" s="196"/>
      <c r="AA57" s="299"/>
      <c r="AB57" s="300"/>
      <c r="AC57" s="12"/>
      <c r="AD57" s="196"/>
      <c r="AE57" s="115">
        <f t="shared" si="29"/>
        <v>-407.27439465418684</v>
      </c>
      <c r="AF57" s="108">
        <f t="shared" si="30"/>
        <v>0.88686822370717033</v>
      </c>
      <c r="AG57" s="313"/>
    </row>
    <row r="58" spans="1:33" ht="15.75" customHeight="1">
      <c r="A58" s="302"/>
      <c r="B58" s="98" t="s">
        <v>194</v>
      </c>
      <c r="C58" s="382" t="s">
        <v>197</v>
      </c>
      <c r="D58" s="382"/>
      <c r="E58" s="99">
        <v>37.799999999999997</v>
      </c>
      <c r="F58" s="100">
        <v>3958</v>
      </c>
      <c r="G58" s="101">
        <f t="shared" si="31"/>
        <v>149612.4</v>
      </c>
      <c r="H58" s="26"/>
      <c r="I58" s="102">
        <v>20</v>
      </c>
      <c r="J58" s="103">
        <v>3600</v>
      </c>
      <c r="K58" s="104">
        <f t="shared" si="32"/>
        <v>180</v>
      </c>
      <c r="L58" s="105">
        <v>20</v>
      </c>
      <c r="M58" s="103">
        <f>F58/V58*60</f>
        <v>3273.328918800416</v>
      </c>
      <c r="N58" s="104">
        <f t="shared" si="25"/>
        <v>163.66644594002079</v>
      </c>
      <c r="O58" s="106">
        <f t="shared" si="26"/>
        <v>0</v>
      </c>
      <c r="P58" s="107">
        <f t="shared" si="27"/>
        <v>-16.333554059979207</v>
      </c>
      <c r="Q58" s="108">
        <f t="shared" si="28"/>
        <v>0.90925803300011554</v>
      </c>
      <c r="R58" s="308"/>
      <c r="S58" s="46">
        <v>0.28819444444444442</v>
      </c>
      <c r="T58" s="47">
        <v>0.33856481481481482</v>
      </c>
      <c r="U58" s="109">
        <v>4.5999999999999996</v>
      </c>
      <c r="V58" s="110">
        <v>72.549996010492535</v>
      </c>
      <c r="W58" s="111"/>
      <c r="X58" s="114"/>
      <c r="Y58" s="12"/>
      <c r="Z58" s="196"/>
      <c r="AA58" s="299"/>
      <c r="AB58" s="300"/>
      <c r="AC58" s="12"/>
      <c r="AD58" s="196"/>
      <c r="AE58" s="115">
        <f t="shared" si="29"/>
        <v>-326.67108119958402</v>
      </c>
      <c r="AF58" s="108">
        <f t="shared" si="30"/>
        <v>0.90925803300011554</v>
      </c>
      <c r="AG58" s="313"/>
    </row>
    <row r="59" spans="1:33" ht="15.75" customHeight="1">
      <c r="A59" s="302"/>
      <c r="B59" s="98" t="s">
        <v>194</v>
      </c>
      <c r="C59" s="382" t="s">
        <v>196</v>
      </c>
      <c r="D59" s="382"/>
      <c r="E59" s="99">
        <v>38.479999999999997</v>
      </c>
      <c r="F59" s="100">
        <v>2637</v>
      </c>
      <c r="G59" s="101">
        <f t="shared" si="31"/>
        <v>101471.76</v>
      </c>
      <c r="H59" s="26"/>
      <c r="I59" s="102">
        <v>19</v>
      </c>
      <c r="J59" s="103">
        <v>3600</v>
      </c>
      <c r="K59" s="104">
        <f t="shared" si="32"/>
        <v>189.47368421052633</v>
      </c>
      <c r="L59" s="105">
        <v>19</v>
      </c>
      <c r="M59" s="103">
        <f>F59/V59*60</f>
        <v>3264.7987272866981</v>
      </c>
      <c r="N59" s="104">
        <f t="shared" si="25"/>
        <v>171.8315119624578</v>
      </c>
      <c r="O59" s="106">
        <f t="shared" si="26"/>
        <v>0</v>
      </c>
      <c r="P59" s="107">
        <f t="shared" si="27"/>
        <v>-17.642172248068533</v>
      </c>
      <c r="Q59" s="108">
        <f t="shared" si="28"/>
        <v>0.90688853535741609</v>
      </c>
      <c r="R59" s="308"/>
      <c r="S59" s="46">
        <v>0.34236111111111106</v>
      </c>
      <c r="T59" s="47">
        <v>0.37600694444444438</v>
      </c>
      <c r="U59" s="109">
        <v>5.4666666666665886</v>
      </c>
      <c r="V59" s="110">
        <v>48.462405561978741</v>
      </c>
      <c r="W59" s="111"/>
      <c r="X59" s="114"/>
      <c r="Y59" s="12"/>
      <c r="Z59" s="196"/>
      <c r="AA59" s="299"/>
      <c r="AB59" s="300"/>
      <c r="AC59" s="12"/>
      <c r="AD59" s="196"/>
      <c r="AE59" s="197">
        <f t="shared" si="29"/>
        <v>-335.20127271330193</v>
      </c>
      <c r="AF59" s="198">
        <f t="shared" si="30"/>
        <v>0.90688853535741609</v>
      </c>
      <c r="AG59" s="313"/>
    </row>
    <row r="60" spans="1:33" ht="15.75" customHeight="1">
      <c r="A60" s="303"/>
      <c r="B60" s="98" t="s">
        <v>166</v>
      </c>
      <c r="C60" s="382" t="s">
        <v>223</v>
      </c>
      <c r="D60" s="382"/>
      <c r="E60" s="99">
        <v>29.87</v>
      </c>
      <c r="F60" s="103">
        <v>4563</v>
      </c>
      <c r="G60" s="101">
        <f t="shared" si="31"/>
        <v>136296.81</v>
      </c>
      <c r="H60" s="13"/>
      <c r="I60" s="102">
        <v>21</v>
      </c>
      <c r="J60" s="103">
        <v>2790</v>
      </c>
      <c r="K60" s="104">
        <f t="shared" si="32"/>
        <v>132.85714285714286</v>
      </c>
      <c r="L60" s="105">
        <v>21</v>
      </c>
      <c r="M60" s="103">
        <f>F60/V60*60</f>
        <v>2484.1730769230767</v>
      </c>
      <c r="N60" s="104">
        <f t="shared" si="25"/>
        <v>118.29395604395603</v>
      </c>
      <c r="O60" s="106">
        <f t="shared" si="26"/>
        <v>0</v>
      </c>
      <c r="P60" s="107">
        <f t="shared" si="27"/>
        <v>-14.563186813186832</v>
      </c>
      <c r="Q60" s="108">
        <f t="shared" si="28"/>
        <v>0.89038461538461522</v>
      </c>
      <c r="R60" s="308"/>
      <c r="S60" s="46">
        <v>0.37986111111111104</v>
      </c>
      <c r="T60" s="47">
        <v>0.45638888888888884</v>
      </c>
      <c r="U60" s="109">
        <v>5.5499999999999883</v>
      </c>
      <c r="V60" s="110">
        <v>110.20971225527765</v>
      </c>
      <c r="W60" s="111"/>
      <c r="X60" s="114"/>
      <c r="Y60" s="12"/>
      <c r="Z60" s="196"/>
      <c r="AA60" s="299"/>
      <c r="AB60" s="300"/>
      <c r="AC60" s="12"/>
      <c r="AD60" s="196"/>
      <c r="AE60" s="197">
        <f t="shared" si="29"/>
        <v>-305.82692307692332</v>
      </c>
      <c r="AF60" s="198">
        <f t="shared" si="30"/>
        <v>0.89038461538461533</v>
      </c>
      <c r="AG60" s="313"/>
    </row>
    <row r="61" spans="1:33" ht="15.75" customHeight="1">
      <c r="A61" s="303"/>
      <c r="B61" s="98"/>
      <c r="C61" s="382"/>
      <c r="D61" s="382"/>
      <c r="E61" s="99"/>
      <c r="F61" s="103"/>
      <c r="G61" s="119"/>
      <c r="H61" s="120"/>
      <c r="I61" s="102"/>
      <c r="J61" s="103"/>
      <c r="K61" s="104"/>
      <c r="L61" s="105"/>
      <c r="M61" s="103"/>
      <c r="N61" s="104"/>
      <c r="O61" s="106"/>
      <c r="P61" s="107"/>
      <c r="Q61" s="108"/>
      <c r="R61" s="308"/>
      <c r="S61" s="46"/>
      <c r="T61" s="118"/>
      <c r="U61" s="109"/>
      <c r="V61" s="110"/>
      <c r="W61" s="111"/>
      <c r="X61" s="114"/>
      <c r="Y61" s="12"/>
      <c r="Z61" s="196"/>
      <c r="AA61" s="299"/>
      <c r="AB61" s="300"/>
      <c r="AC61" s="12"/>
      <c r="AD61" s="196"/>
      <c r="AE61" s="197"/>
      <c r="AF61" s="198"/>
      <c r="AG61" s="313"/>
    </row>
    <row r="62" spans="1:33" ht="15.75" customHeight="1">
      <c r="A62" s="303"/>
      <c r="B62" s="98"/>
      <c r="C62" s="382"/>
      <c r="D62" s="382"/>
      <c r="E62" s="99"/>
      <c r="F62" s="103"/>
      <c r="G62" s="119"/>
      <c r="H62" s="60"/>
      <c r="I62" s="102"/>
      <c r="J62" s="103"/>
      <c r="K62" s="104"/>
      <c r="L62" s="105"/>
      <c r="M62" s="103"/>
      <c r="N62" s="104"/>
      <c r="O62" s="121"/>
      <c r="P62" s="122"/>
      <c r="Q62" s="123"/>
      <c r="R62" s="308"/>
      <c r="S62" s="46"/>
      <c r="T62" s="118"/>
      <c r="U62" s="109"/>
      <c r="V62" s="110"/>
      <c r="W62" s="111"/>
      <c r="X62" s="114"/>
      <c r="Y62" s="12"/>
      <c r="Z62" s="196"/>
      <c r="AA62" s="299"/>
      <c r="AB62" s="300"/>
      <c r="AC62" s="12"/>
      <c r="AD62" s="196"/>
      <c r="AE62" s="197"/>
      <c r="AF62" s="198"/>
      <c r="AG62" s="313"/>
    </row>
    <row r="63" spans="1:33" ht="15.75" customHeight="1">
      <c r="A63" s="303"/>
      <c r="B63" s="98"/>
      <c r="C63" s="382"/>
      <c r="D63" s="382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8"/>
      <c r="S63" s="46"/>
      <c r="T63" s="118"/>
      <c r="U63" s="109"/>
      <c r="V63" s="110"/>
      <c r="W63" s="111"/>
      <c r="X63" s="114"/>
      <c r="Y63" s="12"/>
      <c r="Z63" s="196"/>
      <c r="AA63" s="299"/>
      <c r="AB63" s="300"/>
      <c r="AC63" s="12"/>
      <c r="AD63" s="196"/>
      <c r="AE63" s="197"/>
      <c r="AF63" s="198"/>
      <c r="AG63" s="313"/>
    </row>
    <row r="64" spans="1:33" ht="15.75" customHeight="1">
      <c r="A64" s="303"/>
      <c r="B64" s="98"/>
      <c r="C64" s="382"/>
      <c r="D64" s="382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8"/>
      <c r="S64" s="46"/>
      <c r="T64" s="118"/>
      <c r="U64" s="109"/>
      <c r="V64" s="110"/>
      <c r="W64" s="111"/>
      <c r="X64" s="114"/>
      <c r="Y64" s="12"/>
      <c r="Z64" s="196"/>
      <c r="AA64" s="299"/>
      <c r="AB64" s="300"/>
      <c r="AC64" s="12"/>
      <c r="AD64" s="196"/>
      <c r="AE64" s="197"/>
      <c r="AF64" s="198"/>
      <c r="AG64" s="313"/>
    </row>
    <row r="65" spans="1:33" ht="15.75" customHeight="1">
      <c r="A65" s="303"/>
      <c r="B65" s="98"/>
      <c r="C65" s="382"/>
      <c r="D65" s="382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8"/>
      <c r="S65" s="46"/>
      <c r="T65" s="118"/>
      <c r="U65" s="109"/>
      <c r="V65" s="110"/>
      <c r="W65" s="111"/>
      <c r="X65" s="114"/>
      <c r="Y65" s="12"/>
      <c r="Z65" s="196"/>
      <c r="AA65" s="299"/>
      <c r="AB65" s="300"/>
      <c r="AC65" s="12"/>
      <c r="AD65" s="196"/>
      <c r="AE65" s="197"/>
      <c r="AF65" s="198"/>
      <c r="AG65" s="313"/>
    </row>
    <row r="66" spans="1:33" ht="15.75" customHeight="1">
      <c r="A66" s="303"/>
      <c r="B66" s="98"/>
      <c r="C66" s="382"/>
      <c r="D66" s="382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8"/>
      <c r="S66" s="46"/>
      <c r="T66" s="118"/>
      <c r="U66" s="109"/>
      <c r="V66" s="110"/>
      <c r="W66" s="111"/>
      <c r="X66" s="114"/>
      <c r="Y66" s="12"/>
      <c r="Z66" s="196"/>
      <c r="AA66" s="299"/>
      <c r="AB66" s="300"/>
      <c r="AC66" s="12"/>
      <c r="AD66" s="196"/>
      <c r="AE66" s="197"/>
      <c r="AF66" s="198"/>
      <c r="AG66" s="313"/>
    </row>
    <row r="67" spans="1:33" ht="15.75" customHeight="1">
      <c r="A67" s="303"/>
      <c r="B67" s="98"/>
      <c r="C67" s="382"/>
      <c r="D67" s="382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8"/>
      <c r="S67" s="46"/>
      <c r="T67" s="118"/>
      <c r="U67" s="109"/>
      <c r="V67" s="110"/>
      <c r="W67" s="111"/>
      <c r="X67" s="114"/>
      <c r="Y67" s="12"/>
      <c r="Z67" s="196"/>
      <c r="AA67" s="299"/>
      <c r="AB67" s="300"/>
      <c r="AC67" s="12"/>
      <c r="AD67" s="196"/>
      <c r="AE67" s="197"/>
      <c r="AF67" s="198"/>
      <c r="AG67" s="313"/>
    </row>
    <row r="68" spans="1:33" ht="15.75" customHeight="1">
      <c r="A68" s="303"/>
      <c r="B68" s="98"/>
      <c r="C68" s="382"/>
      <c r="D68" s="382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8"/>
      <c r="S68" s="46"/>
      <c r="T68" s="118"/>
      <c r="U68" s="109"/>
      <c r="V68" s="110"/>
      <c r="W68" s="111"/>
      <c r="X68" s="114"/>
      <c r="Y68" s="12"/>
      <c r="Z68" s="196"/>
      <c r="AA68" s="299"/>
      <c r="AB68" s="300"/>
      <c r="AC68" s="12"/>
      <c r="AD68" s="196"/>
      <c r="AE68" s="197"/>
      <c r="AF68" s="198"/>
      <c r="AG68" s="313"/>
    </row>
    <row r="69" spans="1:33" ht="15.75" customHeight="1">
      <c r="A69" s="303"/>
      <c r="B69" s="98"/>
      <c r="C69" s="382"/>
      <c r="D69" s="382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8"/>
      <c r="S69" s="46"/>
      <c r="T69" s="118"/>
      <c r="U69" s="109"/>
      <c r="V69" s="110"/>
      <c r="W69" s="111"/>
      <c r="X69" s="114"/>
      <c r="Y69" s="12"/>
      <c r="Z69" s="196"/>
      <c r="AA69" s="299"/>
      <c r="AB69" s="300"/>
      <c r="AC69" s="12"/>
      <c r="AD69" s="196"/>
      <c r="AE69" s="197"/>
      <c r="AF69" s="198"/>
      <c r="AG69" s="313"/>
    </row>
    <row r="70" spans="1:33" ht="15.75" customHeight="1">
      <c r="A70" s="303"/>
      <c r="B70" s="98"/>
      <c r="C70" s="382"/>
      <c r="D70" s="382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8"/>
      <c r="S70" s="46"/>
      <c r="T70" s="118"/>
      <c r="U70" s="109"/>
      <c r="V70" s="110"/>
      <c r="W70" s="111"/>
      <c r="X70" s="114"/>
      <c r="Y70" s="12"/>
      <c r="Z70" s="196"/>
      <c r="AA70" s="299"/>
      <c r="AB70" s="300"/>
      <c r="AC70" s="12"/>
      <c r="AD70" s="196"/>
      <c r="AE70" s="197"/>
      <c r="AF70" s="198"/>
      <c r="AG70" s="313"/>
    </row>
    <row r="71" spans="1:33" ht="15.75" customHeight="1">
      <c r="A71" s="303"/>
      <c r="B71" s="98"/>
      <c r="C71" s="382"/>
      <c r="D71" s="382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8"/>
      <c r="S71" s="117"/>
      <c r="T71" s="118"/>
      <c r="U71" s="128"/>
      <c r="V71" s="129"/>
      <c r="W71" s="124"/>
      <c r="X71" s="125"/>
      <c r="Y71" s="12"/>
      <c r="Z71" s="196"/>
      <c r="AA71" s="299"/>
      <c r="AB71" s="300"/>
      <c r="AC71" s="12"/>
      <c r="AD71" s="196"/>
      <c r="AE71" s="163"/>
      <c r="AF71" s="123"/>
      <c r="AG71" s="313"/>
    </row>
    <row r="72" spans="1:33" ht="15.75" customHeight="1" thickBot="1">
      <c r="A72" s="304"/>
      <c r="B72" s="131" t="s">
        <v>115</v>
      </c>
      <c r="C72" s="294"/>
      <c r="D72" s="294"/>
      <c r="E72" s="132"/>
      <c r="F72" s="165"/>
      <c r="G72" s="133"/>
      <c r="H72" s="67"/>
      <c r="I72" s="134">
        <f t="shared" ref="I72:J72" si="33">AVERAGE(I56:I71)</f>
        <v>19.8</v>
      </c>
      <c r="J72" s="135">
        <f t="shared" si="33"/>
        <v>3438</v>
      </c>
      <c r="K72" s="136">
        <f t="shared" ref="K72:K77" si="34">J72/I72</f>
        <v>173.63636363636363</v>
      </c>
      <c r="L72" s="134">
        <f t="shared" ref="L72:M72" si="35">AVERAGE(L56:L71)</f>
        <v>19.8</v>
      </c>
      <c r="M72" s="135">
        <f t="shared" si="35"/>
        <v>3081.786809718576</v>
      </c>
      <c r="N72" s="136">
        <f t="shared" ref="N72:N77" si="36">M72/L72</f>
        <v>155.64579847063516</v>
      </c>
      <c r="O72" s="137">
        <f t="shared" ref="O72:O77" si="37">L72-I72</f>
        <v>0</v>
      </c>
      <c r="P72" s="138">
        <f t="shared" ref="P72:P77" si="38">N72-K72</f>
        <v>-17.990565165728469</v>
      </c>
      <c r="Q72" s="139">
        <f t="shared" ref="Q72:Q77" si="39">N72/K72</f>
        <v>0.89638941527590932</v>
      </c>
      <c r="R72" s="309"/>
      <c r="S72" s="140">
        <v>0.25</v>
      </c>
      <c r="T72" s="141">
        <v>0.45638888888888884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5"/>
      <c r="AB72" s="296"/>
      <c r="AC72" s="177">
        <f>SUM(AC56:AC71)</f>
        <v>0</v>
      </c>
      <c r="AD72" s="189">
        <f>SUM(AD56:AD71)</f>
        <v>0</v>
      </c>
      <c r="AE72" s="166">
        <f t="shared" ref="AE72:AE77" si="40">M72-J72</f>
        <v>-356.21319028142398</v>
      </c>
      <c r="AF72" s="139">
        <f t="shared" ref="AF72:AF77" si="41">M72/J72</f>
        <v>0.89638941527590921</v>
      </c>
      <c r="AG72" s="314"/>
    </row>
    <row r="73" spans="1:33" ht="15.75" customHeight="1">
      <c r="A73" s="315" t="s">
        <v>116</v>
      </c>
      <c r="B73" s="98" t="s">
        <v>188</v>
      </c>
      <c r="C73" s="297" t="s">
        <v>222</v>
      </c>
      <c r="D73" s="298"/>
      <c r="E73" s="99">
        <v>22.83</v>
      </c>
      <c r="F73" s="100">
        <v>1312</v>
      </c>
      <c r="G73" s="119">
        <f t="shared" ref="G73:G77" si="42">E73*F73</f>
        <v>29952.959999999999</v>
      </c>
      <c r="H73" s="60"/>
      <c r="I73" s="102">
        <v>6</v>
      </c>
      <c r="J73" s="103">
        <v>2500</v>
      </c>
      <c r="K73" s="104">
        <f t="shared" si="34"/>
        <v>416.66666666666669</v>
      </c>
      <c r="L73" s="105">
        <v>6</v>
      </c>
      <c r="M73" s="103">
        <f>F73/V73*60</f>
        <v>2263.5006740308686</v>
      </c>
      <c r="N73" s="104">
        <f t="shared" si="36"/>
        <v>377.25011233847812</v>
      </c>
      <c r="O73" s="121">
        <f t="shared" si="37"/>
        <v>0</v>
      </c>
      <c r="P73" s="122">
        <f t="shared" si="38"/>
        <v>-39.416554328188568</v>
      </c>
      <c r="Q73" s="123">
        <f t="shared" si="39"/>
        <v>0.90540026961234743</v>
      </c>
      <c r="R73" s="307">
        <f>Q89</f>
        <v>0.8690721541943115</v>
      </c>
      <c r="S73" s="46">
        <v>0.34513888888888888</v>
      </c>
      <c r="T73" s="118">
        <v>0.36928240740740742</v>
      </c>
      <c r="U73" s="109">
        <v>4.9999999999999822</v>
      </c>
      <c r="V73" s="110">
        <v>34.777988318339887</v>
      </c>
      <c r="W73" s="111"/>
      <c r="X73" s="114"/>
      <c r="Y73" s="12"/>
      <c r="Z73" s="196"/>
      <c r="AA73" s="310"/>
      <c r="AB73" s="311"/>
      <c r="AC73" s="12"/>
      <c r="AD73" s="196"/>
      <c r="AE73" s="113">
        <f t="shared" si="40"/>
        <v>-236.49932596913141</v>
      </c>
      <c r="AF73" s="154">
        <f t="shared" si="41"/>
        <v>0.90540026961234743</v>
      </c>
      <c r="AG73" s="312">
        <f>AF89</f>
        <v>0.8690721541943115</v>
      </c>
    </row>
    <row r="74" spans="1:33" ht="15.75" customHeight="1">
      <c r="A74" s="316"/>
      <c r="B74" s="98" t="s">
        <v>188</v>
      </c>
      <c r="C74" s="297" t="s">
        <v>214</v>
      </c>
      <c r="D74" s="298"/>
      <c r="E74" s="99">
        <v>23.19</v>
      </c>
      <c r="F74" s="100">
        <v>607</v>
      </c>
      <c r="G74" s="119">
        <f t="shared" si="42"/>
        <v>14076.33</v>
      </c>
      <c r="H74" s="60"/>
      <c r="I74" s="102">
        <v>6</v>
      </c>
      <c r="J74" s="103">
        <v>2500</v>
      </c>
      <c r="K74" s="104">
        <f t="shared" si="34"/>
        <v>416.66666666666669</v>
      </c>
      <c r="L74" s="116">
        <v>6</v>
      </c>
      <c r="M74" s="103">
        <f>F74/V74*60</f>
        <v>2265.3385259439265</v>
      </c>
      <c r="N74" s="104">
        <f t="shared" si="36"/>
        <v>377.55642099065443</v>
      </c>
      <c r="O74" s="121">
        <f t="shared" si="37"/>
        <v>0</v>
      </c>
      <c r="P74" s="122">
        <f t="shared" si="38"/>
        <v>-39.110245676012255</v>
      </c>
      <c r="Q74" s="123">
        <f t="shared" si="39"/>
        <v>0.90613541037757062</v>
      </c>
      <c r="R74" s="308"/>
      <c r="S74" s="46">
        <v>0.37291666666666667</v>
      </c>
      <c r="T74" s="118">
        <v>0.38407407407407407</v>
      </c>
      <c r="U74" s="109">
        <v>5.2333333333333254</v>
      </c>
      <c r="V74" s="110">
        <v>16.077067326979058</v>
      </c>
      <c r="W74" s="111"/>
      <c r="X74" s="114"/>
      <c r="Y74" s="12"/>
      <c r="Z74" s="196"/>
      <c r="AA74" s="299"/>
      <c r="AB74" s="300"/>
      <c r="AC74" s="12"/>
      <c r="AD74" s="196"/>
      <c r="AE74" s="115">
        <f t="shared" si="40"/>
        <v>-234.66147405607353</v>
      </c>
      <c r="AF74" s="108">
        <f t="shared" si="41"/>
        <v>0.90613541037757062</v>
      </c>
      <c r="AG74" s="313"/>
    </row>
    <row r="75" spans="1:33" ht="15.75" customHeight="1">
      <c r="A75" s="316"/>
      <c r="B75" s="98" t="s">
        <v>188</v>
      </c>
      <c r="C75" s="297" t="s">
        <v>233</v>
      </c>
      <c r="D75" s="298"/>
      <c r="E75" s="99">
        <v>30.84</v>
      </c>
      <c r="F75" s="100">
        <v>3912</v>
      </c>
      <c r="G75" s="119">
        <f t="shared" si="42"/>
        <v>120646.08</v>
      </c>
      <c r="H75" s="60">
        <v>2</v>
      </c>
      <c r="I75" s="102">
        <v>6</v>
      </c>
      <c r="J75" s="103">
        <v>3273</v>
      </c>
      <c r="K75" s="104">
        <f t="shared" si="34"/>
        <v>545.5</v>
      </c>
      <c r="L75" s="116">
        <v>6</v>
      </c>
      <c r="M75" s="103">
        <f>F75/V75*60</f>
        <v>2690.9999999999995</v>
      </c>
      <c r="N75" s="104">
        <f t="shared" si="36"/>
        <v>448.49999999999994</v>
      </c>
      <c r="O75" s="121">
        <f t="shared" si="37"/>
        <v>0</v>
      </c>
      <c r="P75" s="122">
        <f t="shared" si="38"/>
        <v>-97.000000000000057</v>
      </c>
      <c r="Q75" s="123">
        <f t="shared" si="39"/>
        <v>0.82218148487626019</v>
      </c>
      <c r="R75" s="308"/>
      <c r="S75" s="46">
        <v>0.38819444444444445</v>
      </c>
      <c r="T75" s="118">
        <v>0.44876157407407408</v>
      </c>
      <c r="U75" s="109">
        <v>5.9333333333333549</v>
      </c>
      <c r="V75" s="110">
        <v>87.224080267558534</v>
      </c>
      <c r="W75" s="111"/>
      <c r="X75" s="125"/>
      <c r="Y75" s="12"/>
      <c r="Z75" s="196"/>
      <c r="AA75" s="299"/>
      <c r="AB75" s="300"/>
      <c r="AC75" s="12"/>
      <c r="AD75" s="196"/>
      <c r="AE75" s="115">
        <f t="shared" si="40"/>
        <v>-582.00000000000045</v>
      </c>
      <c r="AF75" s="108">
        <f t="shared" si="41"/>
        <v>0.82218148487626019</v>
      </c>
      <c r="AG75" s="313"/>
    </row>
    <row r="76" spans="1:33" ht="15.75" customHeight="1">
      <c r="A76" s="316"/>
      <c r="B76" s="98" t="s">
        <v>188</v>
      </c>
      <c r="C76" s="297" t="s">
        <v>215</v>
      </c>
      <c r="D76" s="298"/>
      <c r="E76" s="99">
        <v>35.89</v>
      </c>
      <c r="F76" s="100">
        <v>1828</v>
      </c>
      <c r="G76" s="119">
        <f t="shared" si="42"/>
        <v>65606.92</v>
      </c>
      <c r="H76" s="60"/>
      <c r="I76" s="102">
        <v>5</v>
      </c>
      <c r="J76" s="103">
        <v>3273</v>
      </c>
      <c r="K76" s="104">
        <f t="shared" si="34"/>
        <v>654.6</v>
      </c>
      <c r="L76" s="116">
        <v>5</v>
      </c>
      <c r="M76" s="103">
        <f>F76/V76*60</f>
        <v>2960.560139187297</v>
      </c>
      <c r="N76" s="104">
        <f t="shared" si="36"/>
        <v>592.11202783745944</v>
      </c>
      <c r="O76" s="121">
        <f t="shared" si="37"/>
        <v>0</v>
      </c>
      <c r="P76" s="122">
        <f t="shared" si="38"/>
        <v>-62.487972162540586</v>
      </c>
      <c r="Q76" s="123">
        <f t="shared" si="39"/>
        <v>0.90454021973336296</v>
      </c>
      <c r="R76" s="308"/>
      <c r="S76" s="46">
        <v>0.45208333333333334</v>
      </c>
      <c r="T76" s="118">
        <v>0.47780092592592593</v>
      </c>
      <c r="U76" s="109">
        <v>4.783333333333335</v>
      </c>
      <c r="V76" s="110">
        <v>37.047043411895778</v>
      </c>
      <c r="W76" s="111">
        <v>0.47780092592592593</v>
      </c>
      <c r="X76" s="114">
        <v>0.51666666666666672</v>
      </c>
      <c r="Y76" s="12"/>
      <c r="Z76" s="196"/>
      <c r="AA76" s="299"/>
      <c r="AB76" s="300"/>
      <c r="AC76" s="12"/>
      <c r="AD76" s="196"/>
      <c r="AE76" s="115">
        <f t="shared" si="40"/>
        <v>-312.43986081270305</v>
      </c>
      <c r="AF76" s="108">
        <f t="shared" si="41"/>
        <v>0.90454021973336296</v>
      </c>
      <c r="AG76" s="313"/>
    </row>
    <row r="77" spans="1:33" ht="15.75" customHeight="1">
      <c r="A77" s="316"/>
      <c r="B77" s="98" t="s">
        <v>188</v>
      </c>
      <c r="C77" s="297" t="s">
        <v>233</v>
      </c>
      <c r="D77" s="298"/>
      <c r="E77" s="99">
        <v>30.84</v>
      </c>
      <c r="F77" s="100">
        <v>4919</v>
      </c>
      <c r="G77" s="119">
        <f t="shared" si="42"/>
        <v>151701.96</v>
      </c>
      <c r="H77" s="60"/>
      <c r="I77" s="102">
        <v>6</v>
      </c>
      <c r="J77" s="103">
        <v>3273</v>
      </c>
      <c r="K77" s="104">
        <f t="shared" si="34"/>
        <v>545.5</v>
      </c>
      <c r="L77" s="116">
        <v>6</v>
      </c>
      <c r="M77" s="103">
        <f>F77/V77*60</f>
        <v>2698.380913843409</v>
      </c>
      <c r="N77" s="104">
        <f t="shared" si="36"/>
        <v>449.73015230723485</v>
      </c>
      <c r="O77" s="121">
        <f t="shared" si="37"/>
        <v>0</v>
      </c>
      <c r="P77" s="122">
        <f t="shared" si="38"/>
        <v>-95.769847692765154</v>
      </c>
      <c r="Q77" s="123">
        <f t="shared" si="39"/>
        <v>0.82443657618191535</v>
      </c>
      <c r="R77" s="308"/>
      <c r="S77" s="46">
        <v>0.51666666666666672</v>
      </c>
      <c r="T77" s="118">
        <v>0.59261574074074075</v>
      </c>
      <c r="U77" s="109">
        <v>55.966666666666725</v>
      </c>
      <c r="V77" s="110">
        <v>109.376700111483</v>
      </c>
      <c r="W77" s="111"/>
      <c r="X77" s="125"/>
      <c r="Y77" s="12"/>
      <c r="Z77" s="196"/>
      <c r="AA77" s="299"/>
      <c r="AB77" s="300"/>
      <c r="AC77" s="12"/>
      <c r="AD77" s="196"/>
      <c r="AE77" s="115">
        <f t="shared" si="40"/>
        <v>-574.61908615659104</v>
      </c>
      <c r="AF77" s="108">
        <f t="shared" si="41"/>
        <v>0.82443657618191535</v>
      </c>
      <c r="AG77" s="313"/>
    </row>
    <row r="78" spans="1:33" ht="15.75" customHeight="1">
      <c r="A78" s="316"/>
      <c r="B78" s="98"/>
      <c r="C78" s="297"/>
      <c r="D78" s="298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8"/>
      <c r="S78" s="46"/>
      <c r="T78" s="118"/>
      <c r="U78" s="109"/>
      <c r="V78" s="110"/>
      <c r="W78" s="111"/>
      <c r="X78" s="114"/>
      <c r="Y78" s="12"/>
      <c r="Z78" s="196"/>
      <c r="AA78" s="299"/>
      <c r="AB78" s="300"/>
      <c r="AC78" s="12"/>
      <c r="AD78" s="196"/>
      <c r="AE78" s="115"/>
      <c r="AF78" s="108"/>
      <c r="AG78" s="313"/>
    </row>
    <row r="79" spans="1:33" ht="15.75" customHeight="1">
      <c r="A79" s="316"/>
      <c r="B79" s="98"/>
      <c r="C79" s="297"/>
      <c r="D79" s="298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8"/>
      <c r="S79" s="46"/>
      <c r="T79" s="118"/>
      <c r="U79" s="109"/>
      <c r="V79" s="110"/>
      <c r="W79" s="111"/>
      <c r="X79" s="114"/>
      <c r="Y79" s="12"/>
      <c r="Z79" s="196"/>
      <c r="AA79" s="299"/>
      <c r="AB79" s="300"/>
      <c r="AC79" s="12"/>
      <c r="AD79" s="196"/>
      <c r="AE79" s="115"/>
      <c r="AF79" s="108"/>
      <c r="AG79" s="313"/>
    </row>
    <row r="80" spans="1:33" ht="15.75" customHeight="1">
      <c r="A80" s="316"/>
      <c r="B80" s="98"/>
      <c r="C80" s="297"/>
      <c r="D80" s="298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8"/>
      <c r="S80" s="46"/>
      <c r="T80" s="118"/>
      <c r="U80" s="109"/>
      <c r="V80" s="110"/>
      <c r="W80" s="111"/>
      <c r="X80" s="114"/>
      <c r="Y80" s="12"/>
      <c r="Z80" s="196"/>
      <c r="AA80" s="299"/>
      <c r="AB80" s="300"/>
      <c r="AC80" s="12"/>
      <c r="AD80" s="196"/>
      <c r="AE80" s="115"/>
      <c r="AF80" s="108"/>
      <c r="AG80" s="313"/>
    </row>
    <row r="81" spans="1:33" ht="15.75" customHeight="1">
      <c r="A81" s="316"/>
      <c r="B81" s="98"/>
      <c r="C81" s="297"/>
      <c r="D81" s="298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8"/>
      <c r="S81" s="46"/>
      <c r="T81" s="118"/>
      <c r="U81" s="109"/>
      <c r="V81" s="110"/>
      <c r="W81" s="111"/>
      <c r="X81" s="125"/>
      <c r="Y81" s="12"/>
      <c r="Z81" s="196"/>
      <c r="AA81" s="299"/>
      <c r="AB81" s="300"/>
      <c r="AC81" s="12"/>
      <c r="AD81" s="196"/>
      <c r="AE81" s="115"/>
      <c r="AF81" s="108"/>
      <c r="AG81" s="313"/>
    </row>
    <row r="82" spans="1:33" ht="15.75" customHeight="1">
      <c r="A82" s="316"/>
      <c r="B82" s="98"/>
      <c r="C82" s="297"/>
      <c r="D82" s="298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8"/>
      <c r="S82" s="46"/>
      <c r="T82" s="118"/>
      <c r="U82" s="109"/>
      <c r="V82" s="110"/>
      <c r="W82" s="111"/>
      <c r="X82" s="114"/>
      <c r="Y82" s="12"/>
      <c r="Z82" s="196"/>
      <c r="AA82" s="299"/>
      <c r="AB82" s="300"/>
      <c r="AC82" s="12"/>
      <c r="AD82" s="196"/>
      <c r="AE82" s="115"/>
      <c r="AF82" s="108"/>
      <c r="AG82" s="313"/>
    </row>
    <row r="83" spans="1:33" ht="15.75" customHeight="1">
      <c r="A83" s="316"/>
      <c r="B83" s="98"/>
      <c r="C83" s="297"/>
      <c r="D83" s="298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8"/>
      <c r="S83" s="46"/>
      <c r="T83" s="118"/>
      <c r="U83" s="109"/>
      <c r="V83" s="110"/>
      <c r="W83" s="111"/>
      <c r="X83" s="125"/>
      <c r="Y83" s="12"/>
      <c r="Z83" s="196"/>
      <c r="AA83" s="299"/>
      <c r="AB83" s="300"/>
      <c r="AC83" s="12"/>
      <c r="AD83" s="196"/>
      <c r="AE83" s="115"/>
      <c r="AF83" s="108"/>
      <c r="AG83" s="313"/>
    </row>
    <row r="84" spans="1:33" ht="15.75" customHeight="1">
      <c r="A84" s="316"/>
      <c r="B84" s="98"/>
      <c r="C84" s="297"/>
      <c r="D84" s="298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8"/>
      <c r="S84" s="46"/>
      <c r="T84" s="118"/>
      <c r="U84" s="109"/>
      <c r="V84" s="110"/>
      <c r="W84" s="111"/>
      <c r="X84" s="125"/>
      <c r="Y84" s="12"/>
      <c r="Z84" s="196"/>
      <c r="AA84" s="299"/>
      <c r="AB84" s="300"/>
      <c r="AC84" s="12"/>
      <c r="AD84" s="196"/>
      <c r="AE84" s="115"/>
      <c r="AF84" s="108"/>
      <c r="AG84" s="313"/>
    </row>
    <row r="85" spans="1:33" ht="15.75" customHeight="1">
      <c r="A85" s="316"/>
      <c r="B85" s="98"/>
      <c r="C85" s="297"/>
      <c r="D85" s="298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8"/>
      <c r="S85" s="46"/>
      <c r="T85" s="118"/>
      <c r="U85" s="109"/>
      <c r="V85" s="110"/>
      <c r="W85" s="111"/>
      <c r="X85" s="125"/>
      <c r="Y85" s="12"/>
      <c r="Z85" s="196"/>
      <c r="AA85" s="299"/>
      <c r="AB85" s="300"/>
      <c r="AC85" s="12"/>
      <c r="AD85" s="196"/>
      <c r="AE85" s="115"/>
      <c r="AF85" s="108"/>
      <c r="AG85" s="313"/>
    </row>
    <row r="86" spans="1:33" ht="15.75" customHeight="1">
      <c r="A86" s="316"/>
      <c r="B86" s="98"/>
      <c r="C86" s="297"/>
      <c r="D86" s="298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8"/>
      <c r="S86" s="46"/>
      <c r="T86" s="118"/>
      <c r="U86" s="109"/>
      <c r="V86" s="110"/>
      <c r="W86" s="111"/>
      <c r="X86" s="125"/>
      <c r="Y86" s="12"/>
      <c r="Z86" s="196"/>
      <c r="AA86" s="299"/>
      <c r="AB86" s="300"/>
      <c r="AC86" s="12"/>
      <c r="AD86" s="196"/>
      <c r="AE86" s="115"/>
      <c r="AF86" s="108"/>
      <c r="AG86" s="313"/>
    </row>
    <row r="87" spans="1:33" ht="15.75" customHeight="1">
      <c r="A87" s="316"/>
      <c r="B87" s="98"/>
      <c r="C87" s="297"/>
      <c r="D87" s="298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8"/>
      <c r="S87" s="46"/>
      <c r="T87" s="118"/>
      <c r="U87" s="109"/>
      <c r="V87" s="110"/>
      <c r="W87" s="111"/>
      <c r="X87" s="125"/>
      <c r="Y87" s="12"/>
      <c r="Z87" s="196"/>
      <c r="AA87" s="299"/>
      <c r="AB87" s="300"/>
      <c r="AC87" s="12"/>
      <c r="AD87" s="196"/>
      <c r="AE87" s="115"/>
      <c r="AF87" s="108"/>
      <c r="AG87" s="313"/>
    </row>
    <row r="88" spans="1:33" ht="15.75" customHeight="1">
      <c r="A88" s="316"/>
      <c r="B88" s="161"/>
      <c r="C88" s="297"/>
      <c r="D88" s="298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8"/>
      <c r="S88" s="117"/>
      <c r="T88" s="118"/>
      <c r="U88" s="128"/>
      <c r="V88" s="129"/>
      <c r="W88" s="124"/>
      <c r="X88" s="125"/>
      <c r="Y88" s="12"/>
      <c r="Z88" s="196"/>
      <c r="AA88" s="299"/>
      <c r="AB88" s="300"/>
      <c r="AC88" s="12"/>
      <c r="AD88" s="196"/>
      <c r="AE88" s="163"/>
      <c r="AF88" s="123"/>
      <c r="AG88" s="313"/>
    </row>
    <row r="89" spans="1:33" ht="15.75" customHeight="1" thickBot="1">
      <c r="A89" s="317"/>
      <c r="B89" s="131" t="s">
        <v>115</v>
      </c>
      <c r="C89" s="294"/>
      <c r="D89" s="294"/>
      <c r="E89" s="132"/>
      <c r="F89" s="165"/>
      <c r="G89" s="133"/>
      <c r="H89" s="67"/>
      <c r="I89" s="134">
        <f t="shared" ref="I89:J89" si="43">AVERAGE(I73:I88)</f>
        <v>5.8</v>
      </c>
      <c r="J89" s="135">
        <f t="shared" si="43"/>
        <v>2963.8</v>
      </c>
      <c r="K89" s="136">
        <f t="shared" ref="K89" si="44">J89/I89</f>
        <v>511.00000000000006</v>
      </c>
      <c r="L89" s="134">
        <f t="shared" ref="L89:M89" si="45">AVERAGE(L73:L88)</f>
        <v>5.8</v>
      </c>
      <c r="M89" s="135">
        <f t="shared" si="45"/>
        <v>2575.7560506011005</v>
      </c>
      <c r="N89" s="136">
        <f>M89/L89</f>
        <v>444.09587079329322</v>
      </c>
      <c r="O89" s="137">
        <f>L89-I89</f>
        <v>0</v>
      </c>
      <c r="P89" s="138">
        <f>N89-K89</f>
        <v>-66.904129206706841</v>
      </c>
      <c r="Q89" s="139">
        <f>N89/K89</f>
        <v>0.8690721541943115</v>
      </c>
      <c r="R89" s="309"/>
      <c r="S89" s="140">
        <v>0.20833333333333334</v>
      </c>
      <c r="T89" s="141">
        <v>0.59261574074074075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5"/>
      <c r="AB89" s="296"/>
      <c r="AC89" s="177">
        <f>SUM(AC73:AC88)</f>
        <v>0</v>
      </c>
      <c r="AD89" s="189">
        <f>SUM(AD73:AD88)</f>
        <v>0</v>
      </c>
      <c r="AE89" s="166">
        <f>M89-J89</f>
        <v>-388.04394939889971</v>
      </c>
      <c r="AF89" s="139">
        <f>M89/J89</f>
        <v>0.8690721541943115</v>
      </c>
      <c r="AG89" s="314"/>
    </row>
    <row r="90" spans="1:33" ht="15.75" customHeight="1">
      <c r="A90" s="301" t="s">
        <v>120</v>
      </c>
      <c r="B90" s="112" t="s">
        <v>188</v>
      </c>
      <c r="C90" s="305" t="s">
        <v>201</v>
      </c>
      <c r="D90" s="306"/>
      <c r="E90" s="145">
        <v>15.51</v>
      </c>
      <c r="F90" s="95">
        <v>2164</v>
      </c>
      <c r="G90" s="146">
        <f t="shared" ref="G90:G91" si="46">E90*F90</f>
        <v>33563.64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3802.9098834130496</v>
      </c>
      <c r="N90" s="150">
        <f>M90/L90</f>
        <v>633.81831390217496</v>
      </c>
      <c r="O90" s="152">
        <f>L90-I90</f>
        <v>0</v>
      </c>
      <c r="P90" s="153">
        <f>N90-K90</f>
        <v>-66.181686097825036</v>
      </c>
      <c r="Q90" s="154">
        <f>N90/K90</f>
        <v>0.90545473414596422</v>
      </c>
      <c r="R90" s="307">
        <f>Q106</f>
        <v>0.90538040185190249</v>
      </c>
      <c r="S90" s="155">
        <v>0.25</v>
      </c>
      <c r="T90" s="156">
        <v>0.27370370370370373</v>
      </c>
      <c r="U90" s="157"/>
      <c r="V90" s="158">
        <v>34.142276304341642</v>
      </c>
      <c r="W90" s="156"/>
      <c r="X90" s="167"/>
      <c r="Y90" s="12"/>
      <c r="Z90" s="196"/>
      <c r="AA90" s="310"/>
      <c r="AB90" s="311"/>
      <c r="AC90" s="12"/>
      <c r="AD90" s="196"/>
      <c r="AE90" s="113">
        <f>M90-J90</f>
        <v>-397.09011658695044</v>
      </c>
      <c r="AF90" s="154">
        <f>M90/J90</f>
        <v>0.90545473414596422</v>
      </c>
      <c r="AG90" s="312">
        <f>AF106</f>
        <v>0.90538040185190249</v>
      </c>
    </row>
    <row r="91" spans="1:33" ht="15.75" customHeight="1">
      <c r="A91" s="302"/>
      <c r="B91" s="98" t="s">
        <v>188</v>
      </c>
      <c r="C91" s="297" t="s">
        <v>202</v>
      </c>
      <c r="D91" s="298"/>
      <c r="E91" s="99">
        <v>15.01</v>
      </c>
      <c r="F91" s="100">
        <v>2236</v>
      </c>
      <c r="G91" s="101">
        <f t="shared" si="46"/>
        <v>33562.36</v>
      </c>
      <c r="H91" s="26"/>
      <c r="I91" s="102">
        <v>6</v>
      </c>
      <c r="J91" s="103">
        <v>4200</v>
      </c>
      <c r="K91" s="104">
        <f t="shared" si="32"/>
        <v>700</v>
      </c>
      <c r="L91" s="105">
        <v>6</v>
      </c>
      <c r="M91" s="103">
        <f>F91/V91*60</f>
        <v>3802.2854921429307</v>
      </c>
      <c r="N91" s="104">
        <f>M91/L91</f>
        <v>633.71424869048849</v>
      </c>
      <c r="O91" s="106">
        <f>L91-I91</f>
        <v>0</v>
      </c>
      <c r="P91" s="107">
        <f>N91-K91</f>
        <v>-66.285751309511511</v>
      </c>
      <c r="Q91" s="108">
        <f>N91/K91</f>
        <v>0.90530606955784065</v>
      </c>
      <c r="R91" s="308"/>
      <c r="S91" s="46">
        <v>0.27777777777777779</v>
      </c>
      <c r="T91" s="47">
        <v>0.30228009259259259</v>
      </c>
      <c r="U91" s="109">
        <v>5.8666666666666512</v>
      </c>
      <c r="V91" s="110">
        <v>35.284041736799921</v>
      </c>
      <c r="W91" s="111"/>
      <c r="X91" s="13"/>
      <c r="Y91" s="12"/>
      <c r="Z91" s="196"/>
      <c r="AA91" s="299"/>
      <c r="AB91" s="300"/>
      <c r="AC91" s="12"/>
      <c r="AD91" s="196"/>
      <c r="AE91" s="115">
        <f>M91-J91</f>
        <v>-397.71450785706929</v>
      </c>
      <c r="AF91" s="108">
        <f>M91/J91</f>
        <v>0.90530606955784065</v>
      </c>
      <c r="AG91" s="313"/>
    </row>
    <row r="92" spans="1:33" ht="15.75" customHeight="1">
      <c r="A92" s="302"/>
      <c r="B92" s="98"/>
      <c r="C92" s="297"/>
      <c r="D92" s="298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8"/>
      <c r="S92" s="46"/>
      <c r="T92" s="47"/>
      <c r="U92" s="109"/>
      <c r="V92" s="110"/>
      <c r="W92" s="111"/>
      <c r="X92" s="13"/>
      <c r="Y92" s="12"/>
      <c r="Z92" s="196"/>
      <c r="AA92" s="299"/>
      <c r="AB92" s="300"/>
      <c r="AC92" s="12"/>
      <c r="AD92" s="196"/>
      <c r="AE92" s="115"/>
      <c r="AF92" s="108"/>
      <c r="AG92" s="313"/>
    </row>
    <row r="93" spans="1:33" ht="15.75" customHeight="1">
      <c r="A93" s="302"/>
      <c r="B93" s="98"/>
      <c r="C93" s="297"/>
      <c r="D93" s="298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8"/>
      <c r="S93" s="46"/>
      <c r="T93" s="47"/>
      <c r="U93" s="109"/>
      <c r="V93" s="110"/>
      <c r="W93" s="111"/>
      <c r="X93" s="114"/>
      <c r="Y93" s="12"/>
      <c r="Z93" s="196"/>
      <c r="AA93" s="299"/>
      <c r="AB93" s="300"/>
      <c r="AC93" s="12"/>
      <c r="AD93" s="196"/>
      <c r="AE93" s="115"/>
      <c r="AF93" s="108"/>
      <c r="AG93" s="313"/>
    </row>
    <row r="94" spans="1:33" ht="15.75" customHeight="1">
      <c r="A94" s="303"/>
      <c r="B94" s="98"/>
      <c r="C94" s="297"/>
      <c r="D94" s="298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8"/>
      <c r="S94" s="46"/>
      <c r="T94" s="47"/>
      <c r="U94" s="109"/>
      <c r="V94" s="110"/>
      <c r="W94" s="111"/>
      <c r="X94" s="13"/>
      <c r="Y94" s="12"/>
      <c r="Z94" s="196"/>
      <c r="AA94" s="299"/>
      <c r="AB94" s="300"/>
      <c r="AC94" s="12"/>
      <c r="AD94" s="196"/>
      <c r="AE94" s="115"/>
      <c r="AF94" s="108"/>
      <c r="AG94" s="313"/>
    </row>
    <row r="95" spans="1:33" ht="15.75" customHeight="1">
      <c r="A95" s="303"/>
      <c r="B95" s="98"/>
      <c r="C95" s="297"/>
      <c r="D95" s="298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8"/>
      <c r="S95" s="46"/>
      <c r="T95" s="118"/>
      <c r="U95" s="109"/>
      <c r="V95" s="110"/>
      <c r="W95" s="111"/>
      <c r="X95" s="49"/>
      <c r="Y95" s="12"/>
      <c r="Z95" s="196"/>
      <c r="AA95" s="299"/>
      <c r="AB95" s="300"/>
      <c r="AC95" s="12"/>
      <c r="AD95" s="196"/>
      <c r="AE95" s="115"/>
      <c r="AF95" s="108"/>
      <c r="AG95" s="313"/>
    </row>
    <row r="96" spans="1:33" ht="15.75" customHeight="1">
      <c r="A96" s="303"/>
      <c r="B96" s="98"/>
      <c r="C96" s="297"/>
      <c r="D96" s="298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8"/>
      <c r="S96" s="46"/>
      <c r="T96" s="118"/>
      <c r="U96" s="109"/>
      <c r="V96" s="110"/>
      <c r="W96" s="111"/>
      <c r="X96" s="114"/>
      <c r="Y96" s="12"/>
      <c r="Z96" s="196"/>
      <c r="AA96" s="299"/>
      <c r="AB96" s="300"/>
      <c r="AC96" s="12"/>
      <c r="AD96" s="196"/>
      <c r="AE96" s="115"/>
      <c r="AF96" s="108"/>
      <c r="AG96" s="313"/>
    </row>
    <row r="97" spans="1:33" ht="15.75" customHeight="1">
      <c r="A97" s="303"/>
      <c r="B97" s="98"/>
      <c r="C97" s="297"/>
      <c r="D97" s="298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8"/>
      <c r="S97" s="46"/>
      <c r="T97" s="118"/>
      <c r="U97" s="109"/>
      <c r="V97" s="110"/>
      <c r="W97" s="111"/>
      <c r="X97" s="114"/>
      <c r="Y97" s="12"/>
      <c r="Z97" s="196"/>
      <c r="AA97" s="299"/>
      <c r="AB97" s="300"/>
      <c r="AC97" s="12"/>
      <c r="AD97" s="196"/>
      <c r="AE97" s="115"/>
      <c r="AF97" s="108"/>
      <c r="AG97" s="313"/>
    </row>
    <row r="98" spans="1:33" ht="15.75" customHeight="1">
      <c r="A98" s="303"/>
      <c r="B98" s="98"/>
      <c r="C98" s="297"/>
      <c r="D98" s="298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8"/>
      <c r="S98" s="117"/>
      <c r="T98" s="118"/>
      <c r="U98" s="109"/>
      <c r="V98" s="129"/>
      <c r="W98" s="111"/>
      <c r="X98" s="114"/>
      <c r="Y98" s="12"/>
      <c r="Z98" s="196"/>
      <c r="AA98" s="299"/>
      <c r="AB98" s="300"/>
      <c r="AC98" s="12"/>
      <c r="AD98" s="196"/>
      <c r="AE98" s="115"/>
      <c r="AF98" s="108"/>
      <c r="AG98" s="313"/>
    </row>
    <row r="99" spans="1:33" ht="15.75" customHeight="1">
      <c r="A99" s="303"/>
      <c r="B99" s="98"/>
      <c r="C99" s="297"/>
      <c r="D99" s="298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8"/>
      <c r="S99" s="117"/>
      <c r="T99" s="118"/>
      <c r="U99" s="109"/>
      <c r="V99" s="129"/>
      <c r="W99" s="124"/>
      <c r="X99" s="125"/>
      <c r="Y99" s="12"/>
      <c r="Z99" s="196"/>
      <c r="AA99" s="299"/>
      <c r="AB99" s="300"/>
      <c r="AC99" s="12"/>
      <c r="AD99" s="196"/>
      <c r="AE99" s="115"/>
      <c r="AF99" s="108"/>
      <c r="AG99" s="313"/>
    </row>
    <row r="100" spans="1:33" ht="15.75" customHeight="1">
      <c r="A100" s="303"/>
      <c r="B100" s="98"/>
      <c r="C100" s="297"/>
      <c r="D100" s="298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8"/>
      <c r="S100" s="117"/>
      <c r="T100" s="118"/>
      <c r="U100" s="109"/>
      <c r="V100" s="129"/>
      <c r="W100" s="124"/>
      <c r="X100" s="125"/>
      <c r="Y100" s="12"/>
      <c r="Z100" s="196"/>
      <c r="AA100" s="299"/>
      <c r="AB100" s="300"/>
      <c r="AC100" s="12"/>
      <c r="AD100" s="196"/>
      <c r="AE100" s="115"/>
      <c r="AF100" s="108"/>
      <c r="AG100" s="313"/>
    </row>
    <row r="101" spans="1:33" ht="15.75" customHeight="1">
      <c r="A101" s="303"/>
      <c r="B101" s="98"/>
      <c r="C101" s="297"/>
      <c r="D101" s="298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8"/>
      <c r="S101" s="117"/>
      <c r="T101" s="118"/>
      <c r="U101" s="109"/>
      <c r="V101" s="129"/>
      <c r="W101" s="124"/>
      <c r="X101" s="125"/>
      <c r="Y101" s="12"/>
      <c r="Z101" s="196"/>
      <c r="AA101" s="299"/>
      <c r="AB101" s="300"/>
      <c r="AC101" s="12"/>
      <c r="AD101" s="196"/>
      <c r="AE101" s="115"/>
      <c r="AF101" s="108"/>
      <c r="AG101" s="313"/>
    </row>
    <row r="102" spans="1:33" ht="15.75" customHeight="1">
      <c r="A102" s="303"/>
      <c r="B102" s="98"/>
      <c r="C102" s="297"/>
      <c r="D102" s="298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8"/>
      <c r="S102" s="117"/>
      <c r="T102" s="118"/>
      <c r="U102" s="109"/>
      <c r="V102" s="129"/>
      <c r="W102" s="124"/>
      <c r="X102" s="125"/>
      <c r="Y102" s="12"/>
      <c r="Z102" s="196"/>
      <c r="AA102" s="299"/>
      <c r="AB102" s="300"/>
      <c r="AC102" s="12"/>
      <c r="AD102" s="196"/>
      <c r="AE102" s="115"/>
      <c r="AF102" s="108"/>
      <c r="AG102" s="313"/>
    </row>
    <row r="103" spans="1:33" ht="15.75" customHeight="1">
      <c r="A103" s="303"/>
      <c r="B103" s="98"/>
      <c r="C103" s="297"/>
      <c r="D103" s="298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8"/>
      <c r="S103" s="117"/>
      <c r="T103" s="118"/>
      <c r="U103" s="109"/>
      <c r="V103" s="129"/>
      <c r="W103" s="124"/>
      <c r="X103" s="125"/>
      <c r="Y103" s="12"/>
      <c r="Z103" s="196"/>
      <c r="AA103" s="299"/>
      <c r="AB103" s="300"/>
      <c r="AC103" s="12"/>
      <c r="AD103" s="196"/>
      <c r="AE103" s="115"/>
      <c r="AF103" s="108"/>
      <c r="AG103" s="313"/>
    </row>
    <row r="104" spans="1:33" ht="15.75" customHeight="1">
      <c r="A104" s="303"/>
      <c r="B104" s="98"/>
      <c r="C104" s="297"/>
      <c r="D104" s="298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8"/>
      <c r="S104" s="117"/>
      <c r="T104" s="118"/>
      <c r="U104" s="109"/>
      <c r="V104" s="129"/>
      <c r="W104" s="124"/>
      <c r="X104" s="125"/>
      <c r="Y104" s="12"/>
      <c r="Z104" s="196"/>
      <c r="AA104" s="299"/>
      <c r="AB104" s="300"/>
      <c r="AC104" s="12"/>
      <c r="AD104" s="196"/>
      <c r="AE104" s="115"/>
      <c r="AF104" s="108"/>
      <c r="AG104" s="313"/>
    </row>
    <row r="105" spans="1:33" ht="15.75" customHeight="1">
      <c r="A105" s="303"/>
      <c r="B105" s="98"/>
      <c r="C105" s="297"/>
      <c r="D105" s="298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8"/>
      <c r="S105" s="117"/>
      <c r="T105" s="118"/>
      <c r="U105" s="128"/>
      <c r="V105" s="129"/>
      <c r="W105" s="124"/>
      <c r="X105" s="125"/>
      <c r="Y105" s="12"/>
      <c r="Z105" s="196"/>
      <c r="AA105" s="299"/>
      <c r="AB105" s="300"/>
      <c r="AC105" s="12"/>
      <c r="AD105" s="196"/>
      <c r="AE105" s="163"/>
      <c r="AF105" s="123"/>
      <c r="AG105" s="313"/>
    </row>
    <row r="106" spans="1:33" ht="15.75" customHeight="1" thickBot="1">
      <c r="A106" s="304"/>
      <c r="B106" s="131" t="s">
        <v>115</v>
      </c>
      <c r="C106" s="294"/>
      <c r="D106" s="294"/>
      <c r="E106" s="132"/>
      <c r="F106" s="165"/>
      <c r="G106" s="133"/>
      <c r="H106" s="67"/>
      <c r="I106" s="134">
        <f t="shared" ref="I106:J106" si="47">AVERAGE(I90:I105)</f>
        <v>6</v>
      </c>
      <c r="J106" s="135">
        <f t="shared" si="47"/>
        <v>4200</v>
      </c>
      <c r="K106" s="136">
        <f t="shared" ref="K106" si="48">J106/I106</f>
        <v>700</v>
      </c>
      <c r="L106" s="134">
        <f t="shared" ref="L106:M106" si="49">AVERAGE(L90:L105)</f>
        <v>6</v>
      </c>
      <c r="M106" s="135">
        <f t="shared" si="49"/>
        <v>3802.5976877779904</v>
      </c>
      <c r="N106" s="136">
        <f>M106/L106</f>
        <v>633.76628129633173</v>
      </c>
      <c r="O106" s="137">
        <f>L106-I106</f>
        <v>0</v>
      </c>
      <c r="P106" s="138">
        <f>N106-K106</f>
        <v>-66.233718703668274</v>
      </c>
      <c r="Q106" s="139">
        <f>N106/K106</f>
        <v>0.90538040185190249</v>
      </c>
      <c r="R106" s="309"/>
      <c r="S106" s="140">
        <v>0.25</v>
      </c>
      <c r="T106" s="141">
        <v>0.30228009259259259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5"/>
      <c r="AB106" s="296"/>
      <c r="AC106" s="177">
        <f>SUM(AC90:AC105)</f>
        <v>0</v>
      </c>
      <c r="AD106" s="189">
        <f>SUM(AD90:AD105)</f>
        <v>0</v>
      </c>
      <c r="AE106" s="166">
        <f>M106-J106</f>
        <v>-397.40231222200964</v>
      </c>
      <c r="AF106" s="139">
        <f>M106/J106</f>
        <v>0.90538040185190249</v>
      </c>
      <c r="AG106" s="314"/>
    </row>
    <row r="107" spans="1:33" ht="15.75" customHeight="1">
      <c r="A107" s="315" t="s">
        <v>189</v>
      </c>
      <c r="B107" s="144" t="s">
        <v>169</v>
      </c>
      <c r="C107" s="305" t="s">
        <v>198</v>
      </c>
      <c r="D107" s="306"/>
      <c r="E107" s="145">
        <v>58.17</v>
      </c>
      <c r="F107" s="95">
        <v>1550</v>
      </c>
      <c r="G107" s="146">
        <f t="shared" ref="G107:G109" si="50">E107*F107</f>
        <v>90163.5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1805.6</v>
      </c>
      <c r="N107" s="150">
        <f>M107/L107</f>
        <v>106.21176470588235</v>
      </c>
      <c r="O107" s="152">
        <f>L107-I107</f>
        <v>-1</v>
      </c>
      <c r="P107" s="153">
        <f>N107-K107</f>
        <v>-4.8993464052287692</v>
      </c>
      <c r="Q107" s="154">
        <f>N107/K107</f>
        <v>0.95590588235294105</v>
      </c>
      <c r="R107" s="307">
        <f>Q123</f>
        <v>0.95137499999999997</v>
      </c>
      <c r="S107" s="155">
        <v>0.70833333333333337</v>
      </c>
      <c r="T107" s="156">
        <v>0.7440972222222223</v>
      </c>
      <c r="U107" s="157"/>
      <c r="V107" s="158">
        <v>51.50642445724413</v>
      </c>
      <c r="W107" s="156"/>
      <c r="X107" s="167"/>
      <c r="Y107" s="194"/>
      <c r="Z107" s="195"/>
      <c r="AA107" s="310"/>
      <c r="AB107" s="311"/>
      <c r="AC107" s="194"/>
      <c r="AD107" s="195"/>
      <c r="AE107" s="113">
        <f>M107-J107</f>
        <v>-194.40000000000009</v>
      </c>
      <c r="AF107" s="154">
        <f>M107/J107</f>
        <v>0.90279999999999994</v>
      </c>
      <c r="AG107" s="312">
        <f>AF123</f>
        <v>0.90300000000000002</v>
      </c>
    </row>
    <row r="108" spans="1:33" ht="15.75" customHeight="1">
      <c r="A108" s="316"/>
      <c r="B108" s="161" t="s">
        <v>169</v>
      </c>
      <c r="C108" s="297" t="s">
        <v>190</v>
      </c>
      <c r="D108" s="298"/>
      <c r="E108" s="99">
        <v>50.67</v>
      </c>
      <c r="F108" s="100">
        <v>1862</v>
      </c>
      <c r="G108" s="101">
        <f t="shared" si="50"/>
        <v>94347.540000000008</v>
      </c>
      <c r="H108" s="26"/>
      <c r="I108" s="102">
        <v>20</v>
      </c>
      <c r="J108" s="103">
        <v>2000</v>
      </c>
      <c r="K108" s="104">
        <f t="shared" ref="K108:K109" si="51">J108/I108</f>
        <v>100</v>
      </c>
      <c r="L108" s="105">
        <v>19</v>
      </c>
      <c r="M108" s="103">
        <f>F108/V108*60</f>
        <v>1806.4</v>
      </c>
      <c r="N108" s="104">
        <f>M108/L108</f>
        <v>95.073684210526324</v>
      </c>
      <c r="O108" s="106">
        <f>L108-I108</f>
        <v>-1</v>
      </c>
      <c r="P108" s="107">
        <f>N108-K108</f>
        <v>-4.9263157894736764</v>
      </c>
      <c r="Q108" s="108">
        <f>N108/K108</f>
        <v>0.95073684210526321</v>
      </c>
      <c r="R108" s="308"/>
      <c r="S108" s="46">
        <v>0.74791666666666667</v>
      </c>
      <c r="T108" s="47">
        <v>0.79085648148148147</v>
      </c>
      <c r="U108" s="109">
        <v>5.4999999999999005</v>
      </c>
      <c r="V108" s="110">
        <v>61.846767050487152</v>
      </c>
      <c r="W108" s="111"/>
      <c r="X108" s="114"/>
      <c r="Y108" s="12"/>
      <c r="Z108" s="196"/>
      <c r="AA108" s="299"/>
      <c r="AB108" s="300"/>
      <c r="AC108" s="12"/>
      <c r="AD108" s="196"/>
      <c r="AE108" s="115">
        <f>M108-J108</f>
        <v>-193.59999999999991</v>
      </c>
      <c r="AF108" s="108">
        <f>M108/J108</f>
        <v>0.9032</v>
      </c>
      <c r="AG108" s="313"/>
    </row>
    <row r="109" spans="1:33" ht="15.75" customHeight="1">
      <c r="A109" s="316"/>
      <c r="B109" s="161" t="s">
        <v>169</v>
      </c>
      <c r="C109" s="297" t="s">
        <v>205</v>
      </c>
      <c r="D109" s="298"/>
      <c r="E109" s="99">
        <v>57.3</v>
      </c>
      <c r="F109" s="100">
        <v>1241</v>
      </c>
      <c r="G109" s="101">
        <f t="shared" si="50"/>
        <v>71109.3</v>
      </c>
      <c r="H109" s="26"/>
      <c r="I109" s="102">
        <v>21</v>
      </c>
      <c r="J109" s="103">
        <v>2000</v>
      </c>
      <c r="K109" s="104">
        <f t="shared" si="51"/>
        <v>95.238095238095241</v>
      </c>
      <c r="L109" s="105">
        <v>20</v>
      </c>
      <c r="M109" s="103">
        <f>F109/V109*60</f>
        <v>1806</v>
      </c>
      <c r="N109" s="104">
        <f>M109/L109</f>
        <v>90.3</v>
      </c>
      <c r="O109" s="106">
        <f>L109-I109</f>
        <v>-1</v>
      </c>
      <c r="P109" s="107">
        <f>N109-K109</f>
        <v>-4.9380952380952436</v>
      </c>
      <c r="Q109" s="108">
        <f>N109/K109</f>
        <v>0.94814999999999994</v>
      </c>
      <c r="R109" s="308"/>
      <c r="S109" s="46">
        <v>0.79374999999999996</v>
      </c>
      <c r="T109" s="47">
        <v>0.82237268518518514</v>
      </c>
      <c r="U109" s="109">
        <v>5</v>
      </c>
      <c r="V109" s="110">
        <v>41.229235880398669</v>
      </c>
      <c r="W109" s="111"/>
      <c r="X109" s="114"/>
      <c r="Y109" s="12"/>
      <c r="Z109" s="196"/>
      <c r="AA109" s="299"/>
      <c r="AB109" s="300"/>
      <c r="AC109" s="12"/>
      <c r="AD109" s="196"/>
      <c r="AE109" s="115">
        <f>M109-J109</f>
        <v>-194</v>
      </c>
      <c r="AF109" s="108">
        <f>M109/J109</f>
        <v>0.90300000000000002</v>
      </c>
      <c r="AG109" s="313"/>
    </row>
    <row r="110" spans="1:33" ht="15.75" customHeight="1">
      <c r="A110" s="316"/>
      <c r="B110" s="161"/>
      <c r="C110" s="297"/>
      <c r="D110" s="298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8"/>
      <c r="S110" s="46"/>
      <c r="T110" s="47"/>
      <c r="U110" s="109"/>
      <c r="V110" s="110"/>
      <c r="W110" s="111"/>
      <c r="X110" s="114"/>
      <c r="Y110" s="12"/>
      <c r="Z110" s="196"/>
      <c r="AA110" s="299"/>
      <c r="AB110" s="300"/>
      <c r="AC110" s="12"/>
      <c r="AD110" s="196"/>
      <c r="AE110" s="115"/>
      <c r="AF110" s="108"/>
      <c r="AG110" s="313"/>
    </row>
    <row r="111" spans="1:33" ht="15.75" customHeight="1">
      <c r="A111" s="316"/>
      <c r="B111" s="161"/>
      <c r="C111" s="297"/>
      <c r="D111" s="298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8"/>
      <c r="S111" s="46"/>
      <c r="T111" s="47"/>
      <c r="U111" s="109"/>
      <c r="V111" s="110"/>
      <c r="W111" s="111"/>
      <c r="X111" s="114"/>
      <c r="Y111" s="12"/>
      <c r="Z111" s="196"/>
      <c r="AA111" s="299"/>
      <c r="AB111" s="300"/>
      <c r="AC111" s="12"/>
      <c r="AD111" s="196"/>
      <c r="AE111" s="115"/>
      <c r="AF111" s="108"/>
      <c r="AG111" s="313"/>
    </row>
    <row r="112" spans="1:33" ht="15.75" customHeight="1">
      <c r="A112" s="316"/>
      <c r="B112" s="161"/>
      <c r="C112" s="297"/>
      <c r="D112" s="298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8"/>
      <c r="S112" s="46"/>
      <c r="T112" s="118"/>
      <c r="U112" s="109"/>
      <c r="V112" s="110"/>
      <c r="W112" s="111"/>
      <c r="X112" s="114"/>
      <c r="Y112" s="12"/>
      <c r="Z112" s="196"/>
      <c r="AA112" s="299"/>
      <c r="AB112" s="300"/>
      <c r="AC112" s="12"/>
      <c r="AD112" s="196"/>
      <c r="AE112" s="115"/>
      <c r="AF112" s="108"/>
      <c r="AG112" s="313"/>
    </row>
    <row r="113" spans="1:33" ht="15.75" customHeight="1">
      <c r="A113" s="316"/>
      <c r="B113" s="161"/>
      <c r="C113" s="297"/>
      <c r="D113" s="298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8"/>
      <c r="S113" s="117"/>
      <c r="T113" s="118"/>
      <c r="U113" s="109"/>
      <c r="V113" s="110"/>
      <c r="W113" s="118"/>
      <c r="X113" s="187"/>
      <c r="Y113" s="12"/>
      <c r="Z113" s="196"/>
      <c r="AA113" s="299"/>
      <c r="AB113" s="300"/>
      <c r="AC113" s="12"/>
      <c r="AD113" s="196"/>
      <c r="AE113" s="115"/>
      <c r="AF113" s="108"/>
      <c r="AG113" s="313"/>
    </row>
    <row r="114" spans="1:33" ht="15.75" customHeight="1">
      <c r="A114" s="316"/>
      <c r="B114" s="161"/>
      <c r="C114" s="297"/>
      <c r="D114" s="298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8"/>
      <c r="S114" s="117"/>
      <c r="T114" s="118"/>
      <c r="U114" s="109"/>
      <c r="V114" s="110"/>
      <c r="W114" s="118"/>
      <c r="X114" s="187"/>
      <c r="Y114" s="12"/>
      <c r="Z114" s="196"/>
      <c r="AA114" s="299"/>
      <c r="AB114" s="300"/>
      <c r="AC114" s="12"/>
      <c r="AD114" s="196"/>
      <c r="AE114" s="115"/>
      <c r="AF114" s="108"/>
      <c r="AG114" s="313"/>
    </row>
    <row r="115" spans="1:33" ht="15.75" customHeight="1">
      <c r="A115" s="316"/>
      <c r="B115" s="161"/>
      <c r="C115" s="297"/>
      <c r="D115" s="298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8"/>
      <c r="S115" s="117"/>
      <c r="T115" s="118"/>
      <c r="U115" s="109"/>
      <c r="V115" s="110"/>
      <c r="W115" s="118"/>
      <c r="X115" s="187"/>
      <c r="Y115" s="12"/>
      <c r="Z115" s="196"/>
      <c r="AA115" s="299"/>
      <c r="AB115" s="300"/>
      <c r="AC115" s="12"/>
      <c r="AD115" s="196"/>
      <c r="AE115" s="115"/>
      <c r="AF115" s="108"/>
      <c r="AG115" s="313"/>
    </row>
    <row r="116" spans="1:33" ht="15.75" customHeight="1">
      <c r="A116" s="316"/>
      <c r="B116" s="161"/>
      <c r="C116" s="297"/>
      <c r="D116" s="298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8"/>
      <c r="S116" s="117"/>
      <c r="T116" s="118"/>
      <c r="U116" s="109"/>
      <c r="V116" s="110"/>
      <c r="W116" s="118"/>
      <c r="X116" s="187"/>
      <c r="Y116" s="12"/>
      <c r="Z116" s="196"/>
      <c r="AA116" s="299"/>
      <c r="AB116" s="300"/>
      <c r="AC116" s="12"/>
      <c r="AD116" s="196"/>
      <c r="AE116" s="115"/>
      <c r="AF116" s="108"/>
      <c r="AG116" s="313"/>
    </row>
    <row r="117" spans="1:33" ht="15.75" customHeight="1">
      <c r="A117" s="316"/>
      <c r="B117" s="161"/>
      <c r="C117" s="297"/>
      <c r="D117" s="298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8"/>
      <c r="S117" s="117"/>
      <c r="T117" s="118"/>
      <c r="U117" s="109"/>
      <c r="V117" s="110"/>
      <c r="W117" s="118"/>
      <c r="X117" s="187"/>
      <c r="Y117" s="12"/>
      <c r="Z117" s="196"/>
      <c r="AA117" s="299"/>
      <c r="AB117" s="300"/>
      <c r="AC117" s="12"/>
      <c r="AD117" s="196"/>
      <c r="AE117" s="115"/>
      <c r="AF117" s="108"/>
      <c r="AG117" s="313"/>
    </row>
    <row r="118" spans="1:33" ht="15.75" customHeight="1">
      <c r="A118" s="316"/>
      <c r="B118" s="161"/>
      <c r="C118" s="297"/>
      <c r="D118" s="298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8"/>
      <c r="S118" s="117"/>
      <c r="T118" s="118"/>
      <c r="U118" s="109"/>
      <c r="V118" s="110"/>
      <c r="W118" s="118"/>
      <c r="X118" s="187"/>
      <c r="Y118" s="12"/>
      <c r="Z118" s="196"/>
      <c r="AA118" s="299"/>
      <c r="AB118" s="300"/>
      <c r="AC118" s="12"/>
      <c r="AD118" s="196"/>
      <c r="AE118" s="115"/>
      <c r="AF118" s="108"/>
      <c r="AG118" s="313"/>
    </row>
    <row r="119" spans="1:33" ht="15.75" customHeight="1">
      <c r="A119" s="316"/>
      <c r="B119" s="161"/>
      <c r="C119" s="297"/>
      <c r="D119" s="298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8"/>
      <c r="S119" s="117"/>
      <c r="T119" s="118"/>
      <c r="U119" s="109"/>
      <c r="V119" s="110"/>
      <c r="W119" s="118"/>
      <c r="X119" s="187"/>
      <c r="Y119" s="12"/>
      <c r="Z119" s="196"/>
      <c r="AA119" s="299"/>
      <c r="AB119" s="300"/>
      <c r="AC119" s="12"/>
      <c r="AD119" s="196"/>
      <c r="AE119" s="115"/>
      <c r="AF119" s="108"/>
      <c r="AG119" s="313"/>
    </row>
    <row r="120" spans="1:33" ht="15.75" customHeight="1">
      <c r="A120" s="316"/>
      <c r="B120" s="161"/>
      <c r="C120" s="297"/>
      <c r="D120" s="298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8"/>
      <c r="S120" s="117"/>
      <c r="T120" s="118"/>
      <c r="U120" s="109"/>
      <c r="V120" s="110"/>
      <c r="W120" s="118"/>
      <c r="X120" s="187"/>
      <c r="Y120" s="12"/>
      <c r="Z120" s="196"/>
      <c r="AA120" s="299"/>
      <c r="AB120" s="300"/>
      <c r="AC120" s="12"/>
      <c r="AD120" s="196"/>
      <c r="AE120" s="115"/>
      <c r="AF120" s="108"/>
      <c r="AG120" s="313"/>
    </row>
    <row r="121" spans="1:33" ht="15.75" customHeight="1">
      <c r="A121" s="316"/>
      <c r="B121" s="161"/>
      <c r="C121" s="297"/>
      <c r="D121" s="298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8"/>
      <c r="S121" s="117"/>
      <c r="T121" s="118"/>
      <c r="U121" s="109"/>
      <c r="V121" s="110"/>
      <c r="W121" s="118"/>
      <c r="X121" s="187"/>
      <c r="Y121" s="12"/>
      <c r="Z121" s="196"/>
      <c r="AA121" s="299"/>
      <c r="AB121" s="300"/>
      <c r="AC121" s="12"/>
      <c r="AD121" s="196"/>
      <c r="AE121" s="115"/>
      <c r="AF121" s="108"/>
      <c r="AG121" s="313"/>
    </row>
    <row r="122" spans="1:33" ht="15.75" customHeight="1">
      <c r="A122" s="316"/>
      <c r="B122" s="161"/>
      <c r="C122" s="297"/>
      <c r="D122" s="298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8"/>
      <c r="S122" s="117"/>
      <c r="T122" s="118"/>
      <c r="U122" s="128"/>
      <c r="V122" s="129"/>
      <c r="W122" s="124"/>
      <c r="X122" s="125"/>
      <c r="Y122" s="12"/>
      <c r="Z122" s="196"/>
      <c r="AA122" s="299"/>
      <c r="AB122" s="300"/>
      <c r="AC122" s="12"/>
      <c r="AD122" s="196"/>
      <c r="AE122" s="163"/>
      <c r="AF122" s="123"/>
      <c r="AG122" s="313"/>
    </row>
    <row r="123" spans="1:33" ht="15.75" customHeight="1" thickBot="1">
      <c r="A123" s="317"/>
      <c r="B123" s="131" t="s">
        <v>115</v>
      </c>
      <c r="C123" s="294"/>
      <c r="D123" s="294"/>
      <c r="E123" s="132"/>
      <c r="F123" s="165"/>
      <c r="G123" s="133"/>
      <c r="H123" s="67"/>
      <c r="I123" s="134">
        <f t="shared" ref="I123:J123" si="52">AVERAGE(I107:I122)</f>
        <v>19.666666666666668</v>
      </c>
      <c r="J123" s="135">
        <f t="shared" si="52"/>
        <v>2000</v>
      </c>
      <c r="K123" s="136">
        <f t="shared" ref="K123" si="53">J123/I123</f>
        <v>101.69491525423729</v>
      </c>
      <c r="L123" s="134">
        <f t="shared" ref="L123:M123" si="54">AVERAGE(L107:L122)</f>
        <v>18.666666666666668</v>
      </c>
      <c r="M123" s="135">
        <f t="shared" si="54"/>
        <v>1806</v>
      </c>
      <c r="N123" s="136">
        <f>M123/L123</f>
        <v>96.75</v>
      </c>
      <c r="O123" s="137">
        <f>L123-I123</f>
        <v>-1</v>
      </c>
      <c r="P123" s="138">
        <f>N123-K123</f>
        <v>-4.9449152542372872</v>
      </c>
      <c r="Q123" s="139">
        <f>N123/K123</f>
        <v>0.95137499999999997</v>
      </c>
      <c r="R123" s="309"/>
      <c r="S123" s="140">
        <v>0.70833333333333337</v>
      </c>
      <c r="T123" s="141">
        <v>0.82237268518518514</v>
      </c>
      <c r="U123" s="142"/>
      <c r="V123" s="164"/>
      <c r="W123" s="165"/>
      <c r="X123" s="136"/>
      <c r="Y123" s="177">
        <f t="shared" ref="Y123:Z123" si="55">SUM(Y107:Y122)</f>
        <v>0</v>
      </c>
      <c r="Z123" s="178">
        <f t="shared" si="55"/>
        <v>0</v>
      </c>
      <c r="AA123" s="295"/>
      <c r="AB123" s="296"/>
      <c r="AC123" s="177">
        <f t="shared" ref="AC123:AD123" si="56">SUM(AC107:AC122)</f>
        <v>0</v>
      </c>
      <c r="AD123" s="178">
        <f t="shared" si="56"/>
        <v>0</v>
      </c>
      <c r="AE123" s="166">
        <f>M123-J123</f>
        <v>-194</v>
      </c>
      <c r="AF123" s="139">
        <f>M123/J123</f>
        <v>0.90300000000000002</v>
      </c>
      <c r="AG123" s="314"/>
    </row>
    <row r="124" spans="1:33" ht="15.75" customHeight="1">
      <c r="A124" s="301" t="s">
        <v>179</v>
      </c>
      <c r="B124" s="144" t="s">
        <v>169</v>
      </c>
      <c r="C124" s="305" t="s">
        <v>181</v>
      </c>
      <c r="D124" s="306"/>
      <c r="E124" s="145">
        <v>56.87</v>
      </c>
      <c r="F124" s="157">
        <v>1613</v>
      </c>
      <c r="G124" s="146">
        <f t="shared" ref="G124:G126" si="57">E124*F124</f>
        <v>91731.31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1804.2185642727745</v>
      </c>
      <c r="N124" s="150">
        <f>M124/L124</f>
        <v>78.444285403164116</v>
      </c>
      <c r="O124" s="152">
        <f>L124-I124</f>
        <v>0</v>
      </c>
      <c r="P124" s="153">
        <f>N124-K124</f>
        <v>-8.5122363359663211</v>
      </c>
      <c r="Q124" s="154">
        <f>N124/K124</f>
        <v>0.9021092821363873</v>
      </c>
      <c r="R124" s="307">
        <f>Q140</f>
        <v>0.90231063176752258</v>
      </c>
      <c r="S124" s="155">
        <v>0.70833333333333337</v>
      </c>
      <c r="T124" s="156">
        <v>0.74557870370370372</v>
      </c>
      <c r="U124" s="157"/>
      <c r="V124" s="158">
        <v>53.640951222009548</v>
      </c>
      <c r="W124" s="95"/>
      <c r="X124" s="96"/>
      <c r="Y124" s="194"/>
      <c r="Z124" s="195"/>
      <c r="AA124" s="310"/>
      <c r="AB124" s="311"/>
      <c r="AC124" s="194"/>
      <c r="AD124" s="195"/>
      <c r="AE124" s="113">
        <f>M124-J124</f>
        <v>-195.78143572722547</v>
      </c>
      <c r="AF124" s="154">
        <f>M124/J124</f>
        <v>0.9021092821363873</v>
      </c>
      <c r="AG124" s="379">
        <f>AF140</f>
        <v>0.90231063176752258</v>
      </c>
    </row>
    <row r="125" spans="1:33" ht="15.75" customHeight="1">
      <c r="A125" s="302"/>
      <c r="B125" s="161" t="s">
        <v>169</v>
      </c>
      <c r="C125" s="297" t="s">
        <v>180</v>
      </c>
      <c r="D125" s="298"/>
      <c r="E125" s="99">
        <v>56.79</v>
      </c>
      <c r="F125" s="109">
        <v>2147</v>
      </c>
      <c r="G125" s="101">
        <f t="shared" si="57"/>
        <v>121928.13</v>
      </c>
      <c r="H125" s="26"/>
      <c r="I125" s="102">
        <v>23</v>
      </c>
      <c r="J125" s="103">
        <v>2000</v>
      </c>
      <c r="K125" s="104">
        <f t="shared" ref="K125:K126" si="58">J125/I125</f>
        <v>86.956521739130437</v>
      </c>
      <c r="L125" s="105">
        <v>23</v>
      </c>
      <c r="M125" s="103">
        <f>F125/V125*60</f>
        <v>1801.3667199915476</v>
      </c>
      <c r="N125" s="104">
        <f>M125/L125</f>
        <v>78.320292173545553</v>
      </c>
      <c r="O125" s="106">
        <f>L125-I125</f>
        <v>0</v>
      </c>
      <c r="P125" s="107">
        <f>N125-K125</f>
        <v>-8.636229565584884</v>
      </c>
      <c r="Q125" s="108">
        <f>N125/K125</f>
        <v>0.90068335999577387</v>
      </c>
      <c r="R125" s="308"/>
      <c r="S125" s="46">
        <v>0.74861111111111112</v>
      </c>
      <c r="T125" s="47">
        <v>0.79826388888888888</v>
      </c>
      <c r="U125" s="109">
        <v>5</v>
      </c>
      <c r="V125" s="110">
        <v>71.51236812047047</v>
      </c>
      <c r="W125" s="111"/>
      <c r="X125" s="114"/>
      <c r="Y125" s="12"/>
      <c r="Z125" s="196"/>
      <c r="AA125" s="299"/>
      <c r="AB125" s="300"/>
      <c r="AC125" s="12"/>
      <c r="AD125" s="196"/>
      <c r="AE125" s="115">
        <f>M125-J125</f>
        <v>-198.6332800084524</v>
      </c>
      <c r="AF125" s="108">
        <f>M125/J125</f>
        <v>0.90068335999577376</v>
      </c>
      <c r="AG125" s="380"/>
    </row>
    <row r="126" spans="1:33" ht="15.75" customHeight="1">
      <c r="A126" s="302"/>
      <c r="B126" s="161" t="s">
        <v>169</v>
      </c>
      <c r="C126" s="297" t="s">
        <v>220</v>
      </c>
      <c r="D126" s="298"/>
      <c r="E126" s="99">
        <v>47.6</v>
      </c>
      <c r="F126" s="109">
        <v>2702</v>
      </c>
      <c r="G126" s="101">
        <f t="shared" si="57"/>
        <v>128615.2</v>
      </c>
      <c r="H126" s="26"/>
      <c r="I126" s="102">
        <v>23</v>
      </c>
      <c r="J126" s="103">
        <v>2000</v>
      </c>
      <c r="K126" s="104">
        <f t="shared" si="58"/>
        <v>86.956521739130437</v>
      </c>
      <c r="L126" s="105">
        <v>23</v>
      </c>
      <c r="M126" s="103">
        <f>F126/V126*60</f>
        <v>1808.2785063408137</v>
      </c>
      <c r="N126" s="104">
        <f>M126/L126</f>
        <v>78.620804623513635</v>
      </c>
      <c r="O126" s="106">
        <f>L126-I126</f>
        <v>0</v>
      </c>
      <c r="P126" s="107">
        <f>N126-K126</f>
        <v>-8.3357171156168022</v>
      </c>
      <c r="Q126" s="108">
        <f>N126/K126</f>
        <v>0.90413925317040678</v>
      </c>
      <c r="R126" s="308"/>
      <c r="S126" s="46">
        <v>0.80208333333333337</v>
      </c>
      <c r="T126" s="47">
        <v>0.86434027777777778</v>
      </c>
      <c r="U126" s="109">
        <v>5.5000000000000604</v>
      </c>
      <c r="V126" s="110">
        <v>89.654331139544382</v>
      </c>
      <c r="W126" s="111"/>
      <c r="X126" s="114"/>
      <c r="Y126" s="12"/>
      <c r="Z126" s="196"/>
      <c r="AA126" s="299"/>
      <c r="AB126" s="300"/>
      <c r="AC126" s="12"/>
      <c r="AD126" s="196"/>
      <c r="AE126" s="115">
        <f>M126-J126</f>
        <v>-191.72149365918631</v>
      </c>
      <c r="AF126" s="108">
        <f>M126/J126</f>
        <v>0.90413925317040689</v>
      </c>
      <c r="AG126" s="380"/>
    </row>
    <row r="127" spans="1:33" ht="15.75" customHeight="1">
      <c r="A127" s="302"/>
      <c r="B127" s="161"/>
      <c r="C127" s="297"/>
      <c r="D127" s="298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8"/>
      <c r="S127" s="46"/>
      <c r="T127" s="47"/>
      <c r="U127" s="109"/>
      <c r="V127" s="110"/>
      <c r="W127" s="111"/>
      <c r="X127" s="114"/>
      <c r="Y127" s="12"/>
      <c r="Z127" s="196"/>
      <c r="AA127" s="299"/>
      <c r="AB127" s="300"/>
      <c r="AC127" s="12"/>
      <c r="AD127" s="196"/>
      <c r="AE127" s="115"/>
      <c r="AF127" s="108"/>
      <c r="AG127" s="380"/>
    </row>
    <row r="128" spans="1:33" ht="15.75" customHeight="1">
      <c r="A128" s="303"/>
      <c r="B128" s="161"/>
      <c r="C128" s="297"/>
      <c r="D128" s="298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8"/>
      <c r="S128" s="46"/>
      <c r="T128" s="47"/>
      <c r="U128" s="109"/>
      <c r="V128" s="110"/>
      <c r="W128" s="111"/>
      <c r="X128" s="114"/>
      <c r="Y128" s="12"/>
      <c r="Z128" s="196"/>
      <c r="AA128" s="299"/>
      <c r="AB128" s="300"/>
      <c r="AC128" s="12"/>
      <c r="AD128" s="196"/>
      <c r="AE128" s="115"/>
      <c r="AF128" s="108"/>
      <c r="AG128" s="380"/>
    </row>
    <row r="129" spans="1:33" ht="15.75" customHeight="1">
      <c r="A129" s="303"/>
      <c r="B129" s="161"/>
      <c r="C129" s="297"/>
      <c r="D129" s="298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8"/>
      <c r="S129" s="46"/>
      <c r="T129" s="118"/>
      <c r="U129" s="109"/>
      <c r="V129" s="110"/>
      <c r="W129" s="111"/>
      <c r="X129" s="114"/>
      <c r="Y129" s="12"/>
      <c r="Z129" s="196"/>
      <c r="AA129" s="299"/>
      <c r="AB129" s="300"/>
      <c r="AC129" s="12"/>
      <c r="AD129" s="196"/>
      <c r="AE129" s="115"/>
      <c r="AF129" s="108"/>
      <c r="AG129" s="380"/>
    </row>
    <row r="130" spans="1:33" ht="15.75" customHeight="1">
      <c r="A130" s="303"/>
      <c r="B130" s="161"/>
      <c r="C130" s="297"/>
      <c r="D130" s="298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8"/>
      <c r="S130" s="46"/>
      <c r="T130" s="118"/>
      <c r="U130" s="109"/>
      <c r="V130" s="110"/>
      <c r="W130" s="111"/>
      <c r="X130" s="114"/>
      <c r="Y130" s="12"/>
      <c r="Z130" s="196"/>
      <c r="AA130" s="299"/>
      <c r="AB130" s="300"/>
      <c r="AC130" s="12"/>
      <c r="AD130" s="196"/>
      <c r="AE130" s="115"/>
      <c r="AF130" s="108"/>
      <c r="AG130" s="380"/>
    </row>
    <row r="131" spans="1:33" ht="15.75" customHeight="1">
      <c r="A131" s="303"/>
      <c r="B131" s="161"/>
      <c r="C131" s="297"/>
      <c r="D131" s="298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8"/>
      <c r="S131" s="46"/>
      <c r="T131" s="118"/>
      <c r="U131" s="109"/>
      <c r="V131" s="110"/>
      <c r="W131" s="111"/>
      <c r="X131" s="114"/>
      <c r="Y131" s="12"/>
      <c r="Z131" s="196"/>
      <c r="AA131" s="299"/>
      <c r="AB131" s="300"/>
      <c r="AC131" s="12"/>
      <c r="AD131" s="196"/>
      <c r="AE131" s="115"/>
      <c r="AF131" s="108"/>
      <c r="AG131" s="380"/>
    </row>
    <row r="132" spans="1:33" ht="15.75" customHeight="1">
      <c r="A132" s="303"/>
      <c r="B132" s="161"/>
      <c r="C132" s="297"/>
      <c r="D132" s="298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8"/>
      <c r="S132" s="46"/>
      <c r="T132" s="118"/>
      <c r="U132" s="109"/>
      <c r="V132" s="110"/>
      <c r="W132" s="111"/>
      <c r="X132" s="114"/>
      <c r="Y132" s="12"/>
      <c r="Z132" s="196"/>
      <c r="AA132" s="299"/>
      <c r="AB132" s="300"/>
      <c r="AC132" s="12"/>
      <c r="AD132" s="196"/>
      <c r="AE132" s="115"/>
      <c r="AF132" s="108"/>
      <c r="AG132" s="380"/>
    </row>
    <row r="133" spans="1:33" ht="15.75" customHeight="1">
      <c r="A133" s="303"/>
      <c r="B133" s="161"/>
      <c r="C133" s="297"/>
      <c r="D133" s="298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8"/>
      <c r="S133" s="46"/>
      <c r="T133" s="118"/>
      <c r="U133" s="109"/>
      <c r="V133" s="110"/>
      <c r="W133" s="111"/>
      <c r="X133" s="114"/>
      <c r="Y133" s="12"/>
      <c r="Z133" s="196"/>
      <c r="AA133" s="299"/>
      <c r="AB133" s="300"/>
      <c r="AC133" s="12"/>
      <c r="AD133" s="196"/>
      <c r="AE133" s="115"/>
      <c r="AF133" s="108"/>
      <c r="AG133" s="380"/>
    </row>
    <row r="134" spans="1:33" ht="15.75" customHeight="1">
      <c r="A134" s="303"/>
      <c r="B134" s="161"/>
      <c r="C134" s="297"/>
      <c r="D134" s="298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8"/>
      <c r="S134" s="46"/>
      <c r="T134" s="118"/>
      <c r="U134" s="109"/>
      <c r="V134" s="110"/>
      <c r="W134" s="111"/>
      <c r="X134" s="114"/>
      <c r="Y134" s="12"/>
      <c r="Z134" s="196"/>
      <c r="AA134" s="299"/>
      <c r="AB134" s="300"/>
      <c r="AC134" s="12"/>
      <c r="AD134" s="196"/>
      <c r="AE134" s="115"/>
      <c r="AF134" s="108"/>
      <c r="AG134" s="380"/>
    </row>
    <row r="135" spans="1:33" ht="15.75" customHeight="1">
      <c r="A135" s="303"/>
      <c r="B135" s="161"/>
      <c r="C135" s="297"/>
      <c r="D135" s="298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8"/>
      <c r="S135" s="46"/>
      <c r="T135" s="118"/>
      <c r="U135" s="109"/>
      <c r="V135" s="110"/>
      <c r="W135" s="111"/>
      <c r="X135" s="114"/>
      <c r="Y135" s="12"/>
      <c r="Z135" s="196"/>
      <c r="AA135" s="299"/>
      <c r="AB135" s="300"/>
      <c r="AC135" s="12"/>
      <c r="AD135" s="196"/>
      <c r="AE135" s="115"/>
      <c r="AF135" s="108"/>
      <c r="AG135" s="380"/>
    </row>
    <row r="136" spans="1:33" ht="15.75" customHeight="1">
      <c r="A136" s="303"/>
      <c r="B136" s="161"/>
      <c r="C136" s="297"/>
      <c r="D136" s="298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8"/>
      <c r="S136" s="46"/>
      <c r="T136" s="118"/>
      <c r="U136" s="109"/>
      <c r="V136" s="110"/>
      <c r="W136" s="111"/>
      <c r="X136" s="114"/>
      <c r="Y136" s="12"/>
      <c r="Z136" s="196"/>
      <c r="AA136" s="299"/>
      <c r="AB136" s="300"/>
      <c r="AC136" s="12"/>
      <c r="AD136" s="196"/>
      <c r="AE136" s="115"/>
      <c r="AF136" s="108"/>
      <c r="AG136" s="380"/>
    </row>
    <row r="137" spans="1:33" ht="15.75" customHeight="1">
      <c r="A137" s="303"/>
      <c r="B137" s="161"/>
      <c r="C137" s="297"/>
      <c r="D137" s="298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8"/>
      <c r="S137" s="46"/>
      <c r="T137" s="118"/>
      <c r="U137" s="109"/>
      <c r="V137" s="110"/>
      <c r="W137" s="181"/>
      <c r="X137" s="182"/>
      <c r="Y137" s="12"/>
      <c r="Z137" s="196"/>
      <c r="AA137" s="299"/>
      <c r="AB137" s="300"/>
      <c r="AC137" s="12"/>
      <c r="AD137" s="196"/>
      <c r="AE137" s="115"/>
      <c r="AF137" s="108"/>
      <c r="AG137" s="380"/>
    </row>
    <row r="138" spans="1:33" ht="15.75" customHeight="1">
      <c r="A138" s="303"/>
      <c r="B138" s="161"/>
      <c r="C138" s="297"/>
      <c r="D138" s="298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8"/>
      <c r="S138" s="46"/>
      <c r="T138" s="118"/>
      <c r="U138" s="109"/>
      <c r="V138" s="110"/>
      <c r="W138" s="183"/>
      <c r="X138" s="184"/>
      <c r="Y138" s="12"/>
      <c r="Z138" s="196"/>
      <c r="AA138" s="299"/>
      <c r="AB138" s="300"/>
      <c r="AC138" s="12"/>
      <c r="AD138" s="196"/>
      <c r="AE138" s="115"/>
      <c r="AF138" s="108"/>
      <c r="AG138" s="380"/>
    </row>
    <row r="139" spans="1:33" ht="15.75" customHeight="1">
      <c r="A139" s="303"/>
      <c r="B139" s="98"/>
      <c r="C139" s="297"/>
      <c r="D139" s="298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8"/>
      <c r="S139" s="46"/>
      <c r="T139" s="118"/>
      <c r="U139" s="128"/>
      <c r="V139" s="110"/>
      <c r="W139" s="183"/>
      <c r="X139" s="184"/>
      <c r="Y139" s="12"/>
      <c r="Z139" s="196"/>
      <c r="AA139" s="299"/>
      <c r="AB139" s="300"/>
      <c r="AC139" s="12"/>
      <c r="AD139" s="196"/>
      <c r="AE139" s="115"/>
      <c r="AF139" s="108"/>
      <c r="AG139" s="380"/>
    </row>
    <row r="140" spans="1:33" ht="15.75" customHeight="1" thickBot="1">
      <c r="A140" s="304"/>
      <c r="B140" s="131" t="s">
        <v>115</v>
      </c>
      <c r="C140" s="294"/>
      <c r="D140" s="294"/>
      <c r="E140" s="132"/>
      <c r="F140" s="165"/>
      <c r="G140" s="133"/>
      <c r="H140" s="67"/>
      <c r="I140" s="134">
        <f t="shared" ref="I140:J140" si="59">AVERAGE(I124:I139)</f>
        <v>23</v>
      </c>
      <c r="J140" s="135">
        <f t="shared" si="59"/>
        <v>2000</v>
      </c>
      <c r="K140" s="136">
        <f t="shared" ref="K140" si="60">J140/I140</f>
        <v>86.956521739130437</v>
      </c>
      <c r="L140" s="134">
        <f t="shared" ref="L140:M140" si="61">AVERAGE(L124:L139)</f>
        <v>23</v>
      </c>
      <c r="M140" s="135">
        <f t="shared" si="61"/>
        <v>1804.621263535045</v>
      </c>
      <c r="N140" s="136">
        <f>M140/L140</f>
        <v>78.461794066741092</v>
      </c>
      <c r="O140" s="137">
        <f>L140-I140</f>
        <v>0</v>
      </c>
      <c r="P140" s="138">
        <f>N140-K140</f>
        <v>-8.4947276723893452</v>
      </c>
      <c r="Q140" s="139">
        <f>N140/K140</f>
        <v>0.90231063176752258</v>
      </c>
      <c r="R140" s="309"/>
      <c r="S140" s="140">
        <v>0.70833333333333337</v>
      </c>
      <c r="T140" s="141">
        <v>0.86434027777777778</v>
      </c>
      <c r="U140" s="142"/>
      <c r="V140" s="164"/>
      <c r="W140" s="185"/>
      <c r="X140" s="186"/>
      <c r="Y140" s="177">
        <f t="shared" ref="Y140:Z140" si="62">SUM(Y124:Y139)</f>
        <v>0</v>
      </c>
      <c r="Z140" s="178">
        <f t="shared" si="62"/>
        <v>0</v>
      </c>
      <c r="AA140" s="295"/>
      <c r="AB140" s="296"/>
      <c r="AC140" s="177">
        <f t="shared" ref="AC140:AD140" si="63">SUM(AC124:AC139)</f>
        <v>0</v>
      </c>
      <c r="AD140" s="178">
        <f t="shared" si="63"/>
        <v>0</v>
      </c>
      <c r="AE140" s="166">
        <f>M140-J140</f>
        <v>-195.37873646495495</v>
      </c>
      <c r="AF140" s="139">
        <f>M140/J140</f>
        <v>0.90231063176752258</v>
      </c>
      <c r="AG140" s="381"/>
    </row>
    <row r="142" spans="1:33">
      <c r="AA142" s="293" t="s">
        <v>147</v>
      </c>
      <c r="AB142" s="293"/>
    </row>
    <row r="143" spans="1:33">
      <c r="AA143" s="293" t="s">
        <v>148</v>
      </c>
      <c r="AB143" s="293"/>
    </row>
    <row r="144" spans="1:33">
      <c r="AA144" s="293" t="s">
        <v>149</v>
      </c>
      <c r="AB144" s="293"/>
    </row>
    <row r="145" spans="27:28">
      <c r="AA145" s="293" t="s">
        <v>150</v>
      </c>
      <c r="AB145" s="293"/>
    </row>
    <row r="146" spans="27:28">
      <c r="AA146" s="293" t="s">
        <v>151</v>
      </c>
      <c r="AB146" s="293"/>
    </row>
    <row r="147" spans="27:28">
      <c r="AA147" s="293" t="s">
        <v>152</v>
      </c>
      <c r="AB147" s="293"/>
    </row>
    <row r="148" spans="27:28">
      <c r="AA148" s="293" t="s">
        <v>153</v>
      </c>
      <c r="AB148" s="293"/>
    </row>
    <row r="149" spans="27:28">
      <c r="AA149" s="293" t="s">
        <v>154</v>
      </c>
      <c r="AB149" s="293"/>
    </row>
    <row r="150" spans="27:28">
      <c r="AA150" s="293" t="s">
        <v>155</v>
      </c>
      <c r="AB150" s="293"/>
    </row>
    <row r="151" spans="27:28">
      <c r="AA151" s="293" t="s">
        <v>156</v>
      </c>
      <c r="AB151" s="293"/>
    </row>
    <row r="152" spans="27:28">
      <c r="AA152" s="293" t="s">
        <v>157</v>
      </c>
      <c r="AB152" s="293"/>
    </row>
    <row r="153" spans="27:28">
      <c r="AA153" s="293" t="s">
        <v>158</v>
      </c>
      <c r="AB153" s="293"/>
    </row>
    <row r="154" spans="27:28">
      <c r="AA154" s="293" t="s">
        <v>159</v>
      </c>
      <c r="AB154" s="293"/>
    </row>
  </sheetData>
  <dataConsolidate/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A128:AB128"/>
    <mergeCell ref="C129:D129"/>
    <mergeCell ref="AA129:AB129"/>
    <mergeCell ref="C130:D130"/>
    <mergeCell ref="AA130:AB130"/>
    <mergeCell ref="C116:D116"/>
    <mergeCell ref="AA116:AB116"/>
    <mergeCell ref="C117:D117"/>
    <mergeCell ref="AA117:AB117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125" priority="2" operator="greaterThan">
      <formula>0</formula>
    </cfRule>
  </conditionalFormatting>
  <conditionalFormatting sqref="P5:P140 AE5:AE140">
    <cfRule type="cellIs" dxfId="124" priority="5" operator="lessThan">
      <formula>0</formula>
    </cfRule>
  </conditionalFormatting>
  <conditionalFormatting sqref="Q5:Q140 AF5:AF140">
    <cfRule type="cellIs" dxfId="123" priority="3" operator="greaterThan">
      <formula>1</formula>
    </cfRule>
    <cfRule type="cellIs" dxfId="122" priority="4" operator="lessThan">
      <formula>0.8</formula>
    </cfRule>
  </conditionalFormatting>
  <conditionalFormatting sqref="AG5 R5:R140 AG107:AG124">
    <cfRule type="cellIs" dxfId="121" priority="6" operator="lessThan">
      <formula>0.8</formula>
    </cfRule>
  </conditionalFormatting>
  <conditionalFormatting sqref="AG22">
    <cfRule type="cellIs" dxfId="120" priority="11" operator="lessThan">
      <formula>0.8</formula>
    </cfRule>
  </conditionalFormatting>
  <conditionalFormatting sqref="AG37">
    <cfRule type="cellIs" dxfId="119" priority="10" operator="lessThan">
      <formula>0.8</formula>
    </cfRule>
  </conditionalFormatting>
  <conditionalFormatting sqref="AG39:AG74">
    <cfRule type="cellIs" dxfId="118" priority="8" operator="lessThan">
      <formula>0.8</formula>
    </cfRule>
  </conditionalFormatting>
  <conditionalFormatting sqref="AG80:AG88">
    <cfRule type="cellIs" dxfId="117" priority="9" operator="lessThan">
      <formula>0.8</formula>
    </cfRule>
  </conditionalFormatting>
  <conditionalFormatting sqref="AG90:AG95">
    <cfRule type="cellIs" dxfId="116" priority="7" operator="lessThan">
      <formula>0.8</formula>
    </cfRule>
  </conditionalFormatting>
  <conditionalFormatting sqref="AG139">
    <cfRule type="cellIs" dxfId="115" priority="1" operator="lessThan">
      <formula>0.8</formula>
    </cfRule>
  </conditionalFormatting>
  <dataValidations count="1">
    <dataValidation type="list" allowBlank="1" showInputMessage="1" showErrorMessage="1" sqref="AA5:AB140" xr:uid="{6FC83DC2-F41D-4E69-A7D7-EF6D397D2136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AC8D4-A9EC-4365-A4FD-02F8D66000A0}">
  <sheetPr>
    <tabColor theme="9" tint="0.59999389629810485"/>
  </sheetPr>
  <dimension ref="B1:AR42"/>
  <sheetViews>
    <sheetView zoomScale="70" zoomScaleNormal="70" workbookViewId="0">
      <selection activeCell="O42" sqref="O4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0" t="s">
        <v>0</v>
      </c>
      <c r="C1" s="280"/>
      <c r="D1" s="280"/>
      <c r="E1" s="280"/>
      <c r="F1" s="280"/>
      <c r="G1" s="280"/>
      <c r="H1" s="280"/>
      <c r="I1" s="280"/>
      <c r="J1" s="280"/>
      <c r="K1" s="1"/>
      <c r="L1" s="1"/>
      <c r="M1" s="1"/>
      <c r="N1" s="1"/>
      <c r="O1" s="1"/>
      <c r="P1" s="1"/>
    </row>
    <row r="2" spans="2:34" ht="27.75" customHeight="1">
      <c r="B2" s="281"/>
      <c r="C2" s="281"/>
      <c r="D2" s="281"/>
      <c r="E2" s="281"/>
      <c r="F2" s="281"/>
      <c r="G2" s="281"/>
      <c r="H2" s="281"/>
      <c r="I2" s="281"/>
      <c r="J2" s="28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2" t="s">
        <v>230</v>
      </c>
      <c r="D3" s="283"/>
      <c r="E3" s="3" t="s">
        <v>2</v>
      </c>
      <c r="F3" s="284">
        <f>'1005(18度C)'!D1+'1005(4度C)'!D1</f>
        <v>161205</v>
      </c>
      <c r="G3" s="285"/>
      <c r="H3" s="3" t="s">
        <v>3</v>
      </c>
      <c r="I3" s="286">
        <f>'1005(18度C)'!F1+'1005(4度C)'!F1</f>
        <v>5067127.2099999981</v>
      </c>
      <c r="J3" s="287"/>
      <c r="K3" s="4"/>
      <c r="L3" s="5"/>
      <c r="M3" s="1"/>
      <c r="N3" s="1"/>
      <c r="O3" s="1"/>
      <c r="P3" s="1"/>
    </row>
    <row r="4" spans="2:34" ht="28.5" customHeight="1">
      <c r="B4" s="288" t="s">
        <v>4</v>
      </c>
      <c r="C4" s="268" t="s">
        <v>5</v>
      </c>
      <c r="D4" s="269"/>
      <c r="E4" s="291" t="s">
        <v>6</v>
      </c>
      <c r="F4" s="292"/>
      <c r="G4" s="291" t="s">
        <v>7</v>
      </c>
      <c r="H4" s="292"/>
      <c r="I4" s="291" t="s">
        <v>8</v>
      </c>
      <c r="J4" s="292"/>
      <c r="K4" s="264" t="s">
        <v>9</v>
      </c>
      <c r="L4" s="265"/>
      <c r="M4" s="264" t="s">
        <v>10</v>
      </c>
      <c r="N4" s="265"/>
      <c r="O4" s="266" t="s">
        <v>11</v>
      </c>
      <c r="P4" s="267"/>
      <c r="Q4" s="267" t="s">
        <v>12</v>
      </c>
      <c r="R4" s="267"/>
    </row>
    <row r="5" spans="2:34" ht="28.5" customHeight="1">
      <c r="B5" s="289"/>
      <c r="C5" s="268" t="s">
        <v>13</v>
      </c>
      <c r="D5" s="269"/>
      <c r="E5" s="270" t="s">
        <v>14</v>
      </c>
      <c r="F5" s="271"/>
      <c r="G5" s="272" t="s">
        <v>15</v>
      </c>
      <c r="H5" s="273"/>
      <c r="I5" s="274" t="s">
        <v>16</v>
      </c>
      <c r="J5" s="275"/>
      <c r="K5" s="276" t="s">
        <v>17</v>
      </c>
      <c r="L5" s="277"/>
      <c r="M5" s="278" t="s">
        <v>18</v>
      </c>
      <c r="N5" s="27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9"/>
      <c r="C6" s="268" t="s">
        <v>22</v>
      </c>
      <c r="D6" s="269"/>
      <c r="E6" s="258">
        <f>AVERAGE(D14:O14,D32:X32)</f>
        <v>473.31810731697414</v>
      </c>
      <c r="F6" s="259" t="e">
        <f>AVERAGE(#REF!,D14:K14)</f>
        <v>#REF!</v>
      </c>
      <c r="G6" s="260">
        <f>AVERAGE(D14:K14)</f>
        <v>274.37433742875504</v>
      </c>
      <c r="H6" s="261"/>
      <c r="I6" s="260">
        <f>AVERAGE(L14:O14)</f>
        <v>94.325718496683862</v>
      </c>
      <c r="J6" s="261"/>
      <c r="K6" s="260">
        <f>AVERAGE(D32:O32)</f>
        <v>716.2788331071913</v>
      </c>
      <c r="L6" s="261"/>
      <c r="M6" s="260">
        <f>AVERAGE(P32:X32)</f>
        <v>718.26923076923072</v>
      </c>
      <c r="N6" s="261"/>
      <c r="O6" s="249">
        <f>'1005(4度C)'!Y2</f>
        <v>0</v>
      </c>
      <c r="P6" s="249">
        <f>'1005(4度C)'!Z2</f>
        <v>0</v>
      </c>
      <c r="Q6" s="249">
        <f>'1005(4度C)'!AC2</f>
        <v>0</v>
      </c>
      <c r="R6" s="249">
        <f>'1005(4度C)'!AD2</f>
        <v>0</v>
      </c>
    </row>
    <row r="7" spans="2:34" ht="28.5" customHeight="1">
      <c r="B7" s="289"/>
      <c r="C7" s="252" t="s">
        <v>23</v>
      </c>
      <c r="D7" s="253"/>
      <c r="E7" s="254">
        <f>AVERAGE(D15:O15,D33:X33)</f>
        <v>432.11628964692375</v>
      </c>
      <c r="F7" s="255" t="e">
        <f>AVERAGE(#REF!,D15:K15)</f>
        <v>#REF!</v>
      </c>
      <c r="G7" s="256">
        <f>AVERAGE(D15:K15)</f>
        <v>248.00580978425887</v>
      </c>
      <c r="H7" s="257"/>
      <c r="I7" s="256">
        <f>AVERAGE(L15:O15)</f>
        <v>87.605120635855002</v>
      </c>
      <c r="J7" s="257"/>
      <c r="K7" s="256">
        <f>AVERAGE(D33:O33)</f>
        <v>655.91279822428419</v>
      </c>
      <c r="L7" s="257"/>
      <c r="M7" s="256">
        <f>AVERAGE(P33:X33)</f>
        <v>656.74108536909512</v>
      </c>
      <c r="N7" s="257"/>
      <c r="O7" s="250"/>
      <c r="P7" s="250"/>
      <c r="Q7" s="250"/>
      <c r="R7" s="250"/>
    </row>
    <row r="8" spans="2:34" ht="28.5" customHeight="1">
      <c r="B8" s="290"/>
      <c r="C8" s="252" t="s">
        <v>24</v>
      </c>
      <c r="D8" s="253"/>
      <c r="E8" s="262">
        <f>AVERAGE(D16:O16,D34:X34)</f>
        <v>0.9087204979726603</v>
      </c>
      <c r="F8" s="263" t="e">
        <f>AVERAGE(D16:K16,#REF!)</f>
        <v>#REF!</v>
      </c>
      <c r="G8" s="241">
        <f>AVERAGE(D16:K16)</f>
        <v>0.90261527901209515</v>
      </c>
      <c r="H8" s="242"/>
      <c r="I8" s="241">
        <f>AVERAGE(L16:O16)</f>
        <v>0.92682793493138027</v>
      </c>
      <c r="J8" s="242"/>
      <c r="K8" s="241">
        <f>AVERAGE(D34:O34)</f>
        <v>0.91029556223608787</v>
      </c>
      <c r="L8" s="242"/>
      <c r="M8" s="241">
        <f>AVERAGE(P34:X34)</f>
        <v>0.90724954367071997</v>
      </c>
      <c r="N8" s="242"/>
      <c r="O8" s="251"/>
      <c r="P8" s="251"/>
      <c r="Q8" s="251"/>
      <c r="R8" s="25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9" t="s">
        <v>26</v>
      </c>
      <c r="C11" s="220"/>
      <c r="D11" s="243" t="s">
        <v>27</v>
      </c>
      <c r="E11" s="244"/>
      <c r="F11" s="244"/>
      <c r="G11" s="244"/>
      <c r="H11" s="244"/>
      <c r="I11" s="244"/>
      <c r="J11" s="244"/>
      <c r="K11" s="244"/>
      <c r="L11" s="245" t="s">
        <v>28</v>
      </c>
      <c r="M11" s="246"/>
      <c r="N11" s="246"/>
      <c r="O11" s="247"/>
    </row>
    <row r="12" spans="2:34" ht="17.25" customHeight="1">
      <c r="B12" s="235" t="s">
        <v>29</v>
      </c>
      <c r="C12" s="23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5"/>
      <c r="C13" s="23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U13" s="205"/>
      <c r="AB13" s="25"/>
      <c r="AC13" s="25"/>
      <c r="AD13" s="25"/>
      <c r="AE13" s="25"/>
    </row>
    <row r="14" spans="2:34" ht="40.15" customHeight="1">
      <c r="B14" s="248" t="s">
        <v>40</v>
      </c>
      <c r="C14" s="26" t="s">
        <v>41</v>
      </c>
      <c r="D14" s="27" t="s">
        <v>42</v>
      </c>
      <c r="E14" s="28">
        <v>85.245901639344268</v>
      </c>
      <c r="F14" s="28">
        <v>114.50980392156863</v>
      </c>
      <c r="G14" s="28">
        <v>86.206896551724142</v>
      </c>
      <c r="H14" s="28">
        <v>173.63636363636363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8"/>
      <c r="C15" s="33" t="s">
        <v>43</v>
      </c>
      <c r="D15" s="34" t="s">
        <v>42</v>
      </c>
      <c r="E15" s="35">
        <v>76.957906536725503</v>
      </c>
      <c r="F15" s="35">
        <v>103.38369829997448</v>
      </c>
      <c r="G15" s="35">
        <v>77.856689445292758</v>
      </c>
      <c r="H15" s="35">
        <v>155.64579847063516</v>
      </c>
      <c r="I15" s="35">
        <v>440.66948465659351</v>
      </c>
      <c r="J15" s="35">
        <v>633.52128129633172</v>
      </c>
      <c r="K15" s="36" t="s">
        <v>42</v>
      </c>
      <c r="L15" s="34" t="s">
        <v>42</v>
      </c>
      <c r="M15" s="204">
        <v>96.757142857142838</v>
      </c>
      <c r="N15" s="35">
        <v>78.453098414567179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8"/>
      <c r="C16" s="40" t="s">
        <v>44</v>
      </c>
      <c r="D16" s="41" t="s">
        <v>42</v>
      </c>
      <c r="E16" s="42">
        <f t="shared" ref="E16:J16" si="0">E15/E14</f>
        <v>0.9027754420654337</v>
      </c>
      <c r="F16" s="42">
        <f t="shared" si="0"/>
        <v>0.90283709131827028</v>
      </c>
      <c r="G16" s="42">
        <f t="shared" si="0"/>
        <v>0.90313759756539591</v>
      </c>
      <c r="H16" s="42">
        <f t="shared" si="0"/>
        <v>0.89638941527590932</v>
      </c>
      <c r="I16" s="42">
        <f t="shared" si="0"/>
        <v>0.9055217259956595</v>
      </c>
      <c r="J16" s="42">
        <f t="shared" si="0"/>
        <v>0.90503040185190242</v>
      </c>
      <c r="K16" s="43" t="s">
        <v>42</v>
      </c>
      <c r="L16" s="41" t="s">
        <v>42</v>
      </c>
      <c r="M16" s="44">
        <f>M15/M14</f>
        <v>0.95144523809523796</v>
      </c>
      <c r="N16" s="42">
        <f>N15/N14</f>
        <v>0.90221063176752259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34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5"/>
      <c r="C18" s="13" t="s">
        <v>47</v>
      </c>
      <c r="D18" s="46" t="s">
        <v>42</v>
      </c>
      <c r="E18" s="47">
        <v>0.64880787037037024</v>
      </c>
      <c r="F18" s="47">
        <v>0.54849537037037033</v>
      </c>
      <c r="G18" s="47">
        <v>0.54195601851851849</v>
      </c>
      <c r="H18" s="47">
        <v>0.47173611111111108</v>
      </c>
      <c r="I18" s="47">
        <v>0.47807870370370364</v>
      </c>
      <c r="J18" s="47">
        <v>0.30850694444444443</v>
      </c>
      <c r="K18" s="47" t="s">
        <v>42</v>
      </c>
      <c r="L18" s="46" t="s">
        <v>42</v>
      </c>
      <c r="M18" s="48">
        <v>0.82732638888888888</v>
      </c>
      <c r="N18" s="47">
        <v>0.8740972222222223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6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7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6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7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5" t="s">
        <v>53</v>
      </c>
      <c r="C23" s="238"/>
      <c r="D23" s="56" t="s">
        <v>42</v>
      </c>
      <c r="E23" s="57">
        <v>20.333333333333332</v>
      </c>
      <c r="F23" s="57">
        <v>20.8</v>
      </c>
      <c r="G23" s="57">
        <v>23.2</v>
      </c>
      <c r="H23" s="57">
        <v>19.8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9" t="s">
        <v>54</v>
      </c>
      <c r="C24" s="240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9" t="s">
        <v>59</v>
      </c>
      <c r="C25" s="240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7" t="s">
        <v>60</v>
      </c>
      <c r="C26" s="218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9" t="s">
        <v>26</v>
      </c>
      <c r="C29" s="220"/>
      <c r="D29" s="221" t="s">
        <v>64</v>
      </c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3"/>
      <c r="P29" s="224" t="s">
        <v>65</v>
      </c>
      <c r="Q29" s="225"/>
      <c r="R29" s="225"/>
      <c r="S29" s="225"/>
      <c r="T29" s="225"/>
      <c r="U29" s="225"/>
      <c r="V29" s="225"/>
      <c r="W29" s="225"/>
      <c r="X29" s="226"/>
    </row>
    <row r="30" spans="2:44" ht="17.25" customHeight="1">
      <c r="B30" s="227" t="s">
        <v>29</v>
      </c>
      <c r="C30" s="22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9"/>
      <c r="C31" s="230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3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322.38805970149258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750</v>
      </c>
      <c r="N32" s="28">
        <v>920</v>
      </c>
      <c r="O32" s="28">
        <v>872.72727272727275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750</v>
      </c>
      <c r="W32" s="28">
        <v>923.07692307692298</v>
      </c>
      <c r="X32" s="31">
        <v>900</v>
      </c>
    </row>
    <row r="33" spans="2:24" ht="39.6" customHeight="1">
      <c r="B33" s="232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283.05575525341249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698.88209219739701</v>
      </c>
      <c r="N33" s="35">
        <v>845.62042177204023</v>
      </c>
      <c r="O33" s="35">
        <v>796.09292367428679</v>
      </c>
      <c r="P33" s="34">
        <v>260.22177158529615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699.31876465005007</v>
      </c>
      <c r="W33" s="35">
        <v>846.93121449562921</v>
      </c>
      <c r="X33" s="37">
        <v>820.49259074540498</v>
      </c>
    </row>
    <row r="34" spans="2:24" ht="40.15" customHeight="1">
      <c r="B34" s="233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0.87799701861012192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0.93184278959652933</v>
      </c>
      <c r="N34" s="42">
        <f>N33/N32</f>
        <v>0.91915263236091327</v>
      </c>
      <c r="O34" s="42">
        <f>O33/O32</f>
        <v>0.91218980837678698</v>
      </c>
      <c r="P34" s="41">
        <f>P33/P32</f>
        <v>0.86740590528432049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0.93242501953340007</v>
      </c>
      <c r="W34" s="42">
        <f>W33/W32</f>
        <v>0.91750881570359843</v>
      </c>
      <c r="X34" s="45">
        <f>X33/X32</f>
        <v>0.91165843416156112</v>
      </c>
    </row>
    <row r="35" spans="2:24" ht="17.25" customHeight="1">
      <c r="B35" s="211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0.3263888888888889</v>
      </c>
      <c r="N35" s="47">
        <v>0.25</v>
      </c>
      <c r="O35" s="47">
        <v>0.25</v>
      </c>
      <c r="P35" s="46">
        <v>0.73888888888888882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0.73333333333333328</v>
      </c>
      <c r="X35" s="49">
        <v>0.73333333333333328</v>
      </c>
    </row>
    <row r="36" spans="2:24" ht="17.25" customHeight="1">
      <c r="B36" s="212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0.47807870370370364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0.40325231481481477</v>
      </c>
      <c r="N36" s="47">
        <v>0.49446759259259276</v>
      </c>
      <c r="O36" s="47">
        <v>0.48546296296296315</v>
      </c>
      <c r="P36" s="46">
        <v>0.75269675925925916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0.72186342592592601</v>
      </c>
      <c r="W36" s="47">
        <v>1.1362615740740731</v>
      </c>
      <c r="X36" s="49">
        <v>1.1197916666666659</v>
      </c>
    </row>
    <row r="37" spans="2:24" ht="17.25" customHeight="1">
      <c r="B37" s="213" t="s">
        <v>53</v>
      </c>
      <c r="C37" s="214"/>
      <c r="D37" s="57" t="s">
        <v>42</v>
      </c>
      <c r="E37" s="57" t="s">
        <v>42</v>
      </c>
      <c r="F37" s="57" t="s">
        <v>42</v>
      </c>
      <c r="G37" s="57">
        <v>11.166666666666666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3.75</v>
      </c>
      <c r="O37" s="57">
        <v>4.125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</v>
      </c>
      <c r="W37" s="57">
        <v>3.7142857142857144</v>
      </c>
      <c r="X37" s="59">
        <v>4</v>
      </c>
    </row>
    <row r="38" spans="2:24" ht="17.25" customHeight="1">
      <c r="B38" s="213" t="s">
        <v>54</v>
      </c>
      <c r="C38" s="214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13" t="s">
        <v>59</v>
      </c>
      <c r="C39" s="21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5" t="s">
        <v>60</v>
      </c>
      <c r="C40" s="21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B17:B18"/>
    <mergeCell ref="B19:B20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FF715-1699-4D51-B0B5-5BB01F29A80C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O42" sqref="O42"/>
      <selection pane="bottomLeft" activeCell="O42" sqref="O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83612</v>
      </c>
      <c r="E1" s="86" t="s">
        <v>3</v>
      </c>
      <c r="F1" s="87">
        <f>SUM(G5:G140)</f>
        <v>1652558.5499999996</v>
      </c>
      <c r="G1" s="88" t="s">
        <v>84</v>
      </c>
      <c r="H1" s="89">
        <f>L21+L38+L55+L72+L89+L106+L123+L140</f>
        <v>46.75595238095238</v>
      </c>
      <c r="I1" s="359" t="s">
        <v>85</v>
      </c>
      <c r="J1" s="360"/>
      <c r="K1" s="361"/>
      <c r="L1" s="365" t="s">
        <v>86</v>
      </c>
      <c r="M1" s="366"/>
      <c r="N1" s="367"/>
      <c r="O1" s="360" t="s">
        <v>87</v>
      </c>
      <c r="P1" s="360"/>
      <c r="Q1" s="360"/>
      <c r="R1" s="371"/>
      <c r="S1" s="359" t="s">
        <v>88</v>
      </c>
      <c r="T1" s="360"/>
      <c r="U1" s="360"/>
      <c r="V1" s="360"/>
      <c r="W1" s="360"/>
      <c r="X1" s="371"/>
      <c r="Y1" s="360" t="s">
        <v>89</v>
      </c>
      <c r="Z1" s="360"/>
      <c r="AA1" s="359" t="s">
        <v>90</v>
      </c>
      <c r="AB1" s="374"/>
      <c r="AC1" s="375"/>
    </row>
    <row r="2" spans="1:29" ht="26.25" customHeight="1" thickBot="1">
      <c r="A2" s="352">
        <v>46300</v>
      </c>
      <c r="B2" s="353"/>
      <c r="C2" s="90" t="s">
        <v>40</v>
      </c>
      <c r="D2" s="91">
        <f>AVERAGE(N21,N38,N55,N72,N89,N106,N123,N140)</f>
        <v>656.32694179668965</v>
      </c>
      <c r="E2" s="91" t="s">
        <v>91</v>
      </c>
      <c r="F2" s="92">
        <f>F1/D1</f>
        <v>19.764609745012674</v>
      </c>
      <c r="G2" s="93" t="s">
        <v>92</v>
      </c>
      <c r="H2" s="94">
        <f>COUNT(H5:H140)</f>
        <v>14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93</v>
      </c>
      <c r="B3" s="356" t="s">
        <v>94</v>
      </c>
      <c r="C3" s="326" t="s">
        <v>95</v>
      </c>
      <c r="D3" s="326"/>
      <c r="E3" s="346" t="s">
        <v>96</v>
      </c>
      <c r="F3" s="326" t="s">
        <v>97</v>
      </c>
      <c r="G3" s="346" t="s">
        <v>98</v>
      </c>
      <c r="H3" s="348" t="s">
        <v>99</v>
      </c>
      <c r="I3" s="338" t="s">
        <v>100</v>
      </c>
      <c r="J3" s="334" t="s">
        <v>101</v>
      </c>
      <c r="K3" s="336" t="s">
        <v>40</v>
      </c>
      <c r="L3" s="350" t="s">
        <v>100</v>
      </c>
      <c r="M3" s="334" t="s">
        <v>101</v>
      </c>
      <c r="N3" s="336" t="s">
        <v>40</v>
      </c>
      <c r="O3" s="338" t="s">
        <v>100</v>
      </c>
      <c r="P3" s="340" t="s">
        <v>40</v>
      </c>
      <c r="Q3" s="342" t="s">
        <v>102</v>
      </c>
      <c r="R3" s="344" t="s">
        <v>103</v>
      </c>
      <c r="S3" s="322" t="s">
        <v>104</v>
      </c>
      <c r="T3" s="323"/>
      <c r="U3" s="324" t="s">
        <v>105</v>
      </c>
      <c r="V3" s="324" t="s">
        <v>106</v>
      </c>
      <c r="W3" s="326" t="s">
        <v>107</v>
      </c>
      <c r="X3" s="327"/>
      <c r="Y3" s="328" t="s">
        <v>108</v>
      </c>
      <c r="Z3" s="329"/>
      <c r="AA3" s="332" t="s">
        <v>101</v>
      </c>
      <c r="AB3" s="318" t="s">
        <v>102</v>
      </c>
      <c r="AC3" s="320" t="s">
        <v>109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201" t="s">
        <v>110</v>
      </c>
      <c r="T4" s="202" t="s">
        <v>111</v>
      </c>
      <c r="U4" s="325"/>
      <c r="V4" s="325"/>
      <c r="W4" s="97" t="s">
        <v>112</v>
      </c>
      <c r="X4" s="67" t="s">
        <v>113</v>
      </c>
      <c r="Y4" s="330"/>
      <c r="Z4" s="331"/>
      <c r="AA4" s="333"/>
      <c r="AB4" s="319"/>
      <c r="AC4" s="321"/>
    </row>
    <row r="5" spans="1:29" ht="15.75" customHeight="1">
      <c r="A5" s="315" t="s">
        <v>116</v>
      </c>
      <c r="B5" s="144" t="s">
        <v>114</v>
      </c>
      <c r="C5" s="305" t="s">
        <v>117</v>
      </c>
      <c r="D5" s="306"/>
      <c r="E5" s="145">
        <v>25.64</v>
      </c>
      <c r="F5" s="95">
        <v>1219</v>
      </c>
      <c r="G5" s="146">
        <f t="shared" ref="G5:G10" si="0">E5*F5</f>
        <v>31255.16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 t="shared" ref="M5:M10" si="1">F5/V5*60</f>
        <v>3216.1695511531834</v>
      </c>
      <c r="N5" s="150">
        <f t="shared" ref="N5:N10" si="2">M5/L5</f>
        <v>321.61695511531832</v>
      </c>
      <c r="O5" s="152">
        <f t="shared" ref="O5:O10" si="3">L5-I5</f>
        <v>0</v>
      </c>
      <c r="P5" s="153">
        <f t="shared" ref="P5:P10" si="4">N5-K5</f>
        <v>-38.383044884681681</v>
      </c>
      <c r="Q5" s="154">
        <f t="shared" ref="Q5:Q10" si="5">N5/K5</f>
        <v>0.89338043087588426</v>
      </c>
      <c r="R5" s="307">
        <f>Q21</f>
        <v>0.87799701861012192</v>
      </c>
      <c r="S5" s="155">
        <v>0.25</v>
      </c>
      <c r="T5" s="156">
        <v>0.26578703703703704</v>
      </c>
      <c r="U5" s="157"/>
      <c r="V5" s="158">
        <v>22.741338364382894</v>
      </c>
      <c r="W5" s="159"/>
      <c r="X5" s="160"/>
      <c r="Y5" s="310"/>
      <c r="Z5" s="311"/>
      <c r="AA5" s="113">
        <f t="shared" ref="AA5:AA10" si="6">M5-J5</f>
        <v>-383.83044884681658</v>
      </c>
      <c r="AB5" s="154">
        <f t="shared" ref="AB5:AB10" si="7">M5/J5</f>
        <v>0.89338043087588426</v>
      </c>
      <c r="AC5" s="312">
        <f>AB21</f>
        <v>0.87799701861012192</v>
      </c>
    </row>
    <row r="6" spans="1:29" ht="15.75" customHeight="1">
      <c r="A6" s="316"/>
      <c r="B6" s="98" t="s">
        <v>114</v>
      </c>
      <c r="C6" s="297" t="s">
        <v>191</v>
      </c>
      <c r="D6" s="298"/>
      <c r="E6" s="99">
        <v>29.52</v>
      </c>
      <c r="F6" s="100">
        <v>2069</v>
      </c>
      <c r="G6" s="101">
        <f t="shared" si="0"/>
        <v>61076.88</v>
      </c>
      <c r="H6" s="26"/>
      <c r="I6" s="102">
        <v>11</v>
      </c>
      <c r="J6" s="103">
        <v>3600</v>
      </c>
      <c r="K6" s="104">
        <f t="shared" ref="K6:K10" si="8">J6/I6</f>
        <v>327.27272727272725</v>
      </c>
      <c r="L6" s="105">
        <v>11</v>
      </c>
      <c r="M6" s="103">
        <f t="shared" si="1"/>
        <v>3155.4918454523622</v>
      </c>
      <c r="N6" s="104">
        <f t="shared" si="2"/>
        <v>286.86289504112386</v>
      </c>
      <c r="O6" s="106">
        <f t="shared" si="3"/>
        <v>0</v>
      </c>
      <c r="P6" s="107">
        <f t="shared" si="4"/>
        <v>-40.409832231603389</v>
      </c>
      <c r="Q6" s="108">
        <f t="shared" si="5"/>
        <v>0.87652551262565626</v>
      </c>
      <c r="R6" s="308"/>
      <c r="S6" s="46">
        <v>0.26874999999999999</v>
      </c>
      <c r="T6" s="47">
        <v>0.29606481481481478</v>
      </c>
      <c r="U6" s="109">
        <v>5</v>
      </c>
      <c r="V6" s="110">
        <v>39.340935131525796</v>
      </c>
      <c r="W6" s="111"/>
      <c r="X6" s="114"/>
      <c r="Y6" s="299"/>
      <c r="Z6" s="300"/>
      <c r="AA6" s="115">
        <f t="shared" si="6"/>
        <v>-444.50815454763779</v>
      </c>
      <c r="AB6" s="108">
        <f t="shared" si="7"/>
        <v>0.87652551262565614</v>
      </c>
      <c r="AC6" s="313"/>
    </row>
    <row r="7" spans="1:29" ht="15.75" customHeight="1">
      <c r="A7" s="316"/>
      <c r="B7" s="98" t="s">
        <v>114</v>
      </c>
      <c r="C7" s="297" t="s">
        <v>192</v>
      </c>
      <c r="D7" s="298"/>
      <c r="E7" s="99">
        <v>29.85</v>
      </c>
      <c r="F7" s="100">
        <v>2433</v>
      </c>
      <c r="G7" s="101">
        <f t="shared" si="0"/>
        <v>72625.05</v>
      </c>
      <c r="H7" s="26"/>
      <c r="I7" s="102">
        <v>11</v>
      </c>
      <c r="J7" s="103">
        <v>3600</v>
      </c>
      <c r="K7" s="104">
        <f t="shared" si="8"/>
        <v>327.27272727272725</v>
      </c>
      <c r="L7" s="105">
        <v>11</v>
      </c>
      <c r="M7" s="103">
        <f t="shared" si="1"/>
        <v>3156.2104513590139</v>
      </c>
      <c r="N7" s="104">
        <f t="shared" si="2"/>
        <v>286.92822285081945</v>
      </c>
      <c r="O7" s="106">
        <f t="shared" si="3"/>
        <v>0</v>
      </c>
      <c r="P7" s="107">
        <f t="shared" si="4"/>
        <v>-40.3445044219078</v>
      </c>
      <c r="Q7" s="108">
        <f t="shared" si="5"/>
        <v>0.87672512537750391</v>
      </c>
      <c r="R7" s="308"/>
      <c r="S7" s="46">
        <v>0.3</v>
      </c>
      <c r="T7" s="47">
        <v>0.33211805555555551</v>
      </c>
      <c r="U7" s="109">
        <v>5.6666666666666998</v>
      </c>
      <c r="V7" s="110">
        <v>46.251668654459763</v>
      </c>
      <c r="W7" s="111"/>
      <c r="X7" s="114"/>
      <c r="Y7" s="299"/>
      <c r="Z7" s="300"/>
      <c r="AA7" s="115">
        <f t="shared" si="6"/>
        <v>-443.78954864098614</v>
      </c>
      <c r="AB7" s="108">
        <f t="shared" si="7"/>
        <v>0.8767251253775038</v>
      </c>
      <c r="AC7" s="313"/>
    </row>
    <row r="8" spans="1:29" ht="15.75" customHeight="1">
      <c r="A8" s="316"/>
      <c r="B8" s="98" t="s">
        <v>114</v>
      </c>
      <c r="C8" s="297" t="s">
        <v>208</v>
      </c>
      <c r="D8" s="298"/>
      <c r="E8" s="99">
        <v>30</v>
      </c>
      <c r="F8" s="100">
        <v>220</v>
      </c>
      <c r="G8" s="101">
        <f t="shared" si="0"/>
        <v>6600</v>
      </c>
      <c r="H8" s="26"/>
      <c r="I8" s="102">
        <v>11</v>
      </c>
      <c r="J8" s="103">
        <v>3600</v>
      </c>
      <c r="K8" s="104">
        <f t="shared" si="8"/>
        <v>327.27272727272725</v>
      </c>
      <c r="L8" s="105">
        <v>11</v>
      </c>
      <c r="M8" s="103">
        <f t="shared" si="1"/>
        <v>3158.0672902507613</v>
      </c>
      <c r="N8" s="104">
        <f t="shared" si="2"/>
        <v>287.09702638643284</v>
      </c>
      <c r="O8" s="106">
        <f t="shared" si="3"/>
        <v>0</v>
      </c>
      <c r="P8" s="107">
        <f t="shared" si="4"/>
        <v>-40.175700886294408</v>
      </c>
      <c r="Q8" s="108">
        <f t="shared" si="5"/>
        <v>0.87724091395854487</v>
      </c>
      <c r="R8" s="308"/>
      <c r="S8" s="46">
        <v>0.33611111111111108</v>
      </c>
      <c r="T8" s="47">
        <v>0.33900462962962963</v>
      </c>
      <c r="U8" s="109">
        <v>5.7500000000000195</v>
      </c>
      <c r="V8" s="110">
        <v>4.1797716092844475</v>
      </c>
      <c r="W8" s="111"/>
      <c r="X8" s="114"/>
      <c r="Y8" s="299"/>
      <c r="Z8" s="300"/>
      <c r="AA8" s="115">
        <f t="shared" si="6"/>
        <v>-441.93270974923871</v>
      </c>
      <c r="AB8" s="108">
        <f t="shared" si="7"/>
        <v>0.87724091395854475</v>
      </c>
      <c r="AC8" s="313"/>
    </row>
    <row r="9" spans="1:29" ht="15.75" customHeight="1">
      <c r="A9" s="316"/>
      <c r="B9" s="98" t="s">
        <v>114</v>
      </c>
      <c r="C9" s="297" t="s">
        <v>231</v>
      </c>
      <c r="D9" s="298"/>
      <c r="E9" s="99">
        <v>30.95</v>
      </c>
      <c r="F9" s="100">
        <v>2049</v>
      </c>
      <c r="G9" s="101">
        <f t="shared" si="0"/>
        <v>63416.549999999996</v>
      </c>
      <c r="H9" s="13"/>
      <c r="I9" s="102">
        <v>12</v>
      </c>
      <c r="J9" s="103">
        <v>3600</v>
      </c>
      <c r="K9" s="104">
        <f t="shared" si="8"/>
        <v>300</v>
      </c>
      <c r="L9" s="105">
        <v>12</v>
      </c>
      <c r="M9" s="103">
        <f t="shared" si="1"/>
        <v>3156.7290080644775</v>
      </c>
      <c r="N9" s="104">
        <f t="shared" si="2"/>
        <v>263.06075067203977</v>
      </c>
      <c r="O9" s="106">
        <f t="shared" si="3"/>
        <v>0</v>
      </c>
      <c r="P9" s="107">
        <f t="shared" si="4"/>
        <v>-36.939249327960226</v>
      </c>
      <c r="Q9" s="108">
        <f t="shared" si="5"/>
        <v>0.87686916890679922</v>
      </c>
      <c r="R9" s="308"/>
      <c r="S9" s="46">
        <v>0.34236111111111106</v>
      </c>
      <c r="T9" s="47">
        <v>0.36939814814814809</v>
      </c>
      <c r="U9" s="109">
        <v>4.8333333333332629</v>
      </c>
      <c r="V9" s="110">
        <v>38.945376586310033</v>
      </c>
      <c r="W9" s="111"/>
      <c r="X9" s="114"/>
      <c r="Y9" s="299"/>
      <c r="Z9" s="300"/>
      <c r="AA9" s="115">
        <f t="shared" si="6"/>
        <v>-443.27099193552249</v>
      </c>
      <c r="AB9" s="108">
        <f t="shared" si="7"/>
        <v>0.87686916890679933</v>
      </c>
      <c r="AC9" s="313"/>
    </row>
    <row r="10" spans="1:29" ht="15.75" customHeight="1">
      <c r="A10" s="316"/>
      <c r="B10" s="98" t="s">
        <v>118</v>
      </c>
      <c r="C10" s="297" t="s">
        <v>119</v>
      </c>
      <c r="D10" s="298"/>
      <c r="E10" s="99">
        <v>28.57</v>
      </c>
      <c r="F10" s="100">
        <v>788</v>
      </c>
      <c r="G10" s="119">
        <f t="shared" si="0"/>
        <v>22513.16</v>
      </c>
      <c r="H10" s="120"/>
      <c r="I10" s="102">
        <v>12</v>
      </c>
      <c r="J10" s="103">
        <v>3600</v>
      </c>
      <c r="K10" s="104">
        <f t="shared" si="8"/>
        <v>300</v>
      </c>
      <c r="L10" s="105">
        <v>12</v>
      </c>
      <c r="M10" s="103">
        <f t="shared" si="1"/>
        <v>3122.0674556988347</v>
      </c>
      <c r="N10" s="104">
        <f t="shared" si="2"/>
        <v>260.17228797490287</v>
      </c>
      <c r="O10" s="106">
        <f t="shared" si="3"/>
        <v>0</v>
      </c>
      <c r="P10" s="107">
        <f t="shared" si="4"/>
        <v>-39.827712025097128</v>
      </c>
      <c r="Q10" s="108">
        <f t="shared" si="5"/>
        <v>0.86724095991634287</v>
      </c>
      <c r="R10" s="308"/>
      <c r="S10" s="46">
        <v>0.37291666666666662</v>
      </c>
      <c r="T10" s="118">
        <v>0.38342592592592589</v>
      </c>
      <c r="U10" s="109">
        <v>5.066666666666686</v>
      </c>
      <c r="V10" s="110">
        <v>15.143811167083504</v>
      </c>
      <c r="W10" s="111"/>
      <c r="X10" s="114"/>
      <c r="Y10" s="299"/>
      <c r="Z10" s="300"/>
      <c r="AA10" s="115">
        <f t="shared" si="6"/>
        <v>-477.93254430116531</v>
      </c>
      <c r="AB10" s="108">
        <f t="shared" si="7"/>
        <v>0.86724095991634298</v>
      </c>
      <c r="AC10" s="313"/>
    </row>
    <row r="11" spans="1:29" ht="15.75" customHeight="1">
      <c r="A11" s="316"/>
      <c r="B11" s="98"/>
      <c r="C11" s="297"/>
      <c r="D11" s="298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8"/>
      <c r="S11" s="46"/>
      <c r="T11" s="118"/>
      <c r="U11" s="109"/>
      <c r="V11" s="110"/>
      <c r="W11" s="111"/>
      <c r="X11" s="114"/>
      <c r="Y11" s="299"/>
      <c r="Z11" s="300"/>
      <c r="AA11" s="115"/>
      <c r="AB11" s="108"/>
      <c r="AC11" s="313"/>
    </row>
    <row r="12" spans="1:29" ht="15.75" customHeight="1">
      <c r="A12" s="316"/>
      <c r="B12" s="98"/>
      <c r="C12" s="297"/>
      <c r="D12" s="298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8"/>
      <c r="S12" s="46"/>
      <c r="T12" s="118"/>
      <c r="U12" s="109"/>
      <c r="V12" s="110"/>
      <c r="W12" s="111"/>
      <c r="X12" s="114"/>
      <c r="Y12" s="299"/>
      <c r="Z12" s="300"/>
      <c r="AA12" s="115"/>
      <c r="AB12" s="108"/>
      <c r="AC12" s="313"/>
    </row>
    <row r="13" spans="1:29" ht="15.75" customHeight="1">
      <c r="A13" s="316"/>
      <c r="B13" s="98"/>
      <c r="C13" s="297"/>
      <c r="D13" s="298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8"/>
      <c r="S13" s="46"/>
      <c r="T13" s="118"/>
      <c r="U13" s="109"/>
      <c r="V13" s="110"/>
      <c r="W13" s="111"/>
      <c r="X13" s="125"/>
      <c r="Y13" s="299"/>
      <c r="Z13" s="300"/>
      <c r="AA13" s="115"/>
      <c r="AB13" s="108"/>
      <c r="AC13" s="313"/>
    </row>
    <row r="14" spans="1:29" ht="15.75" customHeight="1">
      <c r="A14" s="316"/>
      <c r="B14" s="98"/>
      <c r="C14" s="297"/>
      <c r="D14" s="298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8"/>
      <c r="S14" s="46"/>
      <c r="T14" s="118"/>
      <c r="U14" s="109"/>
      <c r="V14" s="110"/>
      <c r="W14" s="111"/>
      <c r="X14" s="125"/>
      <c r="Y14" s="299"/>
      <c r="Z14" s="300"/>
      <c r="AA14" s="115"/>
      <c r="AB14" s="108"/>
      <c r="AC14" s="313"/>
    </row>
    <row r="15" spans="1:29" ht="15.75" customHeight="1">
      <c r="A15" s="316"/>
      <c r="B15" s="98"/>
      <c r="C15" s="297"/>
      <c r="D15" s="298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8"/>
      <c r="S15" s="46"/>
      <c r="T15" s="118"/>
      <c r="U15" s="109"/>
      <c r="V15" s="110"/>
      <c r="W15" s="111"/>
      <c r="X15" s="125"/>
      <c r="Y15" s="299"/>
      <c r="Z15" s="300"/>
      <c r="AA15" s="115"/>
      <c r="AB15" s="108"/>
      <c r="AC15" s="313"/>
    </row>
    <row r="16" spans="1:29" ht="15.75" customHeight="1">
      <c r="A16" s="316"/>
      <c r="B16" s="98"/>
      <c r="C16" s="297"/>
      <c r="D16" s="298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8"/>
      <c r="S16" s="46"/>
      <c r="T16" s="118"/>
      <c r="U16" s="109"/>
      <c r="V16" s="110"/>
      <c r="W16" s="111"/>
      <c r="X16" s="125"/>
      <c r="Y16" s="299"/>
      <c r="Z16" s="300"/>
      <c r="AA16" s="115"/>
      <c r="AB16" s="108"/>
      <c r="AC16" s="313"/>
    </row>
    <row r="17" spans="1:29" ht="15.75" customHeight="1">
      <c r="A17" s="316"/>
      <c r="B17" s="98"/>
      <c r="C17" s="297"/>
      <c r="D17" s="298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8"/>
      <c r="S17" s="46"/>
      <c r="T17" s="118"/>
      <c r="U17" s="109"/>
      <c r="V17" s="110"/>
      <c r="W17" s="111"/>
      <c r="X17" s="125"/>
      <c r="Y17" s="299"/>
      <c r="Z17" s="300"/>
      <c r="AA17" s="115"/>
      <c r="AB17" s="108"/>
      <c r="AC17" s="313"/>
    </row>
    <row r="18" spans="1:29" ht="15.75" customHeight="1">
      <c r="A18" s="316"/>
      <c r="B18" s="98"/>
      <c r="C18" s="297"/>
      <c r="D18" s="298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8"/>
      <c r="S18" s="46"/>
      <c r="T18" s="118"/>
      <c r="U18" s="109"/>
      <c r="V18" s="110"/>
      <c r="W18" s="111"/>
      <c r="X18" s="125"/>
      <c r="Y18" s="299"/>
      <c r="Z18" s="300"/>
      <c r="AA18" s="115"/>
      <c r="AB18" s="108"/>
      <c r="AC18" s="313"/>
    </row>
    <row r="19" spans="1:29" ht="15.75" customHeight="1">
      <c r="A19" s="316"/>
      <c r="B19" s="98"/>
      <c r="C19" s="297"/>
      <c r="D19" s="298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8"/>
      <c r="S19" s="46"/>
      <c r="T19" s="118"/>
      <c r="U19" s="109"/>
      <c r="V19" s="110"/>
      <c r="W19" s="111"/>
      <c r="X19" s="125"/>
      <c r="Y19" s="299"/>
      <c r="Z19" s="300"/>
      <c r="AA19" s="115"/>
      <c r="AB19" s="108"/>
      <c r="AC19" s="313"/>
    </row>
    <row r="20" spans="1:29" ht="15.75" customHeight="1">
      <c r="A20" s="316"/>
      <c r="B20" s="161"/>
      <c r="C20" s="297"/>
      <c r="D20" s="298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8"/>
      <c r="S20" s="117"/>
      <c r="T20" s="118"/>
      <c r="U20" s="128"/>
      <c r="V20" s="129"/>
      <c r="W20" s="124"/>
      <c r="X20" s="125"/>
      <c r="Y20" s="299"/>
      <c r="Z20" s="300"/>
      <c r="AA20" s="163"/>
      <c r="AB20" s="123"/>
      <c r="AC20" s="313"/>
    </row>
    <row r="21" spans="1:29" ht="15.75" customHeight="1" thickBot="1">
      <c r="A21" s="317"/>
      <c r="B21" s="131" t="s">
        <v>115</v>
      </c>
      <c r="C21" s="294"/>
      <c r="D21" s="294"/>
      <c r="E21" s="132"/>
      <c r="F21" s="165"/>
      <c r="G21" s="133"/>
      <c r="H21" s="67"/>
      <c r="I21" s="134">
        <f t="shared" ref="I21:J21" si="9">AVERAGE(I5:I20)</f>
        <v>11.166666666666666</v>
      </c>
      <c r="J21" s="135">
        <f t="shared" si="9"/>
        <v>3600</v>
      </c>
      <c r="K21" s="136">
        <f t="shared" ref="K21" si="10">J21/I21</f>
        <v>322.38805970149258</v>
      </c>
      <c r="L21" s="134">
        <f t="shared" ref="L21:M21" si="11">AVERAGE(L5:L20)</f>
        <v>11.166666666666666</v>
      </c>
      <c r="M21" s="135">
        <f t="shared" si="11"/>
        <v>3160.789266996439</v>
      </c>
      <c r="N21" s="136">
        <f>M21/L21</f>
        <v>283.05575525341249</v>
      </c>
      <c r="O21" s="137">
        <f>L21-I21</f>
        <v>0</v>
      </c>
      <c r="P21" s="138">
        <f>N21-K21</f>
        <v>-39.332304448080095</v>
      </c>
      <c r="Q21" s="139">
        <f>N21/K21</f>
        <v>0.87799701861012192</v>
      </c>
      <c r="R21" s="309"/>
      <c r="S21" s="140">
        <v>0.25</v>
      </c>
      <c r="T21" s="141">
        <v>0.47807870370370364</v>
      </c>
      <c r="U21" s="142"/>
      <c r="V21" s="164"/>
      <c r="W21" s="165"/>
      <c r="X21" s="136"/>
      <c r="Y21" s="295"/>
      <c r="Z21" s="296"/>
      <c r="AA21" s="166">
        <f>M21-J21</f>
        <v>-439.21073300356102</v>
      </c>
      <c r="AB21" s="139">
        <f>M21/J21</f>
        <v>0.87799701861012192</v>
      </c>
      <c r="AC21" s="314"/>
    </row>
    <row r="22" spans="1:29" ht="15.75" customHeight="1">
      <c r="A22" s="301" t="s">
        <v>121</v>
      </c>
      <c r="B22" s="112" t="s">
        <v>118</v>
      </c>
      <c r="C22" s="305" t="s">
        <v>182</v>
      </c>
      <c r="D22" s="306"/>
      <c r="E22" s="145">
        <v>18.53</v>
      </c>
      <c r="F22" s="95">
        <v>1598</v>
      </c>
      <c r="G22" s="146">
        <f t="shared" ref="G22:G23" si="12">E22*F22</f>
        <v>29610.940000000002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3075.8832105166593</v>
      </c>
      <c r="N22" s="150">
        <f>M22/L22</f>
        <v>1025.2944035055532</v>
      </c>
      <c r="O22" s="152">
        <f>L22-I22</f>
        <v>0</v>
      </c>
      <c r="P22" s="153">
        <f>N22-K22</f>
        <v>-74.705596494446809</v>
      </c>
      <c r="Q22" s="154">
        <f>N22/K22</f>
        <v>0.93208582136868467</v>
      </c>
      <c r="R22" s="307">
        <f>Q38</f>
        <v>0.93184278959652933</v>
      </c>
      <c r="S22" s="155">
        <v>0.3263888888888889</v>
      </c>
      <c r="T22" s="156">
        <v>0.34803240740740743</v>
      </c>
      <c r="U22" s="157"/>
      <c r="V22" s="110">
        <v>31.171534625300335</v>
      </c>
      <c r="W22" s="159"/>
      <c r="X22" s="160"/>
      <c r="Y22" s="310"/>
      <c r="Z22" s="311"/>
      <c r="AA22" s="113">
        <f>M22-J22</f>
        <v>-224.11678948334065</v>
      </c>
      <c r="AB22" s="154">
        <f>M22/J22</f>
        <v>0.93208582136868467</v>
      </c>
      <c r="AC22" s="312">
        <f>AB38</f>
        <v>0.93184278959652933</v>
      </c>
    </row>
    <row r="23" spans="1:29" ht="15.75" customHeight="1">
      <c r="A23" s="302"/>
      <c r="B23" s="98" t="s">
        <v>118</v>
      </c>
      <c r="C23" s="297" t="s">
        <v>225</v>
      </c>
      <c r="D23" s="298"/>
      <c r="E23" s="99">
        <v>22.95</v>
      </c>
      <c r="F23" s="100">
        <v>3131</v>
      </c>
      <c r="G23" s="101">
        <f t="shared" si="12"/>
        <v>71856.45</v>
      </c>
      <c r="H23" s="26"/>
      <c r="I23" s="102">
        <v>5</v>
      </c>
      <c r="J23" s="103">
        <v>2700</v>
      </c>
      <c r="K23" s="104">
        <f t="shared" ref="K23" si="13">J23/I23</f>
        <v>540</v>
      </c>
      <c r="L23" s="105">
        <v>5</v>
      </c>
      <c r="M23" s="103">
        <f>F23/V23*60</f>
        <v>2515.1735270625168</v>
      </c>
      <c r="N23" s="104">
        <f>M23/L23</f>
        <v>503.03470541250334</v>
      </c>
      <c r="O23" s="106">
        <f>L23-I23</f>
        <v>0</v>
      </c>
      <c r="P23" s="107">
        <f>N23-K23</f>
        <v>-36.965294587496658</v>
      </c>
      <c r="Q23" s="108">
        <f>N23/K23</f>
        <v>0.93154575076389512</v>
      </c>
      <c r="R23" s="308"/>
      <c r="S23" s="46">
        <v>0.35138888888888886</v>
      </c>
      <c r="T23" s="47">
        <v>0.40325231481481477</v>
      </c>
      <c r="U23" s="109">
        <v>4.8333333333332629</v>
      </c>
      <c r="V23" s="110">
        <v>74.690671629087404</v>
      </c>
      <c r="W23" s="111"/>
      <c r="X23" s="114"/>
      <c r="Y23" s="299"/>
      <c r="Z23" s="300"/>
      <c r="AA23" s="115">
        <f>M23-J23</f>
        <v>-184.82647293748323</v>
      </c>
      <c r="AB23" s="108">
        <f>M23/J23</f>
        <v>0.93154575076389512</v>
      </c>
      <c r="AC23" s="313"/>
    </row>
    <row r="24" spans="1:29" ht="15.75" customHeight="1">
      <c r="A24" s="302"/>
      <c r="B24" s="98"/>
      <c r="C24" s="297"/>
      <c r="D24" s="298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08"/>
      <c r="S24" s="46"/>
      <c r="T24" s="47"/>
      <c r="U24" s="109"/>
      <c r="V24" s="110"/>
      <c r="W24" s="111"/>
      <c r="X24" s="114"/>
      <c r="Y24" s="299"/>
      <c r="Z24" s="300"/>
      <c r="AA24" s="115"/>
      <c r="AB24" s="108"/>
      <c r="AC24" s="313"/>
    </row>
    <row r="25" spans="1:29" ht="15.75" customHeight="1">
      <c r="A25" s="302"/>
      <c r="B25" s="98"/>
      <c r="C25" s="297"/>
      <c r="D25" s="298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8"/>
      <c r="S25" s="46"/>
      <c r="T25" s="47"/>
      <c r="U25" s="109"/>
      <c r="V25" s="110"/>
      <c r="W25" s="111"/>
      <c r="X25" s="114"/>
      <c r="Y25" s="299"/>
      <c r="Z25" s="300"/>
      <c r="AA25" s="115"/>
      <c r="AB25" s="108"/>
      <c r="AC25" s="313"/>
    </row>
    <row r="26" spans="1:29" ht="15.75" customHeight="1">
      <c r="A26" s="303"/>
      <c r="B26" s="98"/>
      <c r="C26" s="297"/>
      <c r="D26" s="298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8"/>
      <c r="S26" s="46"/>
      <c r="T26" s="47"/>
      <c r="U26" s="109"/>
      <c r="V26" s="110"/>
      <c r="W26" s="111"/>
      <c r="X26" s="114"/>
      <c r="Y26" s="299"/>
      <c r="Z26" s="300"/>
      <c r="AA26" s="115"/>
      <c r="AB26" s="108"/>
      <c r="AC26" s="313"/>
    </row>
    <row r="27" spans="1:29" ht="15.75" customHeight="1">
      <c r="A27" s="303"/>
      <c r="B27" s="98"/>
      <c r="C27" s="297"/>
      <c r="D27" s="298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8"/>
      <c r="S27" s="46"/>
      <c r="T27" s="118"/>
      <c r="U27" s="109"/>
      <c r="V27" s="110"/>
      <c r="W27" s="111"/>
      <c r="X27" s="114"/>
      <c r="Y27" s="299"/>
      <c r="Z27" s="300"/>
      <c r="AA27" s="115"/>
      <c r="AB27" s="108"/>
      <c r="AC27" s="313"/>
    </row>
    <row r="28" spans="1:29" ht="15.75" customHeight="1">
      <c r="A28" s="303"/>
      <c r="B28" s="98"/>
      <c r="C28" s="297"/>
      <c r="D28" s="298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8"/>
      <c r="S28" s="46"/>
      <c r="T28" s="118"/>
      <c r="U28" s="109"/>
      <c r="V28" s="110"/>
      <c r="W28" s="111"/>
      <c r="X28" s="114"/>
      <c r="Y28" s="299"/>
      <c r="Z28" s="300"/>
      <c r="AA28" s="115"/>
      <c r="AB28" s="108"/>
      <c r="AC28" s="313"/>
    </row>
    <row r="29" spans="1:29" ht="15.75" customHeight="1">
      <c r="A29" s="303"/>
      <c r="B29" s="98"/>
      <c r="C29" s="297"/>
      <c r="D29" s="298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8"/>
      <c r="S29" s="46"/>
      <c r="T29" s="118"/>
      <c r="U29" s="109"/>
      <c r="V29" s="110"/>
      <c r="W29" s="111"/>
      <c r="X29" s="114"/>
      <c r="Y29" s="299"/>
      <c r="Z29" s="300"/>
      <c r="AA29" s="115"/>
      <c r="AB29" s="108"/>
      <c r="AC29" s="313"/>
    </row>
    <row r="30" spans="1:29" ht="15.75" customHeight="1">
      <c r="A30" s="303"/>
      <c r="B30" s="98"/>
      <c r="C30" s="297"/>
      <c r="D30" s="298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8"/>
      <c r="S30" s="46"/>
      <c r="T30" s="118"/>
      <c r="U30" s="109"/>
      <c r="V30" s="110"/>
      <c r="W30" s="111"/>
      <c r="X30" s="114"/>
      <c r="Y30" s="299"/>
      <c r="Z30" s="300"/>
      <c r="AA30" s="115"/>
      <c r="AB30" s="108"/>
      <c r="AC30" s="313"/>
    </row>
    <row r="31" spans="1:29" ht="15.75" customHeight="1">
      <c r="A31" s="303"/>
      <c r="B31" s="98"/>
      <c r="C31" s="297"/>
      <c r="D31" s="298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8"/>
      <c r="S31" s="46"/>
      <c r="T31" s="118"/>
      <c r="U31" s="109"/>
      <c r="V31" s="110"/>
      <c r="W31" s="111"/>
      <c r="X31" s="114"/>
      <c r="Y31" s="299"/>
      <c r="Z31" s="300"/>
      <c r="AA31" s="115"/>
      <c r="AB31" s="108"/>
      <c r="AC31" s="313"/>
    </row>
    <row r="32" spans="1:29" ht="15.75" customHeight="1">
      <c r="A32" s="303"/>
      <c r="B32" s="98"/>
      <c r="C32" s="297"/>
      <c r="D32" s="298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8"/>
      <c r="S32" s="46"/>
      <c r="T32" s="118"/>
      <c r="U32" s="109"/>
      <c r="V32" s="110"/>
      <c r="W32" s="111"/>
      <c r="X32" s="114"/>
      <c r="Y32" s="299"/>
      <c r="Z32" s="300"/>
      <c r="AA32" s="115"/>
      <c r="AB32" s="108"/>
      <c r="AC32" s="313"/>
    </row>
    <row r="33" spans="1:29" ht="15.75" customHeight="1">
      <c r="A33" s="303"/>
      <c r="B33" s="98"/>
      <c r="C33" s="297"/>
      <c r="D33" s="298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8"/>
      <c r="S33" s="46"/>
      <c r="T33" s="118"/>
      <c r="U33" s="109"/>
      <c r="V33" s="110"/>
      <c r="W33" s="111"/>
      <c r="X33" s="114"/>
      <c r="Y33" s="299"/>
      <c r="Z33" s="300"/>
      <c r="AA33" s="115"/>
      <c r="AB33" s="108"/>
      <c r="AC33" s="313"/>
    </row>
    <row r="34" spans="1:29" ht="15.75" customHeight="1">
      <c r="A34" s="303"/>
      <c r="B34" s="98"/>
      <c r="C34" s="297"/>
      <c r="D34" s="298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8"/>
      <c r="S34" s="46"/>
      <c r="T34" s="118"/>
      <c r="U34" s="109"/>
      <c r="V34" s="110"/>
      <c r="W34" s="111"/>
      <c r="X34" s="114"/>
      <c r="Y34" s="299"/>
      <c r="Z34" s="300"/>
      <c r="AA34" s="115"/>
      <c r="AB34" s="108"/>
      <c r="AC34" s="313"/>
    </row>
    <row r="35" spans="1:29" ht="15.75" customHeight="1">
      <c r="A35" s="303"/>
      <c r="B35" s="98"/>
      <c r="C35" s="297"/>
      <c r="D35" s="298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8"/>
      <c r="S35" s="46"/>
      <c r="T35" s="118"/>
      <c r="U35" s="109"/>
      <c r="V35" s="110"/>
      <c r="W35" s="111"/>
      <c r="X35" s="114"/>
      <c r="Y35" s="299"/>
      <c r="Z35" s="300"/>
      <c r="AA35" s="115"/>
      <c r="AB35" s="108"/>
      <c r="AC35" s="313"/>
    </row>
    <row r="36" spans="1:29" ht="15.75" customHeight="1">
      <c r="A36" s="303"/>
      <c r="B36" s="98"/>
      <c r="C36" s="297"/>
      <c r="D36" s="298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8"/>
      <c r="S36" s="46"/>
      <c r="T36" s="118"/>
      <c r="U36" s="109"/>
      <c r="V36" s="110"/>
      <c r="W36" s="111"/>
      <c r="X36" s="114"/>
      <c r="Y36" s="299"/>
      <c r="Z36" s="300"/>
      <c r="AA36" s="115"/>
      <c r="AB36" s="108"/>
      <c r="AC36" s="313"/>
    </row>
    <row r="37" spans="1:29" ht="15.75" customHeight="1">
      <c r="A37" s="303"/>
      <c r="B37" s="98"/>
      <c r="C37" s="297"/>
      <c r="D37" s="298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8"/>
      <c r="S37" s="117"/>
      <c r="T37" s="118"/>
      <c r="U37" s="128"/>
      <c r="V37" s="129"/>
      <c r="W37" s="124"/>
      <c r="X37" s="125"/>
      <c r="Y37" s="299"/>
      <c r="Z37" s="300"/>
      <c r="AA37" s="163"/>
      <c r="AB37" s="123"/>
      <c r="AC37" s="313"/>
    </row>
    <row r="38" spans="1:29" ht="15.75" customHeight="1" thickBot="1">
      <c r="A38" s="304"/>
      <c r="B38" s="131" t="s">
        <v>115</v>
      </c>
      <c r="C38" s="294"/>
      <c r="D38" s="294"/>
      <c r="E38" s="132"/>
      <c r="F38" s="97"/>
      <c r="G38" s="133"/>
      <c r="H38" s="67"/>
      <c r="I38" s="134">
        <f t="shared" ref="I38:J38" si="14">AVERAGE(I22:I37)</f>
        <v>4</v>
      </c>
      <c r="J38" s="135">
        <f t="shared" si="14"/>
        <v>3000</v>
      </c>
      <c r="K38" s="136">
        <f t="shared" ref="K38" si="15">J38/I38</f>
        <v>750</v>
      </c>
      <c r="L38" s="134">
        <f t="shared" ref="L38:M38" si="16">AVERAGE(L22:L37)</f>
        <v>4</v>
      </c>
      <c r="M38" s="135">
        <f t="shared" si="16"/>
        <v>2795.5283687895881</v>
      </c>
      <c r="N38" s="136">
        <f t="shared" ref="N38:N46" si="17">M38/L38</f>
        <v>698.88209219739701</v>
      </c>
      <c r="O38" s="137">
        <f t="shared" ref="O38:O46" si="18">L38-I38</f>
        <v>0</v>
      </c>
      <c r="P38" s="138">
        <f t="shared" ref="P38:P46" si="19">N38-K38</f>
        <v>-51.117907802602986</v>
      </c>
      <c r="Q38" s="139">
        <f t="shared" ref="Q38:Q46" si="20">N38/K38</f>
        <v>0.93184278959652933</v>
      </c>
      <c r="R38" s="309"/>
      <c r="S38" s="140">
        <v>0.3263888888888889</v>
      </c>
      <c r="T38" s="141">
        <v>0.40325231481481477</v>
      </c>
      <c r="U38" s="142"/>
      <c r="V38" s="164"/>
      <c r="W38" s="97"/>
      <c r="X38" s="67"/>
      <c r="Y38" s="295"/>
      <c r="Z38" s="296"/>
      <c r="AA38" s="166">
        <f t="shared" ref="AA38:AA46" si="21">M38-J38</f>
        <v>-204.47163121041194</v>
      </c>
      <c r="AB38" s="139">
        <f t="shared" ref="AB38:AB46" si="22">M38/J38</f>
        <v>0.93184278959652933</v>
      </c>
      <c r="AC38" s="314"/>
    </row>
    <row r="39" spans="1:29" ht="15.75" customHeight="1">
      <c r="A39" s="315" t="s">
        <v>71</v>
      </c>
      <c r="B39" s="112" t="s">
        <v>118</v>
      </c>
      <c r="C39" s="305" t="s">
        <v>129</v>
      </c>
      <c r="D39" s="306"/>
      <c r="E39" s="145">
        <v>24.82</v>
      </c>
      <c r="F39" s="95">
        <v>798</v>
      </c>
      <c r="G39" s="146">
        <f t="shared" ref="G39:G46" si="23">E39*F39</f>
        <v>19806.36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6" si="24">F39/V39*60</f>
        <v>3283.6411082212335</v>
      </c>
      <c r="N39" s="150">
        <f t="shared" si="17"/>
        <v>656.72822164424667</v>
      </c>
      <c r="O39" s="152">
        <f t="shared" si="18"/>
        <v>0</v>
      </c>
      <c r="P39" s="153">
        <f t="shared" si="19"/>
        <v>-63.271778355753327</v>
      </c>
      <c r="Q39" s="154">
        <f t="shared" si="20"/>
        <v>0.91212253006145372</v>
      </c>
      <c r="R39" s="307">
        <f>Q55</f>
        <v>0.91915263236091327</v>
      </c>
      <c r="S39" s="155">
        <v>0.25</v>
      </c>
      <c r="T39" s="156">
        <v>0.26011574074074073</v>
      </c>
      <c r="U39" s="157"/>
      <c r="V39" s="158">
        <v>14.5813742799489</v>
      </c>
      <c r="W39" s="159"/>
      <c r="X39" s="160"/>
      <c r="Y39" s="310"/>
      <c r="Z39" s="311"/>
      <c r="AA39" s="113">
        <f t="shared" si="21"/>
        <v>-316.35889177876652</v>
      </c>
      <c r="AB39" s="154">
        <f t="shared" si="22"/>
        <v>0.91212253006145372</v>
      </c>
      <c r="AC39" s="312">
        <f>AB55</f>
        <v>0.91915263236091327</v>
      </c>
    </row>
    <row r="40" spans="1:29" ht="15.75" customHeight="1">
      <c r="A40" s="316"/>
      <c r="B40" s="98" t="s">
        <v>118</v>
      </c>
      <c r="C40" s="297" t="s">
        <v>128</v>
      </c>
      <c r="D40" s="298"/>
      <c r="E40" s="99">
        <v>25.03</v>
      </c>
      <c r="F40" s="100">
        <v>676</v>
      </c>
      <c r="G40" s="101">
        <f t="shared" si="23"/>
        <v>16920.280000000002</v>
      </c>
      <c r="H40" s="26"/>
      <c r="I40" s="102">
        <v>5</v>
      </c>
      <c r="J40" s="103">
        <v>3600</v>
      </c>
      <c r="K40" s="104">
        <f t="shared" ref="K40:K63" si="25">J40/I40</f>
        <v>720</v>
      </c>
      <c r="L40" s="105">
        <v>5</v>
      </c>
      <c r="M40" s="103">
        <f t="shared" si="24"/>
        <v>3284.1625846241709</v>
      </c>
      <c r="N40" s="104">
        <f t="shared" si="17"/>
        <v>656.83251692483418</v>
      </c>
      <c r="O40" s="106">
        <f t="shared" si="18"/>
        <v>0</v>
      </c>
      <c r="P40" s="107">
        <f t="shared" si="19"/>
        <v>-63.167483075165819</v>
      </c>
      <c r="Q40" s="108">
        <f t="shared" si="20"/>
        <v>0.91226738461782531</v>
      </c>
      <c r="R40" s="308"/>
      <c r="S40" s="46">
        <v>0.26944444444444449</v>
      </c>
      <c r="T40" s="47">
        <v>0.27802083333333338</v>
      </c>
      <c r="U40" s="109">
        <v>13.433333333333408</v>
      </c>
      <c r="V40" s="110">
        <v>12.3501802833679</v>
      </c>
      <c r="W40" s="111"/>
      <c r="X40" s="114"/>
      <c r="Y40" s="299"/>
      <c r="Z40" s="300"/>
      <c r="AA40" s="115">
        <f t="shared" si="21"/>
        <v>-315.8374153758291</v>
      </c>
      <c r="AB40" s="108">
        <f t="shared" si="22"/>
        <v>0.91226738461782531</v>
      </c>
      <c r="AC40" s="313"/>
    </row>
    <row r="41" spans="1:29" ht="15.75" customHeight="1">
      <c r="A41" s="316"/>
      <c r="B41" s="98" t="s">
        <v>118</v>
      </c>
      <c r="C41" s="297" t="s">
        <v>219</v>
      </c>
      <c r="D41" s="298"/>
      <c r="E41" s="99">
        <v>23.8</v>
      </c>
      <c r="F41" s="100">
        <v>565</v>
      </c>
      <c r="G41" s="101">
        <f t="shared" si="23"/>
        <v>13447</v>
      </c>
      <c r="H41" s="26"/>
      <c r="I41" s="102">
        <v>4</v>
      </c>
      <c r="J41" s="103">
        <v>3600</v>
      </c>
      <c r="K41" s="104">
        <f t="shared" si="25"/>
        <v>900</v>
      </c>
      <c r="L41" s="105">
        <v>4</v>
      </c>
      <c r="M41" s="103">
        <f t="shared" si="24"/>
        <v>3280.6137273714503</v>
      </c>
      <c r="N41" s="104">
        <f t="shared" si="17"/>
        <v>820.15343184286257</v>
      </c>
      <c r="O41" s="106">
        <f t="shared" si="18"/>
        <v>0</v>
      </c>
      <c r="P41" s="107">
        <f t="shared" si="19"/>
        <v>-79.846568157137426</v>
      </c>
      <c r="Q41" s="108">
        <f t="shared" si="20"/>
        <v>0.91128159093651395</v>
      </c>
      <c r="R41" s="308"/>
      <c r="S41" s="46">
        <v>0.28750000000000009</v>
      </c>
      <c r="T41" s="47">
        <v>0.29467592592592601</v>
      </c>
      <c r="U41" s="109">
        <v>13.650000000000055</v>
      </c>
      <c r="V41" s="110">
        <v>10.333432344429633</v>
      </c>
      <c r="W41" s="111"/>
      <c r="X41" s="114"/>
      <c r="Y41" s="299"/>
      <c r="Z41" s="300"/>
      <c r="AA41" s="115">
        <f t="shared" si="21"/>
        <v>-319.3862726285497</v>
      </c>
      <c r="AB41" s="108">
        <f t="shared" si="22"/>
        <v>0.91128159093651395</v>
      </c>
      <c r="AC41" s="313"/>
    </row>
    <row r="42" spans="1:29" ht="15.75" customHeight="1">
      <c r="A42" s="316"/>
      <c r="B42" s="98" t="s">
        <v>118</v>
      </c>
      <c r="C42" s="297" t="s">
        <v>207</v>
      </c>
      <c r="D42" s="298"/>
      <c r="E42" s="99">
        <v>30</v>
      </c>
      <c r="F42" s="100">
        <v>632</v>
      </c>
      <c r="G42" s="101">
        <f t="shared" si="23"/>
        <v>18960</v>
      </c>
      <c r="H42" s="26"/>
      <c r="I42" s="102">
        <v>4</v>
      </c>
      <c r="J42" s="103">
        <v>3300</v>
      </c>
      <c r="K42" s="104">
        <f t="shared" si="25"/>
        <v>825</v>
      </c>
      <c r="L42" s="105">
        <v>4</v>
      </c>
      <c r="M42" s="103">
        <f t="shared" si="24"/>
        <v>3078.0012781355445</v>
      </c>
      <c r="N42" s="104">
        <f t="shared" si="17"/>
        <v>769.50031953388611</v>
      </c>
      <c r="O42" s="106">
        <f t="shared" si="18"/>
        <v>0</v>
      </c>
      <c r="P42" s="107">
        <f t="shared" si="19"/>
        <v>-55.499680466113887</v>
      </c>
      <c r="Q42" s="108">
        <f t="shared" si="20"/>
        <v>0.9327276600410741</v>
      </c>
      <c r="R42" s="308"/>
      <c r="S42" s="46">
        <v>0.30416666666666675</v>
      </c>
      <c r="T42" s="47">
        <v>0.31271990740740752</v>
      </c>
      <c r="U42" s="109">
        <v>13.666666666666671</v>
      </c>
      <c r="V42" s="110">
        <v>12.319682993429263</v>
      </c>
      <c r="W42" s="111"/>
      <c r="X42" s="114"/>
      <c r="Y42" s="299"/>
      <c r="Z42" s="300"/>
      <c r="AA42" s="115">
        <f t="shared" si="21"/>
        <v>-221.99872186445555</v>
      </c>
      <c r="AB42" s="108">
        <f t="shared" si="22"/>
        <v>0.9327276600410741</v>
      </c>
      <c r="AC42" s="313"/>
    </row>
    <row r="43" spans="1:29" ht="15.75" customHeight="1">
      <c r="A43" s="316"/>
      <c r="B43" s="98" t="s">
        <v>118</v>
      </c>
      <c r="C43" s="297" t="s">
        <v>124</v>
      </c>
      <c r="D43" s="298"/>
      <c r="E43" s="99">
        <v>18.18</v>
      </c>
      <c r="F43" s="100">
        <v>877</v>
      </c>
      <c r="G43" s="101">
        <f t="shared" si="23"/>
        <v>15943.86</v>
      </c>
      <c r="H43" s="13"/>
      <c r="I43" s="102">
        <v>3</v>
      </c>
      <c r="J43" s="103">
        <v>3600</v>
      </c>
      <c r="K43" s="104">
        <f t="shared" si="25"/>
        <v>1200</v>
      </c>
      <c r="L43" s="105">
        <v>3</v>
      </c>
      <c r="M43" s="103">
        <f t="shared" si="24"/>
        <v>3281.6876589500826</v>
      </c>
      <c r="N43" s="104">
        <f t="shared" si="17"/>
        <v>1093.8958863166943</v>
      </c>
      <c r="O43" s="106">
        <f t="shared" si="18"/>
        <v>0</v>
      </c>
      <c r="P43" s="107">
        <f t="shared" si="19"/>
        <v>-106.10411368330574</v>
      </c>
      <c r="Q43" s="108">
        <f t="shared" si="20"/>
        <v>0.91157990526391186</v>
      </c>
      <c r="R43" s="308"/>
      <c r="S43" s="46">
        <v>0.32222222222222235</v>
      </c>
      <c r="T43" s="47">
        <v>0.33335648148148161</v>
      </c>
      <c r="U43" s="109">
        <v>13.683333333333367</v>
      </c>
      <c r="V43" s="110">
        <v>16.0344327274689</v>
      </c>
      <c r="W43" s="111"/>
      <c r="X43" s="114"/>
      <c r="Y43" s="299"/>
      <c r="Z43" s="300"/>
      <c r="AA43" s="115">
        <f t="shared" si="21"/>
        <v>-318.31234104991745</v>
      </c>
      <c r="AB43" s="108">
        <f t="shared" si="22"/>
        <v>0.91157990526391186</v>
      </c>
      <c r="AC43" s="313"/>
    </row>
    <row r="44" spans="1:29" ht="15.75" customHeight="1">
      <c r="A44" s="316"/>
      <c r="B44" s="98" t="s">
        <v>118</v>
      </c>
      <c r="C44" s="297" t="s">
        <v>199</v>
      </c>
      <c r="D44" s="298"/>
      <c r="E44" s="99">
        <v>17.07</v>
      </c>
      <c r="F44" s="100">
        <v>1220</v>
      </c>
      <c r="G44" s="119">
        <f t="shared" si="23"/>
        <v>20825.400000000001</v>
      </c>
      <c r="H44" s="120"/>
      <c r="I44" s="102">
        <v>3</v>
      </c>
      <c r="J44" s="103">
        <v>3300</v>
      </c>
      <c r="K44" s="104">
        <f t="shared" si="25"/>
        <v>1100</v>
      </c>
      <c r="L44" s="105">
        <v>3</v>
      </c>
      <c r="M44" s="103">
        <f t="shared" si="24"/>
        <v>3078.1325973876751</v>
      </c>
      <c r="N44" s="104">
        <f t="shared" si="17"/>
        <v>1026.044199129225</v>
      </c>
      <c r="O44" s="106">
        <f t="shared" si="18"/>
        <v>0</v>
      </c>
      <c r="P44" s="107">
        <f t="shared" si="19"/>
        <v>-73.955800870774965</v>
      </c>
      <c r="Q44" s="108">
        <f t="shared" si="20"/>
        <v>0.93276745375384096</v>
      </c>
      <c r="R44" s="308"/>
      <c r="S44" s="46">
        <v>0.34305555555555572</v>
      </c>
      <c r="T44" s="118">
        <v>0.35956018518518534</v>
      </c>
      <c r="U44" s="109">
        <v>13.966666666666718</v>
      </c>
      <c r="V44" s="110">
        <v>23.780651964805799</v>
      </c>
      <c r="W44" s="111"/>
      <c r="X44" s="114"/>
      <c r="Y44" s="299"/>
      <c r="Z44" s="300"/>
      <c r="AA44" s="115">
        <f t="shared" si="21"/>
        <v>-221.8674026123249</v>
      </c>
      <c r="AB44" s="108">
        <f t="shared" si="22"/>
        <v>0.93276745375384096</v>
      </c>
      <c r="AC44" s="313"/>
    </row>
    <row r="45" spans="1:29" ht="15.75" customHeight="1">
      <c r="A45" s="316"/>
      <c r="B45" s="98" t="s">
        <v>118</v>
      </c>
      <c r="C45" s="297" t="s">
        <v>125</v>
      </c>
      <c r="D45" s="298"/>
      <c r="E45" s="99">
        <v>14.03</v>
      </c>
      <c r="F45" s="100">
        <v>3404</v>
      </c>
      <c r="G45" s="119">
        <f t="shared" si="23"/>
        <v>47758.119999999995</v>
      </c>
      <c r="H45" s="60"/>
      <c r="I45" s="102">
        <v>3</v>
      </c>
      <c r="J45" s="103">
        <v>3000</v>
      </c>
      <c r="K45" s="104">
        <f t="shared" si="25"/>
        <v>1000</v>
      </c>
      <c r="L45" s="105">
        <v>3</v>
      </c>
      <c r="M45" s="103">
        <f t="shared" si="24"/>
        <v>2800.1555878084168</v>
      </c>
      <c r="N45" s="104">
        <f t="shared" si="17"/>
        <v>933.38519593613898</v>
      </c>
      <c r="O45" s="121">
        <f t="shared" si="18"/>
        <v>0</v>
      </c>
      <c r="P45" s="122">
        <f t="shared" si="19"/>
        <v>-66.614804063861015</v>
      </c>
      <c r="Q45" s="123">
        <f t="shared" si="20"/>
        <v>0.933385195936139</v>
      </c>
      <c r="R45" s="308"/>
      <c r="S45" s="46">
        <v>0.36875000000000019</v>
      </c>
      <c r="T45" s="118">
        <v>0.41939814814814835</v>
      </c>
      <c r="U45" s="109">
        <v>13.233333333333377</v>
      </c>
      <c r="V45" s="110">
        <v>72.938804146897937</v>
      </c>
      <c r="W45" s="111"/>
      <c r="X45" s="114"/>
      <c r="Y45" s="299"/>
      <c r="Z45" s="300"/>
      <c r="AA45" s="115">
        <f t="shared" si="21"/>
        <v>-199.84441219158316</v>
      </c>
      <c r="AB45" s="108">
        <f t="shared" si="22"/>
        <v>0.933385195936139</v>
      </c>
      <c r="AC45" s="313"/>
    </row>
    <row r="46" spans="1:29" ht="15.75" customHeight="1">
      <c r="A46" s="316"/>
      <c r="B46" s="98" t="s">
        <v>118</v>
      </c>
      <c r="C46" s="297" t="s">
        <v>127</v>
      </c>
      <c r="D46" s="298"/>
      <c r="E46" s="99">
        <v>14.28</v>
      </c>
      <c r="F46" s="100">
        <v>5199</v>
      </c>
      <c r="G46" s="119">
        <f t="shared" si="23"/>
        <v>74241.72</v>
      </c>
      <c r="H46" s="60"/>
      <c r="I46" s="102">
        <v>3</v>
      </c>
      <c r="J46" s="103">
        <v>3600</v>
      </c>
      <c r="K46" s="104">
        <f t="shared" si="25"/>
        <v>1200</v>
      </c>
      <c r="L46" s="116">
        <v>3</v>
      </c>
      <c r="M46" s="103">
        <f t="shared" si="24"/>
        <v>3282.2181106626354</v>
      </c>
      <c r="N46" s="104">
        <f t="shared" si="17"/>
        <v>1094.0727035542118</v>
      </c>
      <c r="O46" s="121">
        <f t="shared" si="18"/>
        <v>0</v>
      </c>
      <c r="P46" s="122">
        <f t="shared" si="19"/>
        <v>-105.92729644578822</v>
      </c>
      <c r="Q46" s="123">
        <f t="shared" si="20"/>
        <v>0.9117272529618432</v>
      </c>
      <c r="R46" s="308"/>
      <c r="S46" s="46">
        <v>0.42847222222222242</v>
      </c>
      <c r="T46" s="118">
        <v>0.49446759259259276</v>
      </c>
      <c r="U46" s="109">
        <v>13.066666666666658</v>
      </c>
      <c r="V46" s="110">
        <v>95.039387841603116</v>
      </c>
      <c r="W46" s="111"/>
      <c r="X46" s="114"/>
      <c r="Y46" s="299"/>
      <c r="Z46" s="300"/>
      <c r="AA46" s="115">
        <f t="shared" si="21"/>
        <v>-317.78188933736465</v>
      </c>
      <c r="AB46" s="108">
        <f t="shared" si="22"/>
        <v>0.9117272529618432</v>
      </c>
      <c r="AC46" s="313"/>
    </row>
    <row r="47" spans="1:29" ht="15.75" customHeight="1">
      <c r="A47" s="316"/>
      <c r="B47" s="98"/>
      <c r="C47" s="297"/>
      <c r="D47" s="298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8"/>
      <c r="S47" s="46"/>
      <c r="T47" s="118"/>
      <c r="U47" s="109"/>
      <c r="V47" s="110"/>
      <c r="W47" s="111"/>
      <c r="X47" s="114"/>
      <c r="Y47" s="299"/>
      <c r="Z47" s="300"/>
      <c r="AA47" s="115"/>
      <c r="AB47" s="108"/>
      <c r="AC47" s="313"/>
    </row>
    <row r="48" spans="1:29" ht="15.75" customHeight="1">
      <c r="A48" s="316"/>
      <c r="B48" s="98"/>
      <c r="C48" s="297"/>
      <c r="D48" s="298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8"/>
      <c r="S48" s="46"/>
      <c r="T48" s="118"/>
      <c r="U48" s="109"/>
      <c r="V48" s="110"/>
      <c r="W48" s="111"/>
      <c r="X48" s="114"/>
      <c r="Y48" s="299"/>
      <c r="Z48" s="300"/>
      <c r="AA48" s="115"/>
      <c r="AB48" s="108"/>
      <c r="AC48" s="313"/>
    </row>
    <row r="49" spans="1:29" ht="15.75" customHeight="1">
      <c r="A49" s="316"/>
      <c r="B49" s="98"/>
      <c r="C49" s="297"/>
      <c r="D49" s="298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8"/>
      <c r="S49" s="46"/>
      <c r="T49" s="118"/>
      <c r="U49" s="109"/>
      <c r="V49" s="110"/>
      <c r="W49" s="124"/>
      <c r="X49" s="125"/>
      <c r="Y49" s="299"/>
      <c r="Z49" s="300"/>
      <c r="AA49" s="115"/>
      <c r="AB49" s="108"/>
      <c r="AC49" s="313"/>
    </row>
    <row r="50" spans="1:29" ht="15.75" customHeight="1">
      <c r="A50" s="316"/>
      <c r="B50" s="98"/>
      <c r="C50" s="297"/>
      <c r="D50" s="298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8"/>
      <c r="S50" s="46"/>
      <c r="T50" s="118"/>
      <c r="U50" s="109"/>
      <c r="V50" s="110"/>
      <c r="W50" s="124"/>
      <c r="X50" s="125"/>
      <c r="Y50" s="299"/>
      <c r="Z50" s="300"/>
      <c r="AA50" s="115"/>
      <c r="AB50" s="108"/>
      <c r="AC50" s="313"/>
    </row>
    <row r="51" spans="1:29" ht="15.75" customHeight="1">
      <c r="A51" s="316"/>
      <c r="B51" s="98"/>
      <c r="C51" s="297"/>
      <c r="D51" s="298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8"/>
      <c r="S51" s="46"/>
      <c r="T51" s="118"/>
      <c r="U51" s="109"/>
      <c r="V51" s="110"/>
      <c r="W51" s="124"/>
      <c r="X51" s="125"/>
      <c r="Y51" s="299"/>
      <c r="Z51" s="300"/>
      <c r="AA51" s="115"/>
      <c r="AB51" s="108"/>
      <c r="AC51" s="313"/>
    </row>
    <row r="52" spans="1:29" ht="15.75" customHeight="1">
      <c r="A52" s="316"/>
      <c r="B52" s="98"/>
      <c r="C52" s="297"/>
      <c r="D52" s="298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8"/>
      <c r="S52" s="46"/>
      <c r="T52" s="118"/>
      <c r="U52" s="109"/>
      <c r="V52" s="110"/>
      <c r="W52" s="124"/>
      <c r="X52" s="125"/>
      <c r="Y52" s="299"/>
      <c r="Z52" s="300"/>
      <c r="AA52" s="115"/>
      <c r="AB52" s="108"/>
      <c r="AC52" s="313"/>
    </row>
    <row r="53" spans="1:29" ht="15.75" customHeight="1">
      <c r="A53" s="316"/>
      <c r="B53" s="98"/>
      <c r="C53" s="297"/>
      <c r="D53" s="298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8"/>
      <c r="S53" s="46"/>
      <c r="T53" s="118"/>
      <c r="U53" s="109"/>
      <c r="V53" s="110"/>
      <c r="W53" s="124"/>
      <c r="X53" s="125"/>
      <c r="Y53" s="299"/>
      <c r="Z53" s="300"/>
      <c r="AA53" s="115"/>
      <c r="AB53" s="108"/>
      <c r="AC53" s="313"/>
    </row>
    <row r="54" spans="1:29" ht="15.75" customHeight="1">
      <c r="A54" s="316"/>
      <c r="B54" s="98"/>
      <c r="C54" s="297"/>
      <c r="D54" s="298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8"/>
      <c r="S54" s="117"/>
      <c r="T54" s="118"/>
      <c r="U54" s="128"/>
      <c r="V54" s="129"/>
      <c r="W54" s="124"/>
      <c r="X54" s="125"/>
      <c r="Y54" s="299"/>
      <c r="Z54" s="300"/>
      <c r="AA54" s="163"/>
      <c r="AB54" s="123"/>
      <c r="AC54" s="313"/>
    </row>
    <row r="55" spans="1:29" ht="15.75" customHeight="1" thickBot="1">
      <c r="A55" s="317"/>
      <c r="B55" s="131" t="s">
        <v>115</v>
      </c>
      <c r="C55" s="294"/>
      <c r="D55" s="294"/>
      <c r="E55" s="132"/>
      <c r="F55" s="97"/>
      <c r="G55" s="133"/>
      <c r="H55" s="67"/>
      <c r="I55" s="134">
        <f t="shared" ref="I55:J55" si="26">AVERAGE(I39:I54)</f>
        <v>3.75</v>
      </c>
      <c r="J55" s="135">
        <f t="shared" si="26"/>
        <v>3450</v>
      </c>
      <c r="K55" s="136">
        <f t="shared" ref="K55" si="27">J55/I55</f>
        <v>920</v>
      </c>
      <c r="L55" s="134">
        <f t="shared" ref="L55:M55" si="28">AVERAGE(L39:L54)</f>
        <v>3.75</v>
      </c>
      <c r="M55" s="135">
        <f t="shared" si="28"/>
        <v>3171.0765816451508</v>
      </c>
      <c r="N55" s="136">
        <f t="shared" ref="N55:N63" si="29">M55/L55</f>
        <v>845.62042177204023</v>
      </c>
      <c r="O55" s="137">
        <f t="shared" ref="O55:O63" si="30">L55-I55</f>
        <v>0</v>
      </c>
      <c r="P55" s="138">
        <f t="shared" ref="P55:P63" si="31">N55-K55</f>
        <v>-74.379578227959769</v>
      </c>
      <c r="Q55" s="139">
        <f t="shared" ref="Q55:Q63" si="32">N55/K55</f>
        <v>0.91915263236091327</v>
      </c>
      <c r="R55" s="309"/>
      <c r="S55" s="140">
        <v>0.25</v>
      </c>
      <c r="T55" s="141">
        <v>0.49446759259259276</v>
      </c>
      <c r="U55" s="142"/>
      <c r="V55" s="164"/>
      <c r="W55" s="97"/>
      <c r="X55" s="67"/>
      <c r="Y55" s="295"/>
      <c r="Z55" s="296"/>
      <c r="AA55" s="166">
        <f t="shared" ref="AA55:AA63" si="33">M55-J55</f>
        <v>-278.92341835484922</v>
      </c>
      <c r="AB55" s="139">
        <f t="shared" ref="AB55:AB63" si="34">M55/J55</f>
        <v>0.91915263236091327</v>
      </c>
      <c r="AC55" s="314"/>
    </row>
    <row r="56" spans="1:29" ht="15.75" customHeight="1">
      <c r="A56" s="301" t="s">
        <v>78</v>
      </c>
      <c r="B56" s="112" t="s">
        <v>118</v>
      </c>
      <c r="C56" s="305" t="s">
        <v>126</v>
      </c>
      <c r="D56" s="306"/>
      <c r="E56" s="145">
        <v>18.18</v>
      </c>
      <c r="F56" s="95">
        <v>1428</v>
      </c>
      <c r="G56" s="146">
        <f t="shared" ref="G56:G63" si="35">E56*F56</f>
        <v>25961.040000000001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36">F56/V56*60</f>
        <v>3282.579920102407</v>
      </c>
      <c r="N56" s="150">
        <f t="shared" si="29"/>
        <v>1094.1933067008024</v>
      </c>
      <c r="O56" s="152">
        <f t="shared" si="30"/>
        <v>0</v>
      </c>
      <c r="P56" s="153">
        <f t="shared" si="31"/>
        <v>-105.8066932991976</v>
      </c>
      <c r="Q56" s="154">
        <f t="shared" si="32"/>
        <v>0.91182775558400198</v>
      </c>
      <c r="R56" s="307">
        <f>Q72</f>
        <v>0.91218980837678698</v>
      </c>
      <c r="S56" s="155">
        <v>0.25</v>
      </c>
      <c r="T56" s="156">
        <v>0.268125</v>
      </c>
      <c r="U56" s="157"/>
      <c r="V56" s="158">
        <v>26.101420859641106</v>
      </c>
      <c r="W56" s="156"/>
      <c r="X56" s="167"/>
      <c r="Y56" s="310"/>
      <c r="Z56" s="311"/>
      <c r="AA56" s="113">
        <f t="shared" si="33"/>
        <v>-317.42007989759304</v>
      </c>
      <c r="AB56" s="154">
        <f t="shared" si="34"/>
        <v>0.91182775558400198</v>
      </c>
      <c r="AC56" s="312">
        <f>AB72</f>
        <v>0.91218980837678698</v>
      </c>
    </row>
    <row r="57" spans="1:29" ht="15.75" customHeight="1">
      <c r="A57" s="302"/>
      <c r="B57" s="98" t="s">
        <v>118</v>
      </c>
      <c r="C57" s="297" t="s">
        <v>203</v>
      </c>
      <c r="D57" s="298"/>
      <c r="E57" s="99">
        <v>20.72</v>
      </c>
      <c r="F57" s="100">
        <v>739</v>
      </c>
      <c r="G57" s="101">
        <f t="shared" si="35"/>
        <v>15312.08</v>
      </c>
      <c r="H57" s="26"/>
      <c r="I57" s="102">
        <v>3</v>
      </c>
      <c r="J57" s="103">
        <v>3600</v>
      </c>
      <c r="K57" s="104">
        <f t="shared" si="25"/>
        <v>1200</v>
      </c>
      <c r="L57" s="105">
        <v>3</v>
      </c>
      <c r="M57" s="103">
        <f t="shared" si="36"/>
        <v>3285.4673810841241</v>
      </c>
      <c r="N57" s="104">
        <f t="shared" si="29"/>
        <v>1095.1557936947081</v>
      </c>
      <c r="O57" s="106">
        <f t="shared" si="30"/>
        <v>0</v>
      </c>
      <c r="P57" s="107">
        <f t="shared" si="31"/>
        <v>-104.84420630529189</v>
      </c>
      <c r="Q57" s="108">
        <f t="shared" si="32"/>
        <v>0.91262982807892346</v>
      </c>
      <c r="R57" s="308"/>
      <c r="S57" s="46">
        <v>0.27777777777777779</v>
      </c>
      <c r="T57" s="47">
        <v>0.28714120370370372</v>
      </c>
      <c r="U57" s="109">
        <v>13.900000000000015</v>
      </c>
      <c r="V57" s="110">
        <v>13.495796748823263</v>
      </c>
      <c r="W57" s="111"/>
      <c r="X57" s="13"/>
      <c r="Y57" s="299"/>
      <c r="Z57" s="300"/>
      <c r="AA57" s="115">
        <f t="shared" si="33"/>
        <v>-314.5326189158759</v>
      </c>
      <c r="AB57" s="108">
        <f t="shared" si="34"/>
        <v>0.91262982807892334</v>
      </c>
      <c r="AC57" s="313"/>
    </row>
    <row r="58" spans="1:29" ht="15.75" customHeight="1">
      <c r="A58" s="302"/>
      <c r="B58" s="98" t="s">
        <v>118</v>
      </c>
      <c r="C58" s="297" t="s">
        <v>130</v>
      </c>
      <c r="D58" s="298"/>
      <c r="E58" s="99">
        <v>30</v>
      </c>
      <c r="F58" s="100">
        <v>1069</v>
      </c>
      <c r="G58" s="101">
        <f t="shared" si="35"/>
        <v>32070</v>
      </c>
      <c r="H58" s="26"/>
      <c r="I58" s="102">
        <v>4</v>
      </c>
      <c r="J58" s="103">
        <v>3600</v>
      </c>
      <c r="K58" s="104">
        <f t="shared" si="25"/>
        <v>900</v>
      </c>
      <c r="L58" s="105">
        <v>4</v>
      </c>
      <c r="M58" s="103">
        <f t="shared" si="36"/>
        <v>3285.6618628225629</v>
      </c>
      <c r="N58" s="104">
        <f t="shared" si="29"/>
        <v>821.41546570564071</v>
      </c>
      <c r="O58" s="106">
        <f t="shared" si="30"/>
        <v>0</v>
      </c>
      <c r="P58" s="107">
        <f t="shared" si="31"/>
        <v>-78.584534294359287</v>
      </c>
      <c r="Q58" s="108">
        <f t="shared" si="32"/>
        <v>0.91268385078404524</v>
      </c>
      <c r="R58" s="308"/>
      <c r="S58" s="46">
        <v>0.29652777777777783</v>
      </c>
      <c r="T58" s="47">
        <v>0.31008101851851855</v>
      </c>
      <c r="U58" s="109">
        <v>13.516666666666728</v>
      </c>
      <c r="V58" s="110">
        <v>19.521181021622304</v>
      </c>
      <c r="W58" s="111"/>
      <c r="X58" s="13"/>
      <c r="Y58" s="299"/>
      <c r="Z58" s="300"/>
      <c r="AA58" s="115">
        <f t="shared" si="33"/>
        <v>-314.33813717743715</v>
      </c>
      <c r="AB58" s="108">
        <f t="shared" si="34"/>
        <v>0.91268385078404524</v>
      </c>
      <c r="AC58" s="313"/>
    </row>
    <row r="59" spans="1:29" ht="15.75" customHeight="1">
      <c r="A59" s="302"/>
      <c r="B59" s="98" t="s">
        <v>118</v>
      </c>
      <c r="C59" s="297" t="s">
        <v>218</v>
      </c>
      <c r="D59" s="298"/>
      <c r="E59" s="99">
        <v>24.76</v>
      </c>
      <c r="F59" s="100">
        <v>1049</v>
      </c>
      <c r="G59" s="101">
        <f t="shared" si="35"/>
        <v>25973.24</v>
      </c>
      <c r="H59" s="26"/>
      <c r="I59" s="102">
        <v>4</v>
      </c>
      <c r="J59" s="103">
        <v>3600</v>
      </c>
      <c r="K59" s="104">
        <f t="shared" si="25"/>
        <v>900</v>
      </c>
      <c r="L59" s="105">
        <v>4</v>
      </c>
      <c r="M59" s="103">
        <f t="shared" si="36"/>
        <v>3281.5033810557852</v>
      </c>
      <c r="N59" s="104">
        <f t="shared" si="29"/>
        <v>820.3758452639463</v>
      </c>
      <c r="O59" s="106">
        <f t="shared" si="30"/>
        <v>0</v>
      </c>
      <c r="P59" s="107">
        <f t="shared" si="31"/>
        <v>-79.624154736053697</v>
      </c>
      <c r="Q59" s="108">
        <f t="shared" si="32"/>
        <v>0.91152871695994031</v>
      </c>
      <c r="R59" s="308"/>
      <c r="S59" s="46">
        <v>0.31944444444444453</v>
      </c>
      <c r="T59" s="47">
        <v>0.33275462962962971</v>
      </c>
      <c r="U59" s="109">
        <v>13.483333333333416</v>
      </c>
      <c r="V59" s="110">
        <v>19.1802331709772</v>
      </c>
      <c r="W59" s="111"/>
      <c r="X59" s="114"/>
      <c r="Y59" s="299"/>
      <c r="Z59" s="300"/>
      <c r="AA59" s="115">
        <f t="shared" si="33"/>
        <v>-318.49661894421479</v>
      </c>
      <c r="AB59" s="108">
        <f t="shared" si="34"/>
        <v>0.91152871695994031</v>
      </c>
      <c r="AC59" s="313"/>
    </row>
    <row r="60" spans="1:29" ht="15.75" customHeight="1">
      <c r="A60" s="303"/>
      <c r="B60" s="98" t="s">
        <v>118</v>
      </c>
      <c r="C60" s="297" t="s">
        <v>122</v>
      </c>
      <c r="D60" s="298"/>
      <c r="E60" s="99">
        <v>17.89</v>
      </c>
      <c r="F60" s="100">
        <v>2099</v>
      </c>
      <c r="G60" s="101">
        <f t="shared" si="35"/>
        <v>37551.11</v>
      </c>
      <c r="H60" s="13"/>
      <c r="I60" s="102">
        <v>4</v>
      </c>
      <c r="J60" s="103">
        <v>3600</v>
      </c>
      <c r="K60" s="104">
        <f t="shared" si="25"/>
        <v>900</v>
      </c>
      <c r="L60" s="105">
        <v>4</v>
      </c>
      <c r="M60" s="103">
        <f t="shared" si="36"/>
        <v>3281.976571000198</v>
      </c>
      <c r="N60" s="104">
        <f t="shared" si="29"/>
        <v>820.49414275004949</v>
      </c>
      <c r="O60" s="106">
        <f t="shared" si="30"/>
        <v>0</v>
      </c>
      <c r="P60" s="107">
        <f t="shared" si="31"/>
        <v>-79.505857249950509</v>
      </c>
      <c r="Q60" s="108">
        <f t="shared" si="32"/>
        <v>0.91166015861116612</v>
      </c>
      <c r="R60" s="308"/>
      <c r="S60" s="46">
        <v>0.34236111111111123</v>
      </c>
      <c r="T60" s="47">
        <v>0.36900462962962977</v>
      </c>
      <c r="U60" s="109">
        <v>13.833333333333391</v>
      </c>
      <c r="V60" s="110">
        <v>38.373217259628149</v>
      </c>
      <c r="W60" s="111"/>
      <c r="X60" s="114"/>
      <c r="Y60" s="299"/>
      <c r="Z60" s="300"/>
      <c r="AA60" s="115">
        <f t="shared" si="33"/>
        <v>-318.02342899980204</v>
      </c>
      <c r="AB60" s="108">
        <f t="shared" si="34"/>
        <v>0.91166015861116612</v>
      </c>
      <c r="AC60" s="313"/>
    </row>
    <row r="61" spans="1:29" ht="15.75" customHeight="1">
      <c r="A61" s="303"/>
      <c r="B61" s="98" t="s">
        <v>118</v>
      </c>
      <c r="C61" s="297" t="s">
        <v>213</v>
      </c>
      <c r="D61" s="298"/>
      <c r="E61" s="99">
        <v>22.32</v>
      </c>
      <c r="F61" s="100">
        <v>1519</v>
      </c>
      <c r="G61" s="119">
        <f t="shared" si="35"/>
        <v>33904.080000000002</v>
      </c>
      <c r="H61" s="120"/>
      <c r="I61" s="102">
        <v>5</v>
      </c>
      <c r="J61" s="103">
        <v>3600</v>
      </c>
      <c r="K61" s="104">
        <f t="shared" si="25"/>
        <v>720</v>
      </c>
      <c r="L61" s="105">
        <v>5</v>
      </c>
      <c r="M61" s="103">
        <f t="shared" si="36"/>
        <v>3283.123548011934</v>
      </c>
      <c r="N61" s="104">
        <f t="shared" si="29"/>
        <v>656.62470960238682</v>
      </c>
      <c r="O61" s="106">
        <f t="shared" si="30"/>
        <v>0</v>
      </c>
      <c r="P61" s="107">
        <f t="shared" si="31"/>
        <v>-63.375290397613185</v>
      </c>
      <c r="Q61" s="108">
        <f t="shared" si="32"/>
        <v>0.9119787633366484</v>
      </c>
      <c r="R61" s="308"/>
      <c r="S61" s="46">
        <v>0.37847222222222238</v>
      </c>
      <c r="T61" s="118">
        <v>0.39774305555555572</v>
      </c>
      <c r="U61" s="109">
        <v>13.63333333333336</v>
      </c>
      <c r="V61" s="110">
        <v>27.760149341680734</v>
      </c>
      <c r="W61" s="111"/>
      <c r="X61" s="49"/>
      <c r="Y61" s="299"/>
      <c r="Z61" s="300"/>
      <c r="AA61" s="115">
        <f t="shared" si="33"/>
        <v>-316.87645198806604</v>
      </c>
      <c r="AB61" s="108">
        <f t="shared" si="34"/>
        <v>0.91197876333664829</v>
      </c>
      <c r="AC61" s="313"/>
    </row>
    <row r="62" spans="1:29" ht="15.75" customHeight="1">
      <c r="A62" s="303"/>
      <c r="B62" s="98" t="s">
        <v>118</v>
      </c>
      <c r="C62" s="297" t="s">
        <v>209</v>
      </c>
      <c r="D62" s="298"/>
      <c r="E62" s="99">
        <v>27.48</v>
      </c>
      <c r="F62" s="100">
        <v>1205</v>
      </c>
      <c r="G62" s="119">
        <f t="shared" si="35"/>
        <v>33113.4</v>
      </c>
      <c r="H62" s="60"/>
      <c r="I62" s="102">
        <v>5</v>
      </c>
      <c r="J62" s="103">
        <v>3600</v>
      </c>
      <c r="K62" s="104">
        <f t="shared" si="25"/>
        <v>720</v>
      </c>
      <c r="L62" s="105">
        <v>5</v>
      </c>
      <c r="M62" s="103">
        <f t="shared" si="36"/>
        <v>3285.4300713408861</v>
      </c>
      <c r="N62" s="104">
        <f t="shared" si="29"/>
        <v>657.08601426817722</v>
      </c>
      <c r="O62" s="121">
        <f t="shared" si="30"/>
        <v>0</v>
      </c>
      <c r="P62" s="122">
        <f t="shared" si="31"/>
        <v>-62.913985731822777</v>
      </c>
      <c r="Q62" s="123">
        <f t="shared" si="32"/>
        <v>0.91261946426135721</v>
      </c>
      <c r="R62" s="308"/>
      <c r="S62" s="46">
        <v>0.40694444444444461</v>
      </c>
      <c r="T62" s="118">
        <v>0.42222222222222239</v>
      </c>
      <c r="U62" s="109">
        <v>13.249999999999993</v>
      </c>
      <c r="V62" s="110">
        <v>22.006251367417516</v>
      </c>
      <c r="W62" s="111"/>
      <c r="X62" s="114"/>
      <c r="Y62" s="299"/>
      <c r="Z62" s="300"/>
      <c r="AA62" s="115">
        <f t="shared" si="33"/>
        <v>-314.56992865911388</v>
      </c>
      <c r="AB62" s="108">
        <f t="shared" si="34"/>
        <v>0.91261946426135721</v>
      </c>
      <c r="AC62" s="313"/>
    </row>
    <row r="63" spans="1:29" ht="15.75" customHeight="1">
      <c r="A63" s="303"/>
      <c r="B63" s="98" t="s">
        <v>118</v>
      </c>
      <c r="C63" s="297" t="s">
        <v>123</v>
      </c>
      <c r="D63" s="298"/>
      <c r="E63" s="99">
        <v>16.66</v>
      </c>
      <c r="F63" s="100">
        <v>4220</v>
      </c>
      <c r="G63" s="119">
        <f t="shared" si="35"/>
        <v>70305.2</v>
      </c>
      <c r="H63" s="60"/>
      <c r="I63" s="102">
        <v>5</v>
      </c>
      <c r="J63" s="103">
        <v>3600</v>
      </c>
      <c r="K63" s="104">
        <f t="shared" si="25"/>
        <v>720</v>
      </c>
      <c r="L63" s="116">
        <v>5</v>
      </c>
      <c r="M63" s="103">
        <f t="shared" si="36"/>
        <v>3285.3237458335698</v>
      </c>
      <c r="N63" s="104">
        <f t="shared" si="29"/>
        <v>657.06474916671391</v>
      </c>
      <c r="O63" s="121">
        <f t="shared" si="30"/>
        <v>0</v>
      </c>
      <c r="P63" s="122">
        <f t="shared" si="31"/>
        <v>-62.935250833286091</v>
      </c>
      <c r="Q63" s="123">
        <f t="shared" si="32"/>
        <v>0.91258992939821382</v>
      </c>
      <c r="R63" s="308"/>
      <c r="S63" s="46">
        <v>0.43194444444444463</v>
      </c>
      <c r="T63" s="118">
        <v>0.48546296296296315</v>
      </c>
      <c r="U63" s="109">
        <v>14.00000000000003</v>
      </c>
      <c r="V63" s="110">
        <v>77.070030106197876</v>
      </c>
      <c r="W63" s="111"/>
      <c r="X63" s="114"/>
      <c r="Y63" s="299"/>
      <c r="Z63" s="300"/>
      <c r="AA63" s="115">
        <f t="shared" si="33"/>
        <v>-314.67625416643023</v>
      </c>
      <c r="AB63" s="108">
        <f t="shared" si="34"/>
        <v>0.91258992939821382</v>
      </c>
      <c r="AC63" s="313"/>
    </row>
    <row r="64" spans="1:29" ht="15.75" customHeight="1">
      <c r="A64" s="303"/>
      <c r="B64" s="98"/>
      <c r="C64" s="297"/>
      <c r="D64" s="298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8"/>
      <c r="S64" s="46"/>
      <c r="T64" s="118"/>
      <c r="U64" s="109"/>
      <c r="V64" s="110"/>
      <c r="W64" s="124"/>
      <c r="X64" s="125"/>
      <c r="Y64" s="299"/>
      <c r="Z64" s="300"/>
      <c r="AA64" s="115"/>
      <c r="AB64" s="108"/>
      <c r="AC64" s="313"/>
    </row>
    <row r="65" spans="1:29" ht="15.75" customHeight="1">
      <c r="A65" s="303"/>
      <c r="B65" s="98"/>
      <c r="C65" s="297"/>
      <c r="D65" s="298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8"/>
      <c r="S65" s="46"/>
      <c r="T65" s="118"/>
      <c r="U65" s="109"/>
      <c r="V65" s="110"/>
      <c r="W65" s="124"/>
      <c r="X65" s="125"/>
      <c r="Y65" s="299"/>
      <c r="Z65" s="300"/>
      <c r="AA65" s="115"/>
      <c r="AB65" s="108"/>
      <c r="AC65" s="313"/>
    </row>
    <row r="66" spans="1:29" ht="15.75" customHeight="1">
      <c r="A66" s="303"/>
      <c r="B66" s="98"/>
      <c r="C66" s="297"/>
      <c r="D66" s="298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8"/>
      <c r="S66" s="46"/>
      <c r="T66" s="118"/>
      <c r="U66" s="109"/>
      <c r="V66" s="110"/>
      <c r="W66" s="124"/>
      <c r="X66" s="125"/>
      <c r="Y66" s="299"/>
      <c r="Z66" s="300"/>
      <c r="AA66" s="115"/>
      <c r="AB66" s="108"/>
      <c r="AC66" s="313"/>
    </row>
    <row r="67" spans="1:29" ht="15.75" customHeight="1">
      <c r="A67" s="303"/>
      <c r="B67" s="98"/>
      <c r="C67" s="297"/>
      <c r="D67" s="298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8"/>
      <c r="S67" s="46"/>
      <c r="T67" s="118"/>
      <c r="U67" s="109"/>
      <c r="V67" s="110"/>
      <c r="W67" s="124"/>
      <c r="X67" s="125"/>
      <c r="Y67" s="299"/>
      <c r="Z67" s="300"/>
      <c r="AA67" s="115"/>
      <c r="AB67" s="108"/>
      <c r="AC67" s="313"/>
    </row>
    <row r="68" spans="1:29" ht="15.75" customHeight="1">
      <c r="A68" s="303"/>
      <c r="B68" s="98"/>
      <c r="C68" s="297"/>
      <c r="D68" s="298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8"/>
      <c r="S68" s="46"/>
      <c r="T68" s="118"/>
      <c r="U68" s="109"/>
      <c r="V68" s="110"/>
      <c r="W68" s="124"/>
      <c r="X68" s="125"/>
      <c r="Y68" s="299"/>
      <c r="Z68" s="300"/>
      <c r="AA68" s="115"/>
      <c r="AB68" s="108"/>
      <c r="AC68" s="313"/>
    </row>
    <row r="69" spans="1:29" ht="15.75" customHeight="1">
      <c r="A69" s="303"/>
      <c r="B69" s="98"/>
      <c r="C69" s="297"/>
      <c r="D69" s="298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8"/>
      <c r="S69" s="46"/>
      <c r="T69" s="118"/>
      <c r="U69" s="109"/>
      <c r="V69" s="110"/>
      <c r="W69" s="124"/>
      <c r="X69" s="125"/>
      <c r="Y69" s="299"/>
      <c r="Z69" s="300"/>
      <c r="AA69" s="115"/>
      <c r="AB69" s="108"/>
      <c r="AC69" s="313"/>
    </row>
    <row r="70" spans="1:29" ht="15.75" customHeight="1">
      <c r="A70" s="303"/>
      <c r="B70" s="98"/>
      <c r="C70" s="297"/>
      <c r="D70" s="298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8"/>
      <c r="S70" s="46"/>
      <c r="T70" s="118"/>
      <c r="U70" s="109"/>
      <c r="V70" s="110"/>
      <c r="W70" s="124"/>
      <c r="X70" s="125"/>
      <c r="Y70" s="299"/>
      <c r="Z70" s="300"/>
      <c r="AA70" s="115"/>
      <c r="AB70" s="108"/>
      <c r="AC70" s="313"/>
    </row>
    <row r="71" spans="1:29" ht="15.75" customHeight="1">
      <c r="A71" s="303"/>
      <c r="B71" s="98"/>
      <c r="C71" s="297"/>
      <c r="D71" s="298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8"/>
      <c r="S71" s="117"/>
      <c r="T71" s="118"/>
      <c r="U71" s="128"/>
      <c r="V71" s="129"/>
      <c r="W71" s="124"/>
      <c r="X71" s="125"/>
      <c r="Y71" s="299"/>
      <c r="Z71" s="300"/>
      <c r="AA71" s="163"/>
      <c r="AB71" s="123"/>
      <c r="AC71" s="313"/>
    </row>
    <row r="72" spans="1:29" ht="15.75" customHeight="1" thickBot="1">
      <c r="A72" s="304"/>
      <c r="B72" s="131" t="s">
        <v>115</v>
      </c>
      <c r="C72" s="294"/>
      <c r="D72" s="294"/>
      <c r="E72" s="132"/>
      <c r="F72" s="165"/>
      <c r="G72" s="133"/>
      <c r="H72" s="67"/>
      <c r="I72" s="134">
        <f t="shared" ref="I72:J72" si="37">AVERAGE(I56:I71)</f>
        <v>4.125</v>
      </c>
      <c r="J72" s="135">
        <f t="shared" si="37"/>
        <v>3600</v>
      </c>
      <c r="K72" s="136">
        <f t="shared" ref="K72" si="38">J72/I72</f>
        <v>872.72727272727275</v>
      </c>
      <c r="L72" s="134">
        <f t="shared" ref="L72:M72" si="39">AVERAGE(L56:L71)</f>
        <v>4.125</v>
      </c>
      <c r="M72" s="135">
        <f t="shared" si="39"/>
        <v>3283.8833101564333</v>
      </c>
      <c r="N72" s="136">
        <f>M72/L72</f>
        <v>796.09292367428679</v>
      </c>
      <c r="O72" s="137">
        <f>L72-I72</f>
        <v>0</v>
      </c>
      <c r="P72" s="138">
        <f>N72-K72</f>
        <v>-76.634349052985954</v>
      </c>
      <c r="Q72" s="139">
        <f>N72/K72</f>
        <v>0.91218980837678698</v>
      </c>
      <c r="R72" s="309"/>
      <c r="S72" s="140">
        <v>0.25</v>
      </c>
      <c r="T72" s="141">
        <v>0.48546296296296315</v>
      </c>
      <c r="U72" s="142"/>
      <c r="V72" s="164"/>
      <c r="W72" s="165"/>
      <c r="X72" s="136"/>
      <c r="Y72" s="295"/>
      <c r="Z72" s="296"/>
      <c r="AA72" s="166">
        <f>M72-J72</f>
        <v>-316.11668984356675</v>
      </c>
      <c r="AB72" s="139">
        <f>M72/J72</f>
        <v>0.91218980837678698</v>
      </c>
      <c r="AC72" s="314"/>
    </row>
    <row r="73" spans="1:29" ht="15.75" customHeight="1">
      <c r="A73" s="315" t="s">
        <v>131</v>
      </c>
      <c r="B73" s="112" t="s">
        <v>118</v>
      </c>
      <c r="C73" s="305" t="s">
        <v>132</v>
      </c>
      <c r="D73" s="306"/>
      <c r="E73" s="145">
        <v>28.57</v>
      </c>
      <c r="F73" s="95">
        <v>1035</v>
      </c>
      <c r="G73" s="146">
        <f t="shared" ref="G73" si="40">E73*F73</f>
        <v>29569.95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3122.6612590235536</v>
      </c>
      <c r="N73" s="150">
        <f>M73/L73</f>
        <v>260.22177158529615</v>
      </c>
      <c r="O73" s="152">
        <f>L73-I73</f>
        <v>0</v>
      </c>
      <c r="P73" s="153">
        <f>N73-K73</f>
        <v>-39.778228414703847</v>
      </c>
      <c r="Q73" s="154">
        <f>N73/K73</f>
        <v>0.86740590528432049</v>
      </c>
      <c r="R73" s="307">
        <f>Q89</f>
        <v>0.86740590528432049</v>
      </c>
      <c r="S73" s="155">
        <v>0.73888888888888882</v>
      </c>
      <c r="T73" s="156">
        <v>0.75269675925925916</v>
      </c>
      <c r="U73" s="157"/>
      <c r="V73" s="158">
        <v>19.88688328602715</v>
      </c>
      <c r="W73" s="156"/>
      <c r="X73" s="167"/>
      <c r="Y73" s="310"/>
      <c r="Z73" s="311"/>
      <c r="AA73" s="113">
        <f>M73-J73</f>
        <v>-477.33874097644639</v>
      </c>
      <c r="AB73" s="154">
        <f>M73/J73</f>
        <v>0.86740590528432049</v>
      </c>
      <c r="AC73" s="312">
        <f>AB89</f>
        <v>0.86740590528432049</v>
      </c>
    </row>
    <row r="74" spans="1:29" ht="15.75" customHeight="1">
      <c r="A74" s="316"/>
      <c r="B74" s="98"/>
      <c r="C74" s="297"/>
      <c r="D74" s="298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8"/>
      <c r="S74" s="46"/>
      <c r="T74" s="47"/>
      <c r="U74" s="109"/>
      <c r="V74" s="110"/>
      <c r="W74" s="111"/>
      <c r="X74" s="13"/>
      <c r="Y74" s="299"/>
      <c r="Z74" s="300"/>
      <c r="AA74" s="115"/>
      <c r="AB74" s="108"/>
      <c r="AC74" s="313"/>
    </row>
    <row r="75" spans="1:29" ht="15.75" customHeight="1">
      <c r="A75" s="316"/>
      <c r="B75" s="98"/>
      <c r="C75" s="297"/>
      <c r="D75" s="298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8"/>
      <c r="S75" s="46"/>
      <c r="T75" s="47"/>
      <c r="U75" s="109"/>
      <c r="V75" s="110"/>
      <c r="W75" s="111"/>
      <c r="X75" s="13"/>
      <c r="Y75" s="299"/>
      <c r="Z75" s="300"/>
      <c r="AA75" s="115"/>
      <c r="AB75" s="108"/>
      <c r="AC75" s="313"/>
    </row>
    <row r="76" spans="1:29" ht="15.75" customHeight="1">
      <c r="A76" s="316"/>
      <c r="B76" s="98"/>
      <c r="C76" s="297"/>
      <c r="D76" s="298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8"/>
      <c r="S76" s="46"/>
      <c r="T76" s="47"/>
      <c r="U76" s="109"/>
      <c r="V76" s="110"/>
      <c r="W76" s="111"/>
      <c r="X76" s="114"/>
      <c r="Y76" s="299"/>
      <c r="Z76" s="300"/>
      <c r="AA76" s="115"/>
      <c r="AB76" s="108"/>
      <c r="AC76" s="313"/>
    </row>
    <row r="77" spans="1:29" ht="15.75" customHeight="1">
      <c r="A77" s="316"/>
      <c r="B77" s="98"/>
      <c r="C77" s="297"/>
      <c r="D77" s="298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8"/>
      <c r="S77" s="46"/>
      <c r="T77" s="47"/>
      <c r="U77" s="109"/>
      <c r="V77" s="110"/>
      <c r="W77" s="111"/>
      <c r="X77" s="114"/>
      <c r="Y77" s="299"/>
      <c r="Z77" s="300"/>
      <c r="AA77" s="115"/>
      <c r="AB77" s="108"/>
      <c r="AC77" s="313"/>
    </row>
    <row r="78" spans="1:29" ht="15.75" customHeight="1">
      <c r="A78" s="316"/>
      <c r="B78" s="98"/>
      <c r="C78" s="297"/>
      <c r="D78" s="298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8"/>
      <c r="S78" s="46"/>
      <c r="T78" s="118"/>
      <c r="U78" s="109"/>
      <c r="V78" s="110"/>
      <c r="W78" s="111"/>
      <c r="X78" s="49"/>
      <c r="Y78" s="299"/>
      <c r="Z78" s="300"/>
      <c r="AA78" s="115"/>
      <c r="AB78" s="108"/>
      <c r="AC78" s="313"/>
    </row>
    <row r="79" spans="1:29" ht="15.75" customHeight="1">
      <c r="A79" s="316"/>
      <c r="B79" s="98"/>
      <c r="C79" s="297"/>
      <c r="D79" s="298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8"/>
      <c r="S79" s="46"/>
      <c r="T79" s="118"/>
      <c r="U79" s="109"/>
      <c r="V79" s="110"/>
      <c r="W79" s="111"/>
      <c r="X79" s="114"/>
      <c r="Y79" s="299"/>
      <c r="Z79" s="300"/>
      <c r="AA79" s="115"/>
      <c r="AB79" s="108"/>
      <c r="AC79" s="313"/>
    </row>
    <row r="80" spans="1:29" ht="15.75" customHeight="1">
      <c r="A80" s="316"/>
      <c r="B80" s="98"/>
      <c r="C80" s="297"/>
      <c r="D80" s="298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8"/>
      <c r="S80" s="46"/>
      <c r="T80" s="118"/>
      <c r="U80" s="109"/>
      <c r="V80" s="110"/>
      <c r="W80" s="111"/>
      <c r="X80" s="114"/>
      <c r="Y80" s="299"/>
      <c r="Z80" s="300"/>
      <c r="AA80" s="115"/>
      <c r="AB80" s="108"/>
      <c r="AC80" s="313"/>
    </row>
    <row r="81" spans="1:29" ht="15.75" customHeight="1">
      <c r="A81" s="316"/>
      <c r="B81" s="98"/>
      <c r="C81" s="297"/>
      <c r="D81" s="298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8"/>
      <c r="S81" s="46"/>
      <c r="T81" s="118"/>
      <c r="U81" s="109"/>
      <c r="V81" s="110"/>
      <c r="W81" s="124"/>
      <c r="X81" s="125"/>
      <c r="Y81" s="299"/>
      <c r="Z81" s="300"/>
      <c r="AA81" s="115"/>
      <c r="AB81" s="108"/>
      <c r="AC81" s="313"/>
    </row>
    <row r="82" spans="1:29" ht="15.75" customHeight="1">
      <c r="A82" s="316"/>
      <c r="B82" s="98"/>
      <c r="C82" s="297"/>
      <c r="D82" s="298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8"/>
      <c r="S82" s="46"/>
      <c r="T82" s="118"/>
      <c r="U82" s="109"/>
      <c r="V82" s="110"/>
      <c r="W82" s="124"/>
      <c r="X82" s="125"/>
      <c r="Y82" s="299"/>
      <c r="Z82" s="300"/>
      <c r="AA82" s="115"/>
      <c r="AB82" s="108"/>
      <c r="AC82" s="313"/>
    </row>
    <row r="83" spans="1:29" ht="15.75" customHeight="1">
      <c r="A83" s="316"/>
      <c r="B83" s="98"/>
      <c r="C83" s="297"/>
      <c r="D83" s="298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8"/>
      <c r="S83" s="46"/>
      <c r="T83" s="118"/>
      <c r="U83" s="109"/>
      <c r="V83" s="110"/>
      <c r="W83" s="124"/>
      <c r="X83" s="125"/>
      <c r="Y83" s="299"/>
      <c r="Z83" s="300"/>
      <c r="AA83" s="115"/>
      <c r="AB83" s="108"/>
      <c r="AC83" s="313"/>
    </row>
    <row r="84" spans="1:29" ht="15.75" customHeight="1">
      <c r="A84" s="316"/>
      <c r="B84" s="98"/>
      <c r="C84" s="297"/>
      <c r="D84" s="298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8"/>
      <c r="S84" s="46"/>
      <c r="T84" s="118"/>
      <c r="U84" s="109"/>
      <c r="V84" s="110"/>
      <c r="W84" s="124"/>
      <c r="X84" s="125"/>
      <c r="Y84" s="299"/>
      <c r="Z84" s="300"/>
      <c r="AA84" s="115"/>
      <c r="AB84" s="108"/>
      <c r="AC84" s="313"/>
    </row>
    <row r="85" spans="1:29" ht="15.75" customHeight="1">
      <c r="A85" s="316"/>
      <c r="B85" s="98"/>
      <c r="C85" s="297"/>
      <c r="D85" s="298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8"/>
      <c r="S85" s="46"/>
      <c r="T85" s="118"/>
      <c r="U85" s="109"/>
      <c r="V85" s="110"/>
      <c r="W85" s="124"/>
      <c r="X85" s="125"/>
      <c r="Y85" s="299"/>
      <c r="Z85" s="300"/>
      <c r="AA85" s="115"/>
      <c r="AB85" s="108"/>
      <c r="AC85" s="313"/>
    </row>
    <row r="86" spans="1:29" ht="15.75" customHeight="1">
      <c r="A86" s="316"/>
      <c r="B86" s="98"/>
      <c r="C86" s="297"/>
      <c r="D86" s="298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8"/>
      <c r="S86" s="46"/>
      <c r="T86" s="118"/>
      <c r="U86" s="109"/>
      <c r="V86" s="110"/>
      <c r="W86" s="124"/>
      <c r="X86" s="125"/>
      <c r="Y86" s="299"/>
      <c r="Z86" s="300"/>
      <c r="AA86" s="115"/>
      <c r="AB86" s="108"/>
      <c r="AC86" s="313"/>
    </row>
    <row r="87" spans="1:29" ht="15.75" customHeight="1">
      <c r="A87" s="316"/>
      <c r="B87" s="98"/>
      <c r="C87" s="297"/>
      <c r="D87" s="298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8"/>
      <c r="S87" s="46"/>
      <c r="T87" s="118"/>
      <c r="U87" s="109"/>
      <c r="V87" s="110"/>
      <c r="W87" s="124"/>
      <c r="X87" s="125"/>
      <c r="Y87" s="299"/>
      <c r="Z87" s="300"/>
      <c r="AA87" s="115"/>
      <c r="AB87" s="108"/>
      <c r="AC87" s="313"/>
    </row>
    <row r="88" spans="1:29" ht="15.75" customHeight="1">
      <c r="A88" s="316"/>
      <c r="B88" s="98"/>
      <c r="C88" s="297"/>
      <c r="D88" s="298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8"/>
      <c r="S88" s="117"/>
      <c r="T88" s="118"/>
      <c r="U88" s="128"/>
      <c r="V88" s="129"/>
      <c r="W88" s="124"/>
      <c r="X88" s="125"/>
      <c r="Y88" s="299"/>
      <c r="Z88" s="300"/>
      <c r="AA88" s="163"/>
      <c r="AB88" s="123"/>
      <c r="AC88" s="313"/>
    </row>
    <row r="89" spans="1:29" ht="15.75" customHeight="1" thickBot="1">
      <c r="A89" s="317"/>
      <c r="B89" s="131" t="s">
        <v>115</v>
      </c>
      <c r="C89" s="294"/>
      <c r="D89" s="294"/>
      <c r="E89" s="132"/>
      <c r="F89" s="165"/>
      <c r="G89" s="133"/>
      <c r="H89" s="67"/>
      <c r="I89" s="134">
        <f t="shared" ref="I89:J89" si="41">AVERAGE(I73:I88)</f>
        <v>12</v>
      </c>
      <c r="J89" s="135">
        <f t="shared" si="41"/>
        <v>3600</v>
      </c>
      <c r="K89" s="136">
        <f t="shared" ref="K89" si="42">J89/I89</f>
        <v>300</v>
      </c>
      <c r="L89" s="134">
        <f t="shared" ref="L89:M89" si="43">AVERAGE(L73:L88)</f>
        <v>12</v>
      </c>
      <c r="M89" s="135">
        <f t="shared" si="43"/>
        <v>3122.6612590235536</v>
      </c>
      <c r="N89" s="136">
        <f>M89/L89</f>
        <v>260.22177158529615</v>
      </c>
      <c r="O89" s="137">
        <f>L89-I89</f>
        <v>0</v>
      </c>
      <c r="P89" s="138">
        <f>N89-K89</f>
        <v>-39.778228414703847</v>
      </c>
      <c r="Q89" s="139">
        <f>N89/K89</f>
        <v>0.86740590528432049</v>
      </c>
      <c r="R89" s="309"/>
      <c r="S89" s="140">
        <v>0.73888888888888882</v>
      </c>
      <c r="T89" s="141">
        <v>0.75269675925925916</v>
      </c>
      <c r="U89" s="142"/>
      <c r="V89" s="164"/>
      <c r="W89" s="165"/>
      <c r="X89" s="136"/>
      <c r="Y89" s="295"/>
      <c r="Z89" s="296"/>
      <c r="AA89" s="166">
        <f>M89-J89</f>
        <v>-477.33874097644639</v>
      </c>
      <c r="AB89" s="139">
        <f>M89/J89</f>
        <v>0.86740590528432049</v>
      </c>
      <c r="AC89" s="314"/>
    </row>
    <row r="90" spans="1:29" ht="15.75" customHeight="1">
      <c r="A90" s="301" t="s">
        <v>135</v>
      </c>
      <c r="B90" s="112" t="s">
        <v>118</v>
      </c>
      <c r="C90" s="305" t="s">
        <v>134</v>
      </c>
      <c r="D90" s="306"/>
      <c r="E90" s="145">
        <v>24.54</v>
      </c>
      <c r="F90" s="95">
        <v>909</v>
      </c>
      <c r="G90" s="146">
        <f t="shared" ref="G90" si="44">E90*F90</f>
        <v>22306.86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2797.2750586002003</v>
      </c>
      <c r="N90" s="150">
        <f>M90/L90</f>
        <v>699.31876465005007</v>
      </c>
      <c r="O90" s="152">
        <f>L90-I90</f>
        <v>0</v>
      </c>
      <c r="P90" s="153">
        <f>N90-K90</f>
        <v>-50.68123534994993</v>
      </c>
      <c r="Q90" s="154">
        <f>N90/K90</f>
        <v>0.93242501953340007</v>
      </c>
      <c r="R90" s="307">
        <f>Q106</f>
        <v>0.93242501953340007</v>
      </c>
      <c r="S90" s="155">
        <v>0.70833333333333337</v>
      </c>
      <c r="T90" s="156">
        <v>0.72186342592592601</v>
      </c>
      <c r="U90" s="157"/>
      <c r="V90" s="158">
        <v>19.497546311120601</v>
      </c>
      <c r="W90" s="159"/>
      <c r="X90" s="160"/>
      <c r="Y90" s="310"/>
      <c r="Z90" s="311"/>
      <c r="AA90" s="113">
        <f>M90-J90</f>
        <v>-202.72494139979972</v>
      </c>
      <c r="AB90" s="154">
        <f>M90/J90</f>
        <v>0.93242501953340007</v>
      </c>
      <c r="AC90" s="312">
        <f>AB106</f>
        <v>0.93242501953340007</v>
      </c>
    </row>
    <row r="91" spans="1:29" ht="15.75" customHeight="1">
      <c r="A91" s="302"/>
      <c r="B91" s="98"/>
      <c r="C91" s="297"/>
      <c r="D91" s="298"/>
      <c r="E91" s="99"/>
      <c r="F91" s="100"/>
      <c r="G91" s="101"/>
      <c r="H91" s="26"/>
      <c r="I91" s="102"/>
      <c r="J91" s="103"/>
      <c r="K91" s="104"/>
      <c r="L91" s="105"/>
      <c r="M91" s="103"/>
      <c r="N91" s="104"/>
      <c r="O91" s="106"/>
      <c r="P91" s="107"/>
      <c r="Q91" s="108"/>
      <c r="R91" s="308"/>
      <c r="S91" s="46"/>
      <c r="T91" s="47"/>
      <c r="U91" s="109"/>
      <c r="V91" s="110"/>
      <c r="W91" s="111"/>
      <c r="X91" s="114"/>
      <c r="Y91" s="299"/>
      <c r="Z91" s="300"/>
      <c r="AA91" s="115"/>
      <c r="AB91" s="108"/>
      <c r="AC91" s="313"/>
    </row>
    <row r="92" spans="1:29" ht="15.75" customHeight="1">
      <c r="A92" s="302"/>
      <c r="B92" s="98"/>
      <c r="C92" s="297"/>
      <c r="D92" s="298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8"/>
      <c r="S92" s="46"/>
      <c r="T92" s="47"/>
      <c r="U92" s="109"/>
      <c r="V92" s="110"/>
      <c r="W92" s="111"/>
      <c r="X92" s="114"/>
      <c r="Y92" s="299"/>
      <c r="Z92" s="300"/>
      <c r="AA92" s="115"/>
      <c r="AB92" s="108"/>
      <c r="AC92" s="313"/>
    </row>
    <row r="93" spans="1:29" ht="15.75" customHeight="1">
      <c r="A93" s="302"/>
      <c r="B93" s="98"/>
      <c r="C93" s="297"/>
      <c r="D93" s="298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8"/>
      <c r="S93" s="46"/>
      <c r="T93" s="47"/>
      <c r="U93" s="109"/>
      <c r="V93" s="110"/>
      <c r="W93" s="111"/>
      <c r="X93" s="114"/>
      <c r="Y93" s="299"/>
      <c r="Z93" s="300"/>
      <c r="AA93" s="115"/>
      <c r="AB93" s="108"/>
      <c r="AC93" s="313"/>
    </row>
    <row r="94" spans="1:29" ht="15.75" customHeight="1">
      <c r="A94" s="303"/>
      <c r="B94" s="98"/>
      <c r="C94" s="297"/>
      <c r="D94" s="298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8"/>
      <c r="S94" s="46"/>
      <c r="T94" s="47"/>
      <c r="U94" s="109"/>
      <c r="V94" s="110"/>
      <c r="W94" s="111"/>
      <c r="X94" s="114"/>
      <c r="Y94" s="299"/>
      <c r="Z94" s="300"/>
      <c r="AA94" s="115"/>
      <c r="AB94" s="108"/>
      <c r="AC94" s="313"/>
    </row>
    <row r="95" spans="1:29" ht="15.75" customHeight="1">
      <c r="A95" s="303"/>
      <c r="B95" s="98"/>
      <c r="C95" s="297"/>
      <c r="D95" s="298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8"/>
      <c r="S95" s="46"/>
      <c r="T95" s="118"/>
      <c r="U95" s="109"/>
      <c r="V95" s="110"/>
      <c r="W95" s="111"/>
      <c r="X95" s="114"/>
      <c r="Y95" s="299"/>
      <c r="Z95" s="300"/>
      <c r="AA95" s="115"/>
      <c r="AB95" s="108"/>
      <c r="AC95" s="313"/>
    </row>
    <row r="96" spans="1:29" ht="15.75" customHeight="1">
      <c r="A96" s="303"/>
      <c r="B96" s="98"/>
      <c r="C96" s="297"/>
      <c r="D96" s="298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8"/>
      <c r="S96" s="46"/>
      <c r="T96" s="118"/>
      <c r="U96" s="109"/>
      <c r="V96" s="110"/>
      <c r="W96" s="111"/>
      <c r="X96" s="114"/>
      <c r="Y96" s="299"/>
      <c r="Z96" s="300"/>
      <c r="AA96" s="115"/>
      <c r="AB96" s="108"/>
      <c r="AC96" s="313"/>
    </row>
    <row r="97" spans="1:29" ht="15.75" customHeight="1">
      <c r="A97" s="303"/>
      <c r="B97" s="98"/>
      <c r="C97" s="297"/>
      <c r="D97" s="298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8"/>
      <c r="S97" s="46"/>
      <c r="T97" s="118"/>
      <c r="U97" s="109"/>
      <c r="V97" s="110"/>
      <c r="W97" s="111"/>
      <c r="X97" s="114"/>
      <c r="Y97" s="299"/>
      <c r="Z97" s="300"/>
      <c r="AA97" s="115"/>
      <c r="AB97" s="108"/>
      <c r="AC97" s="313"/>
    </row>
    <row r="98" spans="1:29" ht="15.75" customHeight="1">
      <c r="A98" s="303"/>
      <c r="B98" s="98"/>
      <c r="C98" s="297"/>
      <c r="D98" s="298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8"/>
      <c r="S98" s="46"/>
      <c r="T98" s="118"/>
      <c r="U98" s="109"/>
      <c r="V98" s="110"/>
      <c r="W98" s="111"/>
      <c r="X98" s="114"/>
      <c r="Y98" s="299"/>
      <c r="Z98" s="300"/>
      <c r="AA98" s="115"/>
      <c r="AB98" s="108"/>
      <c r="AC98" s="313"/>
    </row>
    <row r="99" spans="1:29" ht="15.75" customHeight="1">
      <c r="A99" s="303"/>
      <c r="B99" s="98"/>
      <c r="C99" s="297"/>
      <c r="D99" s="298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8"/>
      <c r="S99" s="46"/>
      <c r="T99" s="118"/>
      <c r="U99" s="109"/>
      <c r="V99" s="110"/>
      <c r="W99" s="111"/>
      <c r="X99" s="114"/>
      <c r="Y99" s="299"/>
      <c r="Z99" s="300"/>
      <c r="AA99" s="115"/>
      <c r="AB99" s="108"/>
      <c r="AC99" s="313"/>
    </row>
    <row r="100" spans="1:29" ht="15.75" customHeight="1">
      <c r="A100" s="303"/>
      <c r="B100" s="98"/>
      <c r="C100" s="297"/>
      <c r="D100" s="298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8"/>
      <c r="S100" s="46"/>
      <c r="T100" s="118"/>
      <c r="U100" s="109"/>
      <c r="V100" s="110"/>
      <c r="W100" s="124"/>
      <c r="X100" s="125"/>
      <c r="Y100" s="299"/>
      <c r="Z100" s="300"/>
      <c r="AA100" s="115"/>
      <c r="AB100" s="108"/>
      <c r="AC100" s="313"/>
    </row>
    <row r="101" spans="1:29" ht="15.75" customHeight="1">
      <c r="A101" s="303"/>
      <c r="B101" s="98"/>
      <c r="C101" s="297"/>
      <c r="D101" s="298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8"/>
      <c r="S101" s="46"/>
      <c r="T101" s="118"/>
      <c r="U101" s="109"/>
      <c r="V101" s="110"/>
      <c r="W101" s="124"/>
      <c r="X101" s="125"/>
      <c r="Y101" s="299"/>
      <c r="Z101" s="300"/>
      <c r="AA101" s="115"/>
      <c r="AB101" s="108"/>
      <c r="AC101" s="313"/>
    </row>
    <row r="102" spans="1:29" ht="15.75" customHeight="1">
      <c r="A102" s="303"/>
      <c r="B102" s="98"/>
      <c r="C102" s="297"/>
      <c r="D102" s="298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8"/>
      <c r="S102" s="46"/>
      <c r="T102" s="118"/>
      <c r="U102" s="109"/>
      <c r="V102" s="110"/>
      <c r="W102" s="124"/>
      <c r="X102" s="125"/>
      <c r="Y102" s="299"/>
      <c r="Z102" s="300"/>
      <c r="AA102" s="115"/>
      <c r="AB102" s="108"/>
      <c r="AC102" s="313"/>
    </row>
    <row r="103" spans="1:29" ht="15.75" customHeight="1">
      <c r="A103" s="303"/>
      <c r="B103" s="98"/>
      <c r="C103" s="297"/>
      <c r="D103" s="298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8"/>
      <c r="S103" s="46"/>
      <c r="T103" s="118"/>
      <c r="U103" s="109"/>
      <c r="V103" s="110"/>
      <c r="W103" s="124"/>
      <c r="X103" s="125"/>
      <c r="Y103" s="299"/>
      <c r="Z103" s="300"/>
      <c r="AA103" s="115"/>
      <c r="AB103" s="108"/>
      <c r="AC103" s="313"/>
    </row>
    <row r="104" spans="1:29" ht="15.75" customHeight="1">
      <c r="A104" s="303"/>
      <c r="B104" s="98"/>
      <c r="C104" s="297"/>
      <c r="D104" s="298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8"/>
      <c r="S104" s="46"/>
      <c r="T104" s="118"/>
      <c r="U104" s="109"/>
      <c r="V104" s="110"/>
      <c r="W104" s="124"/>
      <c r="X104" s="125"/>
      <c r="Y104" s="299"/>
      <c r="Z104" s="300"/>
      <c r="AA104" s="115"/>
      <c r="AB104" s="108"/>
      <c r="AC104" s="313"/>
    </row>
    <row r="105" spans="1:29" ht="15.75" customHeight="1">
      <c r="A105" s="303"/>
      <c r="B105" s="98"/>
      <c r="C105" s="297"/>
      <c r="D105" s="298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8"/>
      <c r="S105" s="117"/>
      <c r="T105" s="118"/>
      <c r="U105" s="128"/>
      <c r="V105" s="129"/>
      <c r="W105" s="124"/>
      <c r="X105" s="125"/>
      <c r="Y105" s="299"/>
      <c r="Z105" s="300"/>
      <c r="AA105" s="163"/>
      <c r="AB105" s="123"/>
      <c r="AC105" s="313"/>
    </row>
    <row r="106" spans="1:29" ht="15.75" customHeight="1" thickBot="1">
      <c r="A106" s="304"/>
      <c r="B106" s="131" t="s">
        <v>115</v>
      </c>
      <c r="C106" s="294"/>
      <c r="D106" s="294"/>
      <c r="E106" s="132"/>
      <c r="F106" s="97"/>
      <c r="G106" s="133"/>
      <c r="H106" s="67"/>
      <c r="I106" s="134">
        <f t="shared" ref="I106:J106" si="45">AVERAGE(I90:I105)</f>
        <v>4</v>
      </c>
      <c r="J106" s="135">
        <f t="shared" si="45"/>
        <v>3000</v>
      </c>
      <c r="K106" s="136">
        <f t="shared" ref="K106" si="46">J106/I106</f>
        <v>750</v>
      </c>
      <c r="L106" s="134">
        <f t="shared" ref="L106:M106" si="47">AVERAGE(L90:L105)</f>
        <v>4</v>
      </c>
      <c r="M106" s="135">
        <f t="shared" si="47"/>
        <v>2797.2750586002003</v>
      </c>
      <c r="N106" s="136">
        <f t="shared" ref="N106:N120" si="48">M106/L106</f>
        <v>699.31876465005007</v>
      </c>
      <c r="O106" s="137">
        <f t="shared" ref="O106:O120" si="49">L106-I106</f>
        <v>0</v>
      </c>
      <c r="P106" s="138">
        <f t="shared" ref="P106:P120" si="50">N106-K106</f>
        <v>-50.68123534994993</v>
      </c>
      <c r="Q106" s="139">
        <f t="shared" ref="Q106:Q120" si="51">N106/K106</f>
        <v>0.93242501953340007</v>
      </c>
      <c r="R106" s="309"/>
      <c r="S106" s="140">
        <v>0.70833333333333337</v>
      </c>
      <c r="T106" s="141">
        <v>0.72186342592592601</v>
      </c>
      <c r="U106" s="142"/>
      <c r="V106" s="164"/>
      <c r="W106" s="97"/>
      <c r="X106" s="67"/>
      <c r="Y106" s="295"/>
      <c r="Z106" s="296"/>
      <c r="AA106" s="166">
        <f t="shared" ref="AA106:AA120" si="52">M106-J106</f>
        <v>-202.72494139979972</v>
      </c>
      <c r="AB106" s="139">
        <f t="shared" ref="AB106:AB120" si="53">M106/J106</f>
        <v>0.93242501953340007</v>
      </c>
      <c r="AC106" s="314"/>
    </row>
    <row r="107" spans="1:29" ht="15.75" customHeight="1">
      <c r="A107" s="315" t="s">
        <v>138</v>
      </c>
      <c r="B107" s="112" t="s">
        <v>118</v>
      </c>
      <c r="C107" s="305" t="s">
        <v>139</v>
      </c>
      <c r="D107" s="306"/>
      <c r="E107" s="145">
        <v>14.03</v>
      </c>
      <c r="F107" s="95">
        <v>303</v>
      </c>
      <c r="G107" s="146">
        <f t="shared" ref="G107:G120" si="54">E107*F107</f>
        <v>4251.09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55">F107/V107*60</f>
        <v>2802.4382829214337</v>
      </c>
      <c r="N107" s="150">
        <f t="shared" si="48"/>
        <v>934.14609430714461</v>
      </c>
      <c r="O107" s="152">
        <f t="shared" si="49"/>
        <v>0</v>
      </c>
      <c r="P107" s="153">
        <f t="shared" si="50"/>
        <v>-65.853905692855392</v>
      </c>
      <c r="Q107" s="154">
        <f t="shared" si="51"/>
        <v>0.93414609430714457</v>
      </c>
      <c r="R107" s="307">
        <f>Q123</f>
        <v>0.91750881570359843</v>
      </c>
      <c r="S107" s="155">
        <v>0.73333333333333328</v>
      </c>
      <c r="T107" s="156">
        <v>0.73783564814814806</v>
      </c>
      <c r="U107" s="157"/>
      <c r="V107" s="158">
        <v>6.487207982702853</v>
      </c>
      <c r="W107" s="159"/>
      <c r="X107" s="160"/>
      <c r="Y107" s="310"/>
      <c r="Z107" s="311"/>
      <c r="AA107" s="113">
        <f t="shared" si="52"/>
        <v>-197.56171707856629</v>
      </c>
      <c r="AB107" s="154">
        <f t="shared" si="53"/>
        <v>0.93414609430714457</v>
      </c>
      <c r="AC107" s="312">
        <f>AB123</f>
        <v>0.91750881570359843</v>
      </c>
    </row>
    <row r="108" spans="1:29" ht="15.75" customHeight="1">
      <c r="A108" s="316"/>
      <c r="B108" s="98" t="s">
        <v>118</v>
      </c>
      <c r="C108" s="297" t="s">
        <v>140</v>
      </c>
      <c r="D108" s="298"/>
      <c r="E108" s="99">
        <v>18.18</v>
      </c>
      <c r="F108" s="100">
        <v>658</v>
      </c>
      <c r="G108" s="101">
        <f t="shared" si="54"/>
        <v>11962.44</v>
      </c>
      <c r="H108" s="26">
        <v>2</v>
      </c>
      <c r="I108" s="102">
        <v>3</v>
      </c>
      <c r="J108" s="103">
        <v>3000</v>
      </c>
      <c r="K108" s="104">
        <f t="shared" ref="K108:K137" si="56">J108/I108</f>
        <v>1000</v>
      </c>
      <c r="L108" s="105">
        <v>3</v>
      </c>
      <c r="M108" s="103">
        <f t="shared" si="55"/>
        <v>2797.8874183060402</v>
      </c>
      <c r="N108" s="104">
        <f t="shared" si="48"/>
        <v>932.6291394353467</v>
      </c>
      <c r="O108" s="106">
        <f t="shared" si="49"/>
        <v>0</v>
      </c>
      <c r="P108" s="107">
        <f t="shared" si="50"/>
        <v>-67.370860564653299</v>
      </c>
      <c r="Q108" s="108">
        <f t="shared" si="51"/>
        <v>0.93262913943534675</v>
      </c>
      <c r="R108" s="308"/>
      <c r="S108" s="46">
        <v>0.74722222222222212</v>
      </c>
      <c r="T108" s="47">
        <v>0.75701388888888876</v>
      </c>
      <c r="U108" s="109">
        <v>13.516666666666648</v>
      </c>
      <c r="V108" s="110">
        <v>14.110646390448</v>
      </c>
      <c r="W108" s="111"/>
      <c r="X108" s="114"/>
      <c r="Y108" s="299"/>
      <c r="Z108" s="300"/>
      <c r="AA108" s="115">
        <f t="shared" si="52"/>
        <v>-202.11258169395978</v>
      </c>
      <c r="AB108" s="108">
        <f t="shared" si="53"/>
        <v>0.93262913943534675</v>
      </c>
      <c r="AC108" s="313"/>
    </row>
    <row r="109" spans="1:29" ht="15.75" customHeight="1">
      <c r="A109" s="316"/>
      <c r="B109" s="98" t="s">
        <v>118</v>
      </c>
      <c r="C109" s="297" t="s">
        <v>144</v>
      </c>
      <c r="D109" s="298"/>
      <c r="E109" s="99">
        <v>18.18</v>
      </c>
      <c r="F109" s="100">
        <v>430</v>
      </c>
      <c r="G109" s="101">
        <f t="shared" si="54"/>
        <v>7817.4</v>
      </c>
      <c r="H109" s="26">
        <v>2</v>
      </c>
      <c r="I109" s="102">
        <v>3</v>
      </c>
      <c r="J109" s="103">
        <v>3600</v>
      </c>
      <c r="K109" s="104">
        <f t="shared" si="56"/>
        <v>1200</v>
      </c>
      <c r="L109" s="105">
        <v>3</v>
      </c>
      <c r="M109" s="103">
        <f t="shared" si="55"/>
        <v>3284.9853450014598</v>
      </c>
      <c r="N109" s="104">
        <f t="shared" si="48"/>
        <v>1094.9951150004865</v>
      </c>
      <c r="O109" s="106">
        <f t="shared" si="49"/>
        <v>0</v>
      </c>
      <c r="P109" s="107">
        <f t="shared" si="50"/>
        <v>-105.00488499951348</v>
      </c>
      <c r="Q109" s="108">
        <f t="shared" si="51"/>
        <v>0.91249592916707212</v>
      </c>
      <c r="R109" s="308"/>
      <c r="S109" s="46">
        <v>0.7666666666666665</v>
      </c>
      <c r="T109" s="47">
        <v>0.77211805555555535</v>
      </c>
      <c r="U109" s="109">
        <v>13.899999999999935</v>
      </c>
      <c r="V109" s="110">
        <v>7.8539163163263783</v>
      </c>
      <c r="W109" s="111"/>
      <c r="X109" s="114"/>
      <c r="Y109" s="299"/>
      <c r="Z109" s="300"/>
      <c r="AA109" s="115">
        <f t="shared" si="52"/>
        <v>-315.01465499854021</v>
      </c>
      <c r="AB109" s="108">
        <f t="shared" si="53"/>
        <v>0.91249592916707212</v>
      </c>
      <c r="AC109" s="313"/>
    </row>
    <row r="110" spans="1:29" ht="15.75" customHeight="1">
      <c r="A110" s="316"/>
      <c r="B110" s="98" t="s">
        <v>118</v>
      </c>
      <c r="C110" s="297" t="s">
        <v>133</v>
      </c>
      <c r="D110" s="298"/>
      <c r="E110" s="99">
        <v>16.7</v>
      </c>
      <c r="F110" s="100">
        <v>1161</v>
      </c>
      <c r="G110" s="101">
        <f t="shared" si="54"/>
        <v>19388.7</v>
      </c>
      <c r="H110" s="26">
        <v>2</v>
      </c>
      <c r="I110" s="102">
        <v>3</v>
      </c>
      <c r="J110" s="103">
        <v>3600</v>
      </c>
      <c r="K110" s="104">
        <f t="shared" si="56"/>
        <v>1200</v>
      </c>
      <c r="L110" s="105">
        <v>3</v>
      </c>
      <c r="M110" s="103">
        <f t="shared" si="55"/>
        <v>3283.9920307845678</v>
      </c>
      <c r="N110" s="104">
        <f t="shared" si="48"/>
        <v>1094.6640102615227</v>
      </c>
      <c r="O110" s="106">
        <f t="shared" si="49"/>
        <v>0</v>
      </c>
      <c r="P110" s="107">
        <f t="shared" si="50"/>
        <v>-105.33598973847734</v>
      </c>
      <c r="Q110" s="108">
        <f t="shared" si="51"/>
        <v>0.91222000855126884</v>
      </c>
      <c r="R110" s="308"/>
      <c r="S110" s="46">
        <v>0.78124999999999978</v>
      </c>
      <c r="T110" s="47">
        <v>0.79597222222222197</v>
      </c>
      <c r="U110" s="109">
        <v>13.149999999999977</v>
      </c>
      <c r="V110" s="110">
        <v>21.211988137303049</v>
      </c>
      <c r="W110" s="111"/>
      <c r="X110" s="114"/>
      <c r="Y110" s="299"/>
      <c r="Z110" s="300"/>
      <c r="AA110" s="115">
        <f t="shared" si="52"/>
        <v>-316.00796921543224</v>
      </c>
      <c r="AB110" s="108">
        <f t="shared" si="53"/>
        <v>0.91222000855126884</v>
      </c>
      <c r="AC110" s="313"/>
    </row>
    <row r="111" spans="1:29" ht="15.75" customHeight="1">
      <c r="A111" s="316"/>
      <c r="B111" s="98" t="s">
        <v>118</v>
      </c>
      <c r="C111" s="297" t="s">
        <v>193</v>
      </c>
      <c r="D111" s="298"/>
      <c r="E111" s="99">
        <v>30</v>
      </c>
      <c r="F111" s="100">
        <v>766</v>
      </c>
      <c r="G111" s="101">
        <f t="shared" si="54"/>
        <v>22980</v>
      </c>
      <c r="H111" s="26">
        <v>2</v>
      </c>
      <c r="I111" s="102">
        <v>4</v>
      </c>
      <c r="J111" s="103">
        <v>3600</v>
      </c>
      <c r="K111" s="104">
        <f t="shared" si="56"/>
        <v>900</v>
      </c>
      <c r="L111" s="105">
        <v>4</v>
      </c>
      <c r="M111" s="103">
        <f t="shared" si="55"/>
        <v>3285.8737785870526</v>
      </c>
      <c r="N111" s="104">
        <f t="shared" si="48"/>
        <v>821.46844464676315</v>
      </c>
      <c r="O111" s="106">
        <f t="shared" si="49"/>
        <v>0</v>
      </c>
      <c r="P111" s="107">
        <f t="shared" si="50"/>
        <v>-78.531555353236854</v>
      </c>
      <c r="Q111" s="108">
        <f t="shared" si="51"/>
        <v>0.91274271627418124</v>
      </c>
      <c r="R111" s="308"/>
      <c r="S111" s="46">
        <v>0.80555555555555525</v>
      </c>
      <c r="T111" s="47">
        <v>0.8152662037037034</v>
      </c>
      <c r="U111" s="109">
        <v>13.799999999999919</v>
      </c>
      <c r="V111" s="110">
        <v>13.987147132524093</v>
      </c>
      <c r="W111" s="111"/>
      <c r="X111" s="114"/>
      <c r="Y111" s="299"/>
      <c r="Z111" s="300"/>
      <c r="AA111" s="115">
        <f t="shared" si="52"/>
        <v>-314.12622141294742</v>
      </c>
      <c r="AB111" s="108">
        <f t="shared" si="53"/>
        <v>0.91274271627418124</v>
      </c>
      <c r="AC111" s="313"/>
    </row>
    <row r="112" spans="1:29" ht="15.75" customHeight="1">
      <c r="A112" s="316"/>
      <c r="B112" s="98" t="s">
        <v>118</v>
      </c>
      <c r="C112" s="297" t="s">
        <v>146</v>
      </c>
      <c r="D112" s="298"/>
      <c r="E112" s="99">
        <v>25.03</v>
      </c>
      <c r="F112" s="100">
        <v>483</v>
      </c>
      <c r="G112" s="119">
        <f t="shared" si="54"/>
        <v>12089.49</v>
      </c>
      <c r="H112" s="26">
        <v>2</v>
      </c>
      <c r="I112" s="102">
        <v>5</v>
      </c>
      <c r="J112" s="103">
        <v>3600</v>
      </c>
      <c r="K112" s="104">
        <f t="shared" si="56"/>
        <v>720</v>
      </c>
      <c r="L112" s="105">
        <v>5</v>
      </c>
      <c r="M112" s="103">
        <f t="shared" si="55"/>
        <v>3279.3927196544701</v>
      </c>
      <c r="N112" s="104">
        <f t="shared" si="48"/>
        <v>655.87854393089401</v>
      </c>
      <c r="O112" s="106">
        <f t="shared" si="49"/>
        <v>0</v>
      </c>
      <c r="P112" s="107">
        <f t="shared" si="50"/>
        <v>-64.121456069105989</v>
      </c>
      <c r="Q112" s="108">
        <f t="shared" si="51"/>
        <v>0.91094242212624166</v>
      </c>
      <c r="R112" s="308"/>
      <c r="S112" s="46">
        <v>0.82430555555555518</v>
      </c>
      <c r="T112" s="118">
        <v>0.83043981481481444</v>
      </c>
      <c r="U112" s="109">
        <v>13.01666666666657</v>
      </c>
      <c r="V112" s="110">
        <v>8.8370019931780082</v>
      </c>
      <c r="W112" s="111"/>
      <c r="X112" s="114"/>
      <c r="Y112" s="299"/>
      <c r="Z112" s="300"/>
      <c r="AA112" s="115">
        <f t="shared" si="52"/>
        <v>-320.60728034552994</v>
      </c>
      <c r="AB112" s="108">
        <f t="shared" si="53"/>
        <v>0.91094242212624166</v>
      </c>
      <c r="AC112" s="313"/>
    </row>
    <row r="113" spans="1:29" ht="15.75" customHeight="1">
      <c r="A113" s="316"/>
      <c r="B113" s="98" t="s">
        <v>118</v>
      </c>
      <c r="C113" s="297" t="s">
        <v>137</v>
      </c>
      <c r="D113" s="298"/>
      <c r="E113" s="99">
        <v>16.66</v>
      </c>
      <c r="F113" s="100">
        <v>2603</v>
      </c>
      <c r="G113" s="119">
        <f t="shared" si="54"/>
        <v>43365.98</v>
      </c>
      <c r="H113" s="26">
        <v>2</v>
      </c>
      <c r="I113" s="102">
        <v>5</v>
      </c>
      <c r="J113" s="103">
        <v>3600</v>
      </c>
      <c r="K113" s="104">
        <f t="shared" si="56"/>
        <v>720</v>
      </c>
      <c r="L113" s="105">
        <v>5</v>
      </c>
      <c r="M113" s="103">
        <f t="shared" si="55"/>
        <v>3285.605740768412</v>
      </c>
      <c r="N113" s="104">
        <f t="shared" si="48"/>
        <v>657.12114815368238</v>
      </c>
      <c r="O113" s="121">
        <f t="shared" si="49"/>
        <v>0</v>
      </c>
      <c r="P113" s="122">
        <f t="shared" si="50"/>
        <v>-62.878851846317616</v>
      </c>
      <c r="Q113" s="123">
        <f t="shared" si="51"/>
        <v>0.91266826132455892</v>
      </c>
      <c r="R113" s="308"/>
      <c r="S113" s="46">
        <v>0.8395833333333329</v>
      </c>
      <c r="T113" s="118">
        <v>0.87259259259259214</v>
      </c>
      <c r="U113" s="109">
        <v>13.166666666666593</v>
      </c>
      <c r="V113" s="110">
        <v>47.534613804112062</v>
      </c>
      <c r="W113" s="111"/>
      <c r="X113" s="114"/>
      <c r="Y113" s="299"/>
      <c r="Z113" s="300"/>
      <c r="AA113" s="115">
        <f t="shared" si="52"/>
        <v>-314.39425923158797</v>
      </c>
      <c r="AB113" s="108">
        <f t="shared" si="53"/>
        <v>0.91266826132455892</v>
      </c>
      <c r="AC113" s="313"/>
    </row>
    <row r="114" spans="1:29" ht="15.75" customHeight="1">
      <c r="A114" s="316"/>
      <c r="B114" s="98" t="s">
        <v>118</v>
      </c>
      <c r="C114" s="297" t="s">
        <v>140</v>
      </c>
      <c r="D114" s="298"/>
      <c r="E114" s="99">
        <v>18.18</v>
      </c>
      <c r="F114" s="100">
        <v>892</v>
      </c>
      <c r="G114" s="119">
        <f t="shared" si="54"/>
        <v>16216.56</v>
      </c>
      <c r="H114" s="26"/>
      <c r="I114" s="102">
        <v>3</v>
      </c>
      <c r="J114" s="103">
        <v>3000</v>
      </c>
      <c r="K114" s="104">
        <f t="shared" si="56"/>
        <v>1000</v>
      </c>
      <c r="L114" s="116">
        <v>3</v>
      </c>
      <c r="M114" s="103">
        <f t="shared" si="55"/>
        <v>2797.6273640499257</v>
      </c>
      <c r="N114" s="104">
        <f t="shared" si="48"/>
        <v>932.54245468330862</v>
      </c>
      <c r="O114" s="121">
        <f t="shared" si="49"/>
        <v>0</v>
      </c>
      <c r="P114" s="122">
        <f t="shared" si="50"/>
        <v>-67.45754531669138</v>
      </c>
      <c r="Q114" s="123">
        <f t="shared" si="51"/>
        <v>0.93254245468330865</v>
      </c>
      <c r="R114" s="308"/>
      <c r="S114" s="46">
        <v>0.88194444444444398</v>
      </c>
      <c r="T114" s="118">
        <v>0.89521990740740698</v>
      </c>
      <c r="U114" s="109">
        <v>13.46666666666664</v>
      </c>
      <c r="V114" s="110">
        <v>19.130496322613499</v>
      </c>
      <c r="W114" s="111"/>
      <c r="X114" s="114"/>
      <c r="Y114" s="299"/>
      <c r="Z114" s="300"/>
      <c r="AA114" s="115">
        <f t="shared" si="52"/>
        <v>-202.37263595007425</v>
      </c>
      <c r="AB114" s="108">
        <f t="shared" si="53"/>
        <v>0.93254245468330854</v>
      </c>
      <c r="AC114" s="313"/>
    </row>
    <row r="115" spans="1:29" ht="15.75" customHeight="1">
      <c r="A115" s="316"/>
      <c r="B115" s="98" t="s">
        <v>118</v>
      </c>
      <c r="C115" s="297" t="s">
        <v>144</v>
      </c>
      <c r="D115" s="298"/>
      <c r="E115" s="99">
        <v>18.18</v>
      </c>
      <c r="F115" s="100">
        <v>515</v>
      </c>
      <c r="G115" s="119">
        <f t="shared" si="54"/>
        <v>9362.7000000000007</v>
      </c>
      <c r="H115" s="26"/>
      <c r="I115" s="102">
        <v>3</v>
      </c>
      <c r="J115" s="103">
        <v>3600</v>
      </c>
      <c r="K115" s="104">
        <f t="shared" si="56"/>
        <v>1200</v>
      </c>
      <c r="L115" s="116">
        <v>3</v>
      </c>
      <c r="M115" s="103">
        <f t="shared" si="55"/>
        <v>3284.9853450014598</v>
      </c>
      <c r="N115" s="104">
        <f t="shared" si="48"/>
        <v>1094.9951150004865</v>
      </c>
      <c r="O115" s="121">
        <f t="shared" si="49"/>
        <v>0</v>
      </c>
      <c r="P115" s="122">
        <f t="shared" si="50"/>
        <v>-105.00488499951348</v>
      </c>
      <c r="Q115" s="123">
        <f t="shared" si="51"/>
        <v>0.91249592916707212</v>
      </c>
      <c r="R115" s="308"/>
      <c r="S115" s="46">
        <v>0.90486111111111056</v>
      </c>
      <c r="T115" s="118">
        <v>0.91138888888888836</v>
      </c>
      <c r="U115" s="109">
        <v>13.883333333333159</v>
      </c>
      <c r="V115" s="110">
        <v>9.4064346579257787</v>
      </c>
      <c r="W115" s="111"/>
      <c r="X115" s="114"/>
      <c r="Y115" s="299"/>
      <c r="Z115" s="300"/>
      <c r="AA115" s="115">
        <f t="shared" si="52"/>
        <v>-315.01465499854021</v>
      </c>
      <c r="AB115" s="108">
        <f t="shared" si="53"/>
        <v>0.91249592916707212</v>
      </c>
      <c r="AC115" s="313"/>
    </row>
    <row r="116" spans="1:29" ht="15.75" customHeight="1">
      <c r="A116" s="316"/>
      <c r="B116" s="98" t="s">
        <v>118</v>
      </c>
      <c r="C116" s="297" t="s">
        <v>133</v>
      </c>
      <c r="D116" s="298"/>
      <c r="E116" s="99">
        <v>16.7</v>
      </c>
      <c r="F116" s="100">
        <v>1549</v>
      </c>
      <c r="G116" s="119">
        <f t="shared" si="54"/>
        <v>25868.3</v>
      </c>
      <c r="H116" s="26"/>
      <c r="I116" s="102">
        <v>3</v>
      </c>
      <c r="J116" s="103">
        <v>3600</v>
      </c>
      <c r="K116" s="104">
        <f t="shared" si="56"/>
        <v>1200</v>
      </c>
      <c r="L116" s="116">
        <v>3</v>
      </c>
      <c r="M116" s="103">
        <f t="shared" si="55"/>
        <v>3283.9920307845682</v>
      </c>
      <c r="N116" s="104">
        <f t="shared" si="48"/>
        <v>1094.6640102615227</v>
      </c>
      <c r="O116" s="121">
        <f t="shared" si="49"/>
        <v>0</v>
      </c>
      <c r="P116" s="122">
        <f t="shared" si="50"/>
        <v>-105.33598973847734</v>
      </c>
      <c r="Q116" s="123">
        <f t="shared" si="51"/>
        <v>0.91222000855126884</v>
      </c>
      <c r="R116" s="308"/>
      <c r="S116" s="46">
        <v>0.92083333333333273</v>
      </c>
      <c r="T116" s="118">
        <v>0.94048611111111047</v>
      </c>
      <c r="U116" s="109">
        <v>13.599999999999888</v>
      </c>
      <c r="V116" s="110">
        <v>28.300921296022757</v>
      </c>
      <c r="W116" s="111"/>
      <c r="X116" s="114"/>
      <c r="Y116" s="299"/>
      <c r="Z116" s="300"/>
      <c r="AA116" s="115">
        <f t="shared" si="52"/>
        <v>-316.00796921543179</v>
      </c>
      <c r="AB116" s="108">
        <f t="shared" si="53"/>
        <v>0.91222000855126895</v>
      </c>
      <c r="AC116" s="313"/>
    </row>
    <row r="117" spans="1:29" ht="15.75" customHeight="1">
      <c r="A117" s="316"/>
      <c r="B117" s="98" t="s">
        <v>118</v>
      </c>
      <c r="C117" s="297" t="s">
        <v>193</v>
      </c>
      <c r="D117" s="298"/>
      <c r="E117" s="99">
        <v>30</v>
      </c>
      <c r="F117" s="100">
        <v>974</v>
      </c>
      <c r="G117" s="119">
        <f t="shared" si="54"/>
        <v>29220</v>
      </c>
      <c r="H117" s="60"/>
      <c r="I117" s="102">
        <v>4</v>
      </c>
      <c r="J117" s="103">
        <v>3600</v>
      </c>
      <c r="K117" s="104">
        <f t="shared" si="56"/>
        <v>900</v>
      </c>
      <c r="L117" s="116">
        <v>4</v>
      </c>
      <c r="M117" s="103">
        <f t="shared" si="55"/>
        <v>3285.8737785870526</v>
      </c>
      <c r="N117" s="104">
        <f t="shared" si="48"/>
        <v>821.46844464676315</v>
      </c>
      <c r="O117" s="121">
        <f t="shared" si="49"/>
        <v>0</v>
      </c>
      <c r="P117" s="122">
        <f t="shared" si="50"/>
        <v>-78.531555353236854</v>
      </c>
      <c r="Q117" s="123">
        <f t="shared" si="51"/>
        <v>0.91274271627418124</v>
      </c>
      <c r="R117" s="308"/>
      <c r="S117" s="46">
        <v>0.9499999999999994</v>
      </c>
      <c r="T117" s="118">
        <v>0.96234953703703641</v>
      </c>
      <c r="U117" s="109">
        <v>13.700000000000063</v>
      </c>
      <c r="V117" s="110">
        <v>17.78522363848364</v>
      </c>
      <c r="W117" s="124"/>
      <c r="X117" s="125"/>
      <c r="Y117" s="299"/>
      <c r="Z117" s="300"/>
      <c r="AA117" s="115">
        <f t="shared" si="52"/>
        <v>-314.12622141294742</v>
      </c>
      <c r="AB117" s="108">
        <f t="shared" si="53"/>
        <v>0.91274271627418124</v>
      </c>
      <c r="AC117" s="313"/>
    </row>
    <row r="118" spans="1:29" ht="15.75" customHeight="1">
      <c r="A118" s="316"/>
      <c r="B118" s="98" t="s">
        <v>118</v>
      </c>
      <c r="C118" s="297" t="s">
        <v>146</v>
      </c>
      <c r="D118" s="298"/>
      <c r="E118" s="99">
        <v>25.03</v>
      </c>
      <c r="F118" s="100">
        <v>539</v>
      </c>
      <c r="G118" s="119">
        <f t="shared" si="54"/>
        <v>13491.17</v>
      </c>
      <c r="H118" s="60"/>
      <c r="I118" s="102">
        <v>5</v>
      </c>
      <c r="J118" s="103">
        <v>3600</v>
      </c>
      <c r="K118" s="104">
        <f t="shared" si="56"/>
        <v>720</v>
      </c>
      <c r="L118" s="116">
        <v>5</v>
      </c>
      <c r="M118" s="103">
        <f t="shared" si="55"/>
        <v>3279.7252956364418</v>
      </c>
      <c r="N118" s="104">
        <f t="shared" si="48"/>
        <v>655.94505912728835</v>
      </c>
      <c r="O118" s="121">
        <f t="shared" si="49"/>
        <v>0</v>
      </c>
      <c r="P118" s="122">
        <f t="shared" si="50"/>
        <v>-64.054940872711654</v>
      </c>
      <c r="Q118" s="123">
        <f t="shared" si="51"/>
        <v>0.91103480434345607</v>
      </c>
      <c r="R118" s="308"/>
      <c r="S118" s="46">
        <v>0.9715277777777771</v>
      </c>
      <c r="T118" s="118">
        <v>0.97836805555555484</v>
      </c>
      <c r="U118" s="109">
        <v>13.216666666666601</v>
      </c>
      <c r="V118" s="110">
        <v>9.8605819344160395</v>
      </c>
      <c r="W118" s="124"/>
      <c r="X118" s="125"/>
      <c r="Y118" s="299"/>
      <c r="Z118" s="300"/>
      <c r="AA118" s="115">
        <f t="shared" si="52"/>
        <v>-320.27470436355816</v>
      </c>
      <c r="AB118" s="108">
        <f t="shared" si="53"/>
        <v>0.91103480434345607</v>
      </c>
      <c r="AC118" s="313"/>
    </row>
    <row r="119" spans="1:29" ht="15.75" customHeight="1">
      <c r="A119" s="316"/>
      <c r="B119" s="98" t="s">
        <v>118</v>
      </c>
      <c r="C119" s="297" t="s">
        <v>139</v>
      </c>
      <c r="D119" s="298"/>
      <c r="E119" s="99">
        <v>14.03</v>
      </c>
      <c r="F119" s="100">
        <v>6033</v>
      </c>
      <c r="G119" s="119">
        <f t="shared" si="54"/>
        <v>84642.989999999991</v>
      </c>
      <c r="H119" s="60"/>
      <c r="I119" s="102">
        <v>3</v>
      </c>
      <c r="J119" s="103">
        <v>3000</v>
      </c>
      <c r="K119" s="104">
        <f t="shared" si="56"/>
        <v>1000</v>
      </c>
      <c r="L119" s="116">
        <v>3</v>
      </c>
      <c r="M119" s="103">
        <f t="shared" si="55"/>
        <v>2802.4382829214333</v>
      </c>
      <c r="N119" s="104">
        <f t="shared" si="48"/>
        <v>934.14609430714438</v>
      </c>
      <c r="O119" s="121">
        <f t="shared" si="49"/>
        <v>0</v>
      </c>
      <c r="P119" s="122">
        <f t="shared" si="50"/>
        <v>-65.853905692855619</v>
      </c>
      <c r="Q119" s="123">
        <f t="shared" si="51"/>
        <v>0.93414609430714435</v>
      </c>
      <c r="R119" s="308"/>
      <c r="S119" s="46">
        <v>0.98749999999999927</v>
      </c>
      <c r="T119" s="118">
        <v>1.0771874999999993</v>
      </c>
      <c r="U119" s="109">
        <v>13.149999999999977</v>
      </c>
      <c r="V119" s="110">
        <v>129.16609161599445</v>
      </c>
      <c r="W119" s="124"/>
      <c r="X119" s="125"/>
      <c r="Y119" s="299"/>
      <c r="Z119" s="300"/>
      <c r="AA119" s="115">
        <f t="shared" si="52"/>
        <v>-197.56171707856674</v>
      </c>
      <c r="AB119" s="108">
        <f t="shared" si="53"/>
        <v>0.93414609430714446</v>
      </c>
      <c r="AC119" s="313"/>
    </row>
    <row r="120" spans="1:29" ht="15.75" customHeight="1">
      <c r="A120" s="316"/>
      <c r="B120" s="98" t="s">
        <v>118</v>
      </c>
      <c r="C120" s="297" t="s">
        <v>137</v>
      </c>
      <c r="D120" s="298"/>
      <c r="E120" s="99">
        <v>16.66</v>
      </c>
      <c r="F120" s="100">
        <v>3900</v>
      </c>
      <c r="G120" s="119">
        <f t="shared" si="54"/>
        <v>64974</v>
      </c>
      <c r="H120" s="60"/>
      <c r="I120" s="102">
        <v>5</v>
      </c>
      <c r="J120" s="103">
        <v>3600</v>
      </c>
      <c r="K120" s="104">
        <f t="shared" si="56"/>
        <v>720</v>
      </c>
      <c r="L120" s="116">
        <v>5</v>
      </c>
      <c r="M120" s="103">
        <f t="shared" si="55"/>
        <v>3285.6057407684116</v>
      </c>
      <c r="N120" s="104">
        <f t="shared" si="48"/>
        <v>657.12114815368227</v>
      </c>
      <c r="O120" s="121">
        <f t="shared" si="49"/>
        <v>0</v>
      </c>
      <c r="P120" s="122">
        <f t="shared" si="50"/>
        <v>-62.87885184631773</v>
      </c>
      <c r="Q120" s="123">
        <f t="shared" si="51"/>
        <v>0.91266826132455869</v>
      </c>
      <c r="R120" s="308"/>
      <c r="S120" s="46">
        <v>1.0868055555555547</v>
      </c>
      <c r="T120" s="118">
        <v>1.1362615740740731</v>
      </c>
      <c r="U120" s="109">
        <v>13.849999999999767</v>
      </c>
      <c r="V120" s="110">
        <v>71.219744078385347</v>
      </c>
      <c r="W120" s="124"/>
      <c r="X120" s="125"/>
      <c r="Y120" s="299"/>
      <c r="Z120" s="300"/>
      <c r="AA120" s="115">
        <f t="shared" si="52"/>
        <v>-314.39425923158842</v>
      </c>
      <c r="AB120" s="108">
        <f t="shared" si="53"/>
        <v>0.9126682613245588</v>
      </c>
      <c r="AC120" s="313"/>
    </row>
    <row r="121" spans="1:29" ht="15.75" customHeight="1">
      <c r="A121" s="316"/>
      <c r="B121" s="98"/>
      <c r="C121" s="297"/>
      <c r="D121" s="298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8"/>
      <c r="S121" s="46"/>
      <c r="T121" s="118"/>
      <c r="U121" s="109"/>
      <c r="V121" s="110"/>
      <c r="W121" s="124"/>
      <c r="X121" s="125"/>
      <c r="Y121" s="299"/>
      <c r="Z121" s="300"/>
      <c r="AA121" s="115"/>
      <c r="AB121" s="108"/>
      <c r="AC121" s="313"/>
    </row>
    <row r="122" spans="1:29" ht="15.75" customHeight="1">
      <c r="A122" s="316"/>
      <c r="B122" s="98"/>
      <c r="C122" s="297"/>
      <c r="D122" s="298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8"/>
      <c r="S122" s="117"/>
      <c r="T122" s="118"/>
      <c r="U122" s="128"/>
      <c r="V122" s="129"/>
      <c r="W122" s="124"/>
      <c r="X122" s="125"/>
      <c r="Y122" s="299"/>
      <c r="Z122" s="300"/>
      <c r="AA122" s="163"/>
      <c r="AB122" s="123"/>
      <c r="AC122" s="313"/>
    </row>
    <row r="123" spans="1:29" ht="15.75" customHeight="1" thickBot="1">
      <c r="A123" s="317"/>
      <c r="B123" s="131" t="s">
        <v>115</v>
      </c>
      <c r="C123" s="294"/>
      <c r="D123" s="294"/>
      <c r="E123" s="132"/>
      <c r="F123" s="97"/>
      <c r="G123" s="133"/>
      <c r="H123" s="67"/>
      <c r="I123" s="134">
        <f t="shared" ref="I123:J123" si="57">AVERAGE(I107:I122)</f>
        <v>3.7142857142857144</v>
      </c>
      <c r="J123" s="135">
        <f t="shared" si="57"/>
        <v>3428.5714285714284</v>
      </c>
      <c r="K123" s="136">
        <f t="shared" ref="K123" si="58">J123/I123</f>
        <v>923.07692307692298</v>
      </c>
      <c r="L123" s="134">
        <f t="shared" ref="L123:M123" si="59">AVERAGE(L107:L122)</f>
        <v>3.7142857142857144</v>
      </c>
      <c r="M123" s="135">
        <f t="shared" si="59"/>
        <v>3145.7445109837658</v>
      </c>
      <c r="N123" s="136">
        <f t="shared" ref="N123:N137" si="60">M123/L123</f>
        <v>846.93121449562921</v>
      </c>
      <c r="O123" s="137">
        <f t="shared" ref="O123:O137" si="61">L123-I123</f>
        <v>0</v>
      </c>
      <c r="P123" s="138">
        <f t="shared" ref="P123:P137" si="62">N123-K123</f>
        <v>-76.145708581293775</v>
      </c>
      <c r="Q123" s="139">
        <f t="shared" ref="Q123:Q137" si="63">N123/K123</f>
        <v>0.91750881570359843</v>
      </c>
      <c r="R123" s="309"/>
      <c r="S123" s="140">
        <v>0.73333333333333328</v>
      </c>
      <c r="T123" s="141">
        <v>1.1362615740740731</v>
      </c>
      <c r="U123" s="142"/>
      <c r="V123" s="164"/>
      <c r="W123" s="97"/>
      <c r="X123" s="67"/>
      <c r="Y123" s="295"/>
      <c r="Z123" s="296"/>
      <c r="AA123" s="166">
        <f t="shared" ref="AA123:AA138" si="64">M123-J123</f>
        <v>-282.82691758766259</v>
      </c>
      <c r="AB123" s="139">
        <f t="shared" ref="AB123:AB138" si="65">M123/J123</f>
        <v>0.91750881570359843</v>
      </c>
      <c r="AC123" s="314"/>
    </row>
    <row r="124" spans="1:29" ht="15.75" customHeight="1">
      <c r="A124" s="301" t="s">
        <v>142</v>
      </c>
      <c r="B124" s="112" t="s">
        <v>118</v>
      </c>
      <c r="C124" s="305" t="s">
        <v>141</v>
      </c>
      <c r="D124" s="306"/>
      <c r="E124" s="145">
        <v>14.28</v>
      </c>
      <c r="F124" s="95">
        <v>356</v>
      </c>
      <c r="G124" s="146">
        <f t="shared" ref="G124:G137" si="66">E124*F124</f>
        <v>5083.6799999999994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7" si="67">F124/V124*60</f>
        <v>3284.3245142649394</v>
      </c>
      <c r="N124" s="150">
        <f t="shared" si="60"/>
        <v>1094.7748380883131</v>
      </c>
      <c r="O124" s="152">
        <f t="shared" si="61"/>
        <v>0</v>
      </c>
      <c r="P124" s="153">
        <f t="shared" si="62"/>
        <v>-105.22516191168688</v>
      </c>
      <c r="Q124" s="154">
        <f t="shared" si="63"/>
        <v>0.91231236507359426</v>
      </c>
      <c r="R124" s="307">
        <f>Q140</f>
        <v>0.91165843416156112</v>
      </c>
      <c r="S124" s="155">
        <v>0.73333333333333328</v>
      </c>
      <c r="T124" s="156">
        <v>0.73784722222222221</v>
      </c>
      <c r="U124" s="157"/>
      <c r="V124" s="158">
        <v>6.5036204270394871</v>
      </c>
      <c r="W124" s="156"/>
      <c r="X124" s="167"/>
      <c r="Y124" s="310"/>
      <c r="Z124" s="311"/>
      <c r="AA124" s="169">
        <f t="shared" si="64"/>
        <v>-315.67548573506065</v>
      </c>
      <c r="AB124" s="154">
        <f t="shared" si="65"/>
        <v>0.91231236507359426</v>
      </c>
      <c r="AC124" s="312">
        <f>AB140</f>
        <v>0.91165843416156112</v>
      </c>
    </row>
    <row r="125" spans="1:29" ht="15.75" customHeight="1">
      <c r="A125" s="302"/>
      <c r="B125" s="98" t="s">
        <v>118</v>
      </c>
      <c r="C125" s="297" t="s">
        <v>217</v>
      </c>
      <c r="D125" s="298"/>
      <c r="E125" s="99">
        <v>23.8</v>
      </c>
      <c r="F125" s="100">
        <v>346</v>
      </c>
      <c r="G125" s="101">
        <f t="shared" si="66"/>
        <v>8234.8000000000011</v>
      </c>
      <c r="H125" s="26">
        <v>2</v>
      </c>
      <c r="I125" s="102">
        <v>4</v>
      </c>
      <c r="J125" s="103">
        <v>3600</v>
      </c>
      <c r="K125" s="104">
        <f t="shared" si="56"/>
        <v>900</v>
      </c>
      <c r="L125" s="105">
        <v>4</v>
      </c>
      <c r="M125" s="103">
        <f t="shared" si="67"/>
        <v>3283.3184763995414</v>
      </c>
      <c r="N125" s="104">
        <f t="shared" si="60"/>
        <v>820.82961909988535</v>
      </c>
      <c r="O125" s="106">
        <f t="shared" si="61"/>
        <v>0</v>
      </c>
      <c r="P125" s="107">
        <f t="shared" si="62"/>
        <v>-79.170380900114651</v>
      </c>
      <c r="Q125" s="108">
        <f t="shared" si="63"/>
        <v>0.91203291011098375</v>
      </c>
      <c r="R125" s="308"/>
      <c r="S125" s="46">
        <v>0.74722222222222212</v>
      </c>
      <c r="T125" s="47">
        <v>0.75160879629629618</v>
      </c>
      <c r="U125" s="109">
        <v>13.499999999999872</v>
      </c>
      <c r="V125" s="110">
        <v>6.3228712502983369</v>
      </c>
      <c r="W125" s="111"/>
      <c r="X125" s="13"/>
      <c r="Y125" s="299"/>
      <c r="Z125" s="300"/>
      <c r="AA125" s="170">
        <f t="shared" si="64"/>
        <v>-316.6815236004586</v>
      </c>
      <c r="AB125" s="108">
        <f t="shared" si="65"/>
        <v>0.91203291011098375</v>
      </c>
      <c r="AC125" s="313"/>
    </row>
    <row r="126" spans="1:29" ht="15.75" customHeight="1">
      <c r="A126" s="302"/>
      <c r="B126" s="98" t="s">
        <v>118</v>
      </c>
      <c r="C126" s="297" t="s">
        <v>145</v>
      </c>
      <c r="D126" s="298"/>
      <c r="E126" s="99">
        <v>24.82</v>
      </c>
      <c r="F126" s="100">
        <v>716</v>
      </c>
      <c r="G126" s="101">
        <f t="shared" si="66"/>
        <v>17771.12</v>
      </c>
      <c r="H126" s="26">
        <v>2</v>
      </c>
      <c r="I126" s="102">
        <v>5</v>
      </c>
      <c r="J126" s="103">
        <v>3600</v>
      </c>
      <c r="K126" s="104">
        <f t="shared" si="56"/>
        <v>720</v>
      </c>
      <c r="L126" s="105">
        <v>5</v>
      </c>
      <c r="M126" s="103">
        <f t="shared" si="67"/>
        <v>3279.3637736592618</v>
      </c>
      <c r="N126" s="104">
        <f t="shared" si="60"/>
        <v>655.87275473185241</v>
      </c>
      <c r="O126" s="106">
        <f t="shared" si="61"/>
        <v>0</v>
      </c>
      <c r="P126" s="107">
        <f t="shared" si="62"/>
        <v>-64.12724526814759</v>
      </c>
      <c r="Q126" s="108">
        <f t="shared" si="63"/>
        <v>0.91093438157201723</v>
      </c>
      <c r="R126" s="308"/>
      <c r="S126" s="46">
        <v>0.7618055555555554</v>
      </c>
      <c r="T126" s="47">
        <v>0.7709027777777776</v>
      </c>
      <c r="U126" s="109">
        <v>14.683333333333284</v>
      </c>
      <c r="V126" s="110">
        <v>13.100102021333027</v>
      </c>
      <c r="W126" s="111"/>
      <c r="X126" s="13"/>
      <c r="Y126" s="299"/>
      <c r="Z126" s="300"/>
      <c r="AA126" s="170">
        <f t="shared" si="64"/>
        <v>-320.63622634073818</v>
      </c>
      <c r="AB126" s="108">
        <f t="shared" si="65"/>
        <v>0.91093438157201723</v>
      </c>
      <c r="AC126" s="313"/>
    </row>
    <row r="127" spans="1:29" ht="15.75" customHeight="1">
      <c r="A127" s="302"/>
      <c r="B127" s="98" t="s">
        <v>118</v>
      </c>
      <c r="C127" s="297" t="s">
        <v>216</v>
      </c>
      <c r="D127" s="298"/>
      <c r="E127" s="99">
        <v>24.76</v>
      </c>
      <c r="F127" s="100">
        <v>543</v>
      </c>
      <c r="G127" s="101">
        <f t="shared" si="66"/>
        <v>13444.68</v>
      </c>
      <c r="H127" s="26">
        <v>2</v>
      </c>
      <c r="I127" s="102">
        <v>4</v>
      </c>
      <c r="J127" s="103">
        <v>3600</v>
      </c>
      <c r="K127" s="104">
        <f t="shared" si="56"/>
        <v>900</v>
      </c>
      <c r="L127" s="105">
        <v>4</v>
      </c>
      <c r="M127" s="103">
        <f t="shared" si="67"/>
        <v>3284.6598108928911</v>
      </c>
      <c r="N127" s="104">
        <f t="shared" si="60"/>
        <v>821.16495272322277</v>
      </c>
      <c r="O127" s="106">
        <f t="shared" si="61"/>
        <v>0</v>
      </c>
      <c r="P127" s="107">
        <f t="shared" si="62"/>
        <v>-78.835047276777232</v>
      </c>
      <c r="Q127" s="108">
        <f t="shared" si="63"/>
        <v>0.91240550302580303</v>
      </c>
      <c r="R127" s="308"/>
      <c r="S127" s="46">
        <v>0.78055555555555534</v>
      </c>
      <c r="T127" s="47">
        <v>0.78744212962962945</v>
      </c>
      <c r="U127" s="109">
        <v>13.899999999999935</v>
      </c>
      <c r="V127" s="110">
        <v>9.9188353971864007</v>
      </c>
      <c r="W127" s="111"/>
      <c r="X127" s="13"/>
      <c r="Y127" s="299"/>
      <c r="Z127" s="300"/>
      <c r="AA127" s="170">
        <f t="shared" si="64"/>
        <v>-315.34018910710893</v>
      </c>
      <c r="AB127" s="108">
        <f t="shared" si="65"/>
        <v>0.91240550302580303</v>
      </c>
      <c r="AC127" s="313"/>
    </row>
    <row r="128" spans="1:29" ht="15.75" customHeight="1">
      <c r="A128" s="303"/>
      <c r="B128" s="98" t="s">
        <v>118</v>
      </c>
      <c r="C128" s="297" t="s">
        <v>212</v>
      </c>
      <c r="D128" s="298"/>
      <c r="E128" s="99">
        <v>22.32</v>
      </c>
      <c r="F128" s="100">
        <v>763</v>
      </c>
      <c r="G128" s="101">
        <f t="shared" si="66"/>
        <v>17030.16</v>
      </c>
      <c r="H128" s="26">
        <v>2</v>
      </c>
      <c r="I128" s="102">
        <v>5</v>
      </c>
      <c r="J128" s="103">
        <v>3600</v>
      </c>
      <c r="K128" s="104">
        <f t="shared" si="56"/>
        <v>720</v>
      </c>
      <c r="L128" s="105">
        <v>5</v>
      </c>
      <c r="M128" s="103">
        <f t="shared" si="67"/>
        <v>3278.2670965931638</v>
      </c>
      <c r="N128" s="104">
        <f t="shared" si="60"/>
        <v>655.65341931863281</v>
      </c>
      <c r="O128" s="106">
        <f t="shared" si="61"/>
        <v>0</v>
      </c>
      <c r="P128" s="107">
        <f t="shared" si="62"/>
        <v>-64.346580681367186</v>
      </c>
      <c r="Q128" s="108">
        <f t="shared" si="63"/>
        <v>0.91062974905365668</v>
      </c>
      <c r="R128" s="308"/>
      <c r="S128" s="46">
        <v>0.7965277777777775</v>
      </c>
      <c r="T128" s="47">
        <v>0.80621527777777746</v>
      </c>
      <c r="U128" s="109">
        <v>13.083333333333194</v>
      </c>
      <c r="V128" s="110">
        <v>13.964694959594789</v>
      </c>
      <c r="W128" s="111"/>
      <c r="X128" s="114"/>
      <c r="Y128" s="299"/>
      <c r="Z128" s="300"/>
      <c r="AA128" s="170">
        <f t="shared" si="64"/>
        <v>-321.73290340683616</v>
      </c>
      <c r="AB128" s="108">
        <f t="shared" si="65"/>
        <v>0.91062974905365657</v>
      </c>
      <c r="AC128" s="313"/>
    </row>
    <row r="129" spans="1:29" ht="15.75" customHeight="1">
      <c r="A129" s="303"/>
      <c r="B129" s="98" t="s">
        <v>118</v>
      </c>
      <c r="C129" s="297" t="s">
        <v>143</v>
      </c>
      <c r="D129" s="298"/>
      <c r="E129" s="99">
        <v>18.18</v>
      </c>
      <c r="F129" s="100">
        <v>1068</v>
      </c>
      <c r="G129" s="119">
        <f t="shared" si="66"/>
        <v>19416.239999999998</v>
      </c>
      <c r="H129" s="26">
        <v>2</v>
      </c>
      <c r="I129" s="102">
        <v>3</v>
      </c>
      <c r="J129" s="103">
        <v>3600</v>
      </c>
      <c r="K129" s="104">
        <f t="shared" si="56"/>
        <v>1200</v>
      </c>
      <c r="L129" s="105">
        <v>3</v>
      </c>
      <c r="M129" s="103">
        <f t="shared" si="67"/>
        <v>3279.3336360116932</v>
      </c>
      <c r="N129" s="104">
        <f t="shared" si="60"/>
        <v>1093.1112120038977</v>
      </c>
      <c r="O129" s="106">
        <f t="shared" si="61"/>
        <v>0</v>
      </c>
      <c r="P129" s="107">
        <f t="shared" si="62"/>
        <v>-106.88878799610234</v>
      </c>
      <c r="Q129" s="108">
        <f t="shared" si="63"/>
        <v>0.91092601000324802</v>
      </c>
      <c r="R129" s="308"/>
      <c r="S129" s="46">
        <v>0.81527777777777743</v>
      </c>
      <c r="T129" s="118">
        <v>0.8288425925925923</v>
      </c>
      <c r="U129" s="109">
        <v>13.049999999999962</v>
      </c>
      <c r="V129" s="110">
        <v>19.540555220216547</v>
      </c>
      <c r="W129" s="111"/>
      <c r="X129" s="49"/>
      <c r="Y129" s="299"/>
      <c r="Z129" s="300"/>
      <c r="AA129" s="170">
        <f t="shared" si="64"/>
        <v>-320.66636398830678</v>
      </c>
      <c r="AB129" s="108">
        <f t="shared" si="65"/>
        <v>0.91092601000324813</v>
      </c>
      <c r="AC129" s="313"/>
    </row>
    <row r="130" spans="1:29" ht="15.75" customHeight="1">
      <c r="A130" s="303"/>
      <c r="B130" s="98" t="s">
        <v>118</v>
      </c>
      <c r="C130" s="297" t="s">
        <v>136</v>
      </c>
      <c r="D130" s="298"/>
      <c r="E130" s="99">
        <v>17.89</v>
      </c>
      <c r="F130" s="100">
        <v>1717</v>
      </c>
      <c r="G130" s="119">
        <f t="shared" si="66"/>
        <v>30717.13</v>
      </c>
      <c r="H130" s="26">
        <v>2</v>
      </c>
      <c r="I130" s="102">
        <v>4</v>
      </c>
      <c r="J130" s="103">
        <v>3600</v>
      </c>
      <c r="K130" s="104">
        <f t="shared" si="56"/>
        <v>900</v>
      </c>
      <c r="L130" s="105">
        <v>4</v>
      </c>
      <c r="M130" s="103">
        <f t="shared" si="67"/>
        <v>3284.505138956893</v>
      </c>
      <c r="N130" s="104">
        <f t="shared" si="60"/>
        <v>821.12628473922325</v>
      </c>
      <c r="O130" s="121">
        <f t="shared" si="61"/>
        <v>0</v>
      </c>
      <c r="P130" s="122">
        <f t="shared" si="62"/>
        <v>-78.873715260776748</v>
      </c>
      <c r="Q130" s="123">
        <f t="shared" si="63"/>
        <v>0.91236253859913696</v>
      </c>
      <c r="R130" s="308"/>
      <c r="S130" s="46">
        <v>0.83819444444444402</v>
      </c>
      <c r="T130" s="118">
        <v>0.85996527777777731</v>
      </c>
      <c r="U130" s="109">
        <v>13.46666666666648</v>
      </c>
      <c r="V130" s="110">
        <v>31.365455568359234</v>
      </c>
      <c r="W130" s="111"/>
      <c r="X130" s="114"/>
      <c r="Y130" s="299"/>
      <c r="Z130" s="300"/>
      <c r="AA130" s="170">
        <f t="shared" si="64"/>
        <v>-315.49486104310699</v>
      </c>
      <c r="AB130" s="108">
        <f t="shared" si="65"/>
        <v>0.91236253859913696</v>
      </c>
      <c r="AC130" s="313"/>
    </row>
    <row r="131" spans="1:29" ht="15.75" customHeight="1">
      <c r="A131" s="303"/>
      <c r="B131" s="98" t="s">
        <v>118</v>
      </c>
      <c r="C131" s="297" t="s">
        <v>217</v>
      </c>
      <c r="D131" s="298"/>
      <c r="E131" s="99">
        <v>23.8</v>
      </c>
      <c r="F131" s="100">
        <v>356</v>
      </c>
      <c r="G131" s="119">
        <f t="shared" si="66"/>
        <v>8472.8000000000011</v>
      </c>
      <c r="H131" s="26"/>
      <c r="I131" s="102">
        <v>4</v>
      </c>
      <c r="J131" s="103">
        <v>3600</v>
      </c>
      <c r="K131" s="104">
        <f t="shared" si="56"/>
        <v>900</v>
      </c>
      <c r="L131" s="116">
        <v>4</v>
      </c>
      <c r="M131" s="103">
        <f t="shared" si="67"/>
        <v>3283.3184763995414</v>
      </c>
      <c r="N131" s="104">
        <f t="shared" si="60"/>
        <v>820.82961909988535</v>
      </c>
      <c r="O131" s="121">
        <f t="shared" si="61"/>
        <v>0</v>
      </c>
      <c r="P131" s="122">
        <f t="shared" si="62"/>
        <v>-79.170380900114651</v>
      </c>
      <c r="Q131" s="123">
        <f t="shared" si="63"/>
        <v>0.91203291011098375</v>
      </c>
      <c r="R131" s="308"/>
      <c r="S131" s="46">
        <v>0.86944444444444402</v>
      </c>
      <c r="T131" s="118">
        <v>0.87395833333333295</v>
      </c>
      <c r="U131" s="109">
        <v>13.650000000000055</v>
      </c>
      <c r="V131" s="110">
        <v>6.5056131939485784</v>
      </c>
      <c r="W131" s="111"/>
      <c r="X131" s="114"/>
      <c r="Y131" s="299"/>
      <c r="Z131" s="300"/>
      <c r="AA131" s="170">
        <f t="shared" si="64"/>
        <v>-316.6815236004586</v>
      </c>
      <c r="AB131" s="108">
        <f t="shared" si="65"/>
        <v>0.91203291011098375</v>
      </c>
      <c r="AC131" s="313"/>
    </row>
    <row r="132" spans="1:29" ht="15.75" customHeight="1">
      <c r="A132" s="303"/>
      <c r="B132" s="98" t="s">
        <v>118</v>
      </c>
      <c r="C132" s="297" t="s">
        <v>145</v>
      </c>
      <c r="D132" s="298"/>
      <c r="E132" s="99">
        <v>24.82</v>
      </c>
      <c r="F132" s="100">
        <v>892</v>
      </c>
      <c r="G132" s="119">
        <f t="shared" si="66"/>
        <v>22139.439999999999</v>
      </c>
      <c r="H132" s="26"/>
      <c r="I132" s="102">
        <v>5</v>
      </c>
      <c r="J132" s="103">
        <v>3600</v>
      </c>
      <c r="K132" s="104">
        <f t="shared" si="56"/>
        <v>720</v>
      </c>
      <c r="L132" s="116">
        <v>5</v>
      </c>
      <c r="M132" s="103">
        <f t="shared" si="67"/>
        <v>3279.4039618451743</v>
      </c>
      <c r="N132" s="104">
        <f t="shared" si="60"/>
        <v>655.88079236903491</v>
      </c>
      <c r="O132" s="121">
        <f t="shared" si="61"/>
        <v>0</v>
      </c>
      <c r="P132" s="122">
        <f t="shared" si="62"/>
        <v>-64.119207630965093</v>
      </c>
      <c r="Q132" s="123">
        <f t="shared" si="63"/>
        <v>0.91094554495699298</v>
      </c>
      <c r="R132" s="308"/>
      <c r="S132" s="46">
        <v>0.8840277777777773</v>
      </c>
      <c r="T132" s="118">
        <v>0.89535879629629578</v>
      </c>
      <c r="U132" s="109">
        <v>14.499999999999869</v>
      </c>
      <c r="V132" s="110">
        <v>16.320038831046201</v>
      </c>
      <c r="W132" s="124"/>
      <c r="X132" s="125"/>
      <c r="Y132" s="299"/>
      <c r="Z132" s="300"/>
      <c r="AA132" s="170">
        <f t="shared" si="64"/>
        <v>-320.59603815482569</v>
      </c>
      <c r="AB132" s="108">
        <f t="shared" si="65"/>
        <v>0.91094554495699287</v>
      </c>
      <c r="AC132" s="313"/>
    </row>
    <row r="133" spans="1:29" ht="15.75" customHeight="1">
      <c r="A133" s="303"/>
      <c r="B133" s="98" t="s">
        <v>118</v>
      </c>
      <c r="C133" s="297" t="s">
        <v>216</v>
      </c>
      <c r="D133" s="298"/>
      <c r="E133" s="99">
        <v>24.76</v>
      </c>
      <c r="F133" s="100">
        <v>707</v>
      </c>
      <c r="G133" s="119">
        <f t="shared" si="66"/>
        <v>17505.32</v>
      </c>
      <c r="H133" s="26"/>
      <c r="I133" s="102">
        <v>4</v>
      </c>
      <c r="J133" s="103">
        <v>3600</v>
      </c>
      <c r="K133" s="104">
        <f t="shared" si="56"/>
        <v>900</v>
      </c>
      <c r="L133" s="116">
        <v>4</v>
      </c>
      <c r="M133" s="103">
        <f t="shared" si="67"/>
        <v>3284.6598108928915</v>
      </c>
      <c r="N133" s="104">
        <f t="shared" si="60"/>
        <v>821.16495272322288</v>
      </c>
      <c r="O133" s="121">
        <f t="shared" si="61"/>
        <v>0</v>
      </c>
      <c r="P133" s="122">
        <f t="shared" si="62"/>
        <v>-78.835047276777118</v>
      </c>
      <c r="Q133" s="123">
        <f t="shared" si="63"/>
        <v>0.91240550302580326</v>
      </c>
      <c r="R133" s="308"/>
      <c r="S133" s="46">
        <v>0.90486111111111056</v>
      </c>
      <c r="T133" s="118">
        <v>0.91381944444444385</v>
      </c>
      <c r="U133" s="109">
        <v>13.683333333333287</v>
      </c>
      <c r="V133" s="110">
        <v>12.91457942138266</v>
      </c>
      <c r="W133" s="124"/>
      <c r="X133" s="125"/>
      <c r="Y133" s="299"/>
      <c r="Z133" s="300"/>
      <c r="AA133" s="170">
        <f t="shared" si="64"/>
        <v>-315.34018910710847</v>
      </c>
      <c r="AB133" s="108">
        <f t="shared" si="65"/>
        <v>0.91240550302580326</v>
      </c>
      <c r="AC133" s="313"/>
    </row>
    <row r="134" spans="1:29" ht="15.75" customHeight="1">
      <c r="A134" s="303"/>
      <c r="B134" s="98" t="s">
        <v>118</v>
      </c>
      <c r="C134" s="297" t="s">
        <v>212</v>
      </c>
      <c r="D134" s="298"/>
      <c r="E134" s="99">
        <v>22.32</v>
      </c>
      <c r="F134" s="100">
        <v>1235</v>
      </c>
      <c r="G134" s="119">
        <f t="shared" si="66"/>
        <v>27565.200000000001</v>
      </c>
      <c r="H134" s="60"/>
      <c r="I134" s="102">
        <v>5</v>
      </c>
      <c r="J134" s="103">
        <v>3600</v>
      </c>
      <c r="K134" s="104">
        <f t="shared" si="56"/>
        <v>720</v>
      </c>
      <c r="L134" s="116">
        <v>5</v>
      </c>
      <c r="M134" s="103">
        <f t="shared" si="67"/>
        <v>3278.2670965931638</v>
      </c>
      <c r="N134" s="104">
        <f t="shared" si="60"/>
        <v>655.65341931863281</v>
      </c>
      <c r="O134" s="121">
        <f t="shared" si="61"/>
        <v>0</v>
      </c>
      <c r="P134" s="122">
        <f t="shared" si="62"/>
        <v>-64.346580681367186</v>
      </c>
      <c r="Q134" s="123">
        <f t="shared" si="63"/>
        <v>0.91062974905365668</v>
      </c>
      <c r="R134" s="308"/>
      <c r="S134" s="46">
        <v>0.92361111111111049</v>
      </c>
      <c r="T134" s="118">
        <v>0.93930555555555495</v>
      </c>
      <c r="U134" s="109">
        <v>14.099999999999966</v>
      </c>
      <c r="V134" s="110">
        <v>22.603405340890646</v>
      </c>
      <c r="W134" s="124"/>
      <c r="X134" s="125"/>
      <c r="Y134" s="299"/>
      <c r="Z134" s="300"/>
      <c r="AA134" s="170">
        <f t="shared" si="64"/>
        <v>-321.73290340683616</v>
      </c>
      <c r="AB134" s="108">
        <f t="shared" si="65"/>
        <v>0.91062974905365657</v>
      </c>
      <c r="AC134" s="313"/>
    </row>
    <row r="135" spans="1:29" ht="15.75" customHeight="1">
      <c r="A135" s="303"/>
      <c r="B135" s="98" t="s">
        <v>118</v>
      </c>
      <c r="C135" s="297" t="s">
        <v>143</v>
      </c>
      <c r="D135" s="298"/>
      <c r="E135" s="99">
        <v>18.18</v>
      </c>
      <c r="F135" s="100">
        <v>1645</v>
      </c>
      <c r="G135" s="119">
        <f t="shared" si="66"/>
        <v>29906.1</v>
      </c>
      <c r="H135" s="60"/>
      <c r="I135" s="102">
        <v>3</v>
      </c>
      <c r="J135" s="103">
        <v>3600</v>
      </c>
      <c r="K135" s="104">
        <f t="shared" si="56"/>
        <v>1200</v>
      </c>
      <c r="L135" s="116">
        <v>3</v>
      </c>
      <c r="M135" s="103">
        <f t="shared" si="67"/>
        <v>3279.3336360116928</v>
      </c>
      <c r="N135" s="104">
        <f t="shared" si="60"/>
        <v>1093.1112120038977</v>
      </c>
      <c r="O135" s="121">
        <f t="shared" si="61"/>
        <v>0</v>
      </c>
      <c r="P135" s="122">
        <f t="shared" si="62"/>
        <v>-106.88878799610234</v>
      </c>
      <c r="Q135" s="123">
        <f t="shared" si="63"/>
        <v>0.91092601000324802</v>
      </c>
      <c r="R135" s="308"/>
      <c r="S135" s="46">
        <v>0.94930555555555485</v>
      </c>
      <c r="T135" s="118">
        <v>0.97019675925925852</v>
      </c>
      <c r="U135" s="109">
        <v>14.399999999999853</v>
      </c>
      <c r="V135" s="110">
        <v>30.097578031138784</v>
      </c>
      <c r="W135" s="124"/>
      <c r="X135" s="125"/>
      <c r="Y135" s="299"/>
      <c r="Z135" s="300"/>
      <c r="AA135" s="170">
        <f t="shared" si="64"/>
        <v>-320.66636398830724</v>
      </c>
      <c r="AB135" s="108">
        <f t="shared" si="65"/>
        <v>0.91092601000324802</v>
      </c>
      <c r="AC135" s="313"/>
    </row>
    <row r="136" spans="1:29" ht="15.75" customHeight="1">
      <c r="A136" s="303"/>
      <c r="B136" s="98" t="s">
        <v>118</v>
      </c>
      <c r="C136" s="297" t="s">
        <v>136</v>
      </c>
      <c r="D136" s="298"/>
      <c r="E136" s="99">
        <v>17.89</v>
      </c>
      <c r="F136" s="100">
        <v>2621</v>
      </c>
      <c r="G136" s="119">
        <f t="shared" si="66"/>
        <v>46889.69</v>
      </c>
      <c r="H136" s="60"/>
      <c r="I136" s="102">
        <v>4</v>
      </c>
      <c r="J136" s="103">
        <v>3600</v>
      </c>
      <c r="K136" s="104">
        <f t="shared" si="56"/>
        <v>900</v>
      </c>
      <c r="L136" s="116">
        <v>4</v>
      </c>
      <c r="M136" s="103">
        <f t="shared" si="67"/>
        <v>3284.5051389568935</v>
      </c>
      <c r="N136" s="104">
        <f t="shared" si="60"/>
        <v>821.12628473922337</v>
      </c>
      <c r="O136" s="121">
        <f t="shared" si="61"/>
        <v>0</v>
      </c>
      <c r="P136" s="122">
        <f t="shared" si="62"/>
        <v>-78.873715260776635</v>
      </c>
      <c r="Q136" s="123">
        <f t="shared" si="63"/>
        <v>0.91236253859913707</v>
      </c>
      <c r="R136" s="308"/>
      <c r="S136" s="46">
        <v>0.97986111111111041</v>
      </c>
      <c r="T136" s="118">
        <v>1.0131018518518511</v>
      </c>
      <c r="U136" s="109">
        <v>13.91666666666671</v>
      </c>
      <c r="V136" s="110">
        <v>47.879358791304334</v>
      </c>
      <c r="W136" s="124"/>
      <c r="X136" s="125"/>
      <c r="Y136" s="299"/>
      <c r="Z136" s="300"/>
      <c r="AA136" s="170">
        <f t="shared" si="64"/>
        <v>-315.49486104310654</v>
      </c>
      <c r="AB136" s="108">
        <f t="shared" si="65"/>
        <v>0.91236253859913707</v>
      </c>
      <c r="AC136" s="313"/>
    </row>
    <row r="137" spans="1:29" ht="15.75" customHeight="1">
      <c r="A137" s="303"/>
      <c r="B137" s="98" t="s">
        <v>118</v>
      </c>
      <c r="C137" s="297" t="s">
        <v>141</v>
      </c>
      <c r="D137" s="298"/>
      <c r="E137" s="99">
        <v>14.28</v>
      </c>
      <c r="F137" s="100">
        <v>7691</v>
      </c>
      <c r="G137" s="119">
        <f t="shared" si="66"/>
        <v>109827.48</v>
      </c>
      <c r="H137" s="60"/>
      <c r="I137" s="102">
        <v>3</v>
      </c>
      <c r="J137" s="103">
        <v>3600</v>
      </c>
      <c r="K137" s="104">
        <f t="shared" si="56"/>
        <v>1200</v>
      </c>
      <c r="L137" s="116">
        <v>3</v>
      </c>
      <c r="M137" s="103">
        <f t="shared" si="67"/>
        <v>3284.3245142649398</v>
      </c>
      <c r="N137" s="104">
        <f t="shared" si="60"/>
        <v>1094.7748380883133</v>
      </c>
      <c r="O137" s="121">
        <f t="shared" si="61"/>
        <v>0</v>
      </c>
      <c r="P137" s="122">
        <f t="shared" si="62"/>
        <v>-105.22516191168666</v>
      </c>
      <c r="Q137" s="123">
        <f t="shared" si="63"/>
        <v>0.91231236507359448</v>
      </c>
      <c r="R137" s="308"/>
      <c r="S137" s="46">
        <v>1.0222222222222215</v>
      </c>
      <c r="T137" s="118">
        <v>1.1197916666666659</v>
      </c>
      <c r="U137" s="109">
        <v>13.133333333333361</v>
      </c>
      <c r="V137" s="110">
        <v>140.50377725944014</v>
      </c>
      <c r="W137" s="111"/>
      <c r="X137" s="114"/>
      <c r="Y137" s="299"/>
      <c r="Z137" s="300"/>
      <c r="AA137" s="170">
        <f t="shared" si="64"/>
        <v>-315.67548573506019</v>
      </c>
      <c r="AB137" s="108">
        <f t="shared" si="65"/>
        <v>0.91231236507359437</v>
      </c>
      <c r="AC137" s="313"/>
    </row>
    <row r="138" spans="1:29" ht="15.75" customHeight="1">
      <c r="A138" s="303"/>
      <c r="B138" s="98"/>
      <c r="C138" s="297"/>
      <c r="D138" s="298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8"/>
      <c r="S138" s="46"/>
      <c r="T138" s="118"/>
      <c r="U138" s="109"/>
      <c r="V138" s="110"/>
      <c r="W138" s="124"/>
      <c r="X138" s="125"/>
      <c r="Y138" s="299"/>
      <c r="Z138" s="300"/>
      <c r="AA138" s="170">
        <f t="shared" si="64"/>
        <v>0</v>
      </c>
      <c r="AB138" s="108" t="e">
        <f t="shared" si="65"/>
        <v>#DIV/0!</v>
      </c>
      <c r="AC138" s="313"/>
    </row>
    <row r="139" spans="1:29" ht="15.75" customHeight="1">
      <c r="A139" s="303"/>
      <c r="B139" s="98"/>
      <c r="C139" s="297"/>
      <c r="D139" s="298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8"/>
      <c r="S139" s="117"/>
      <c r="T139" s="118"/>
      <c r="U139" s="128"/>
      <c r="V139" s="129"/>
      <c r="W139" s="124"/>
      <c r="X139" s="125"/>
      <c r="Y139" s="299"/>
      <c r="Z139" s="300"/>
      <c r="AA139" s="171"/>
      <c r="AB139" s="123"/>
      <c r="AC139" s="313"/>
    </row>
    <row r="140" spans="1:29" ht="15.75" customHeight="1" thickBot="1">
      <c r="A140" s="304"/>
      <c r="B140" s="131" t="s">
        <v>115</v>
      </c>
      <c r="C140" s="294"/>
      <c r="D140" s="294"/>
      <c r="E140" s="132"/>
      <c r="F140" s="165"/>
      <c r="G140" s="133"/>
      <c r="H140" s="67"/>
      <c r="I140" s="134">
        <f t="shared" ref="I140:J140" si="68">AVERAGE(I124:I139)</f>
        <v>4</v>
      </c>
      <c r="J140" s="135">
        <f t="shared" si="68"/>
        <v>3600</v>
      </c>
      <c r="K140" s="136">
        <f t="shared" ref="K140" si="69">J140/I140</f>
        <v>900</v>
      </c>
      <c r="L140" s="134">
        <f t="shared" ref="L140:M140" si="70">AVERAGE(L124:L139)</f>
        <v>4</v>
      </c>
      <c r="M140" s="135">
        <f t="shared" si="70"/>
        <v>3281.9703629816199</v>
      </c>
      <c r="N140" s="136">
        <f>M140/L140</f>
        <v>820.49259074540498</v>
      </c>
      <c r="O140" s="137">
        <f>L140-I140</f>
        <v>0</v>
      </c>
      <c r="P140" s="138">
        <f>N140-K140</f>
        <v>-79.507409254595018</v>
      </c>
      <c r="Q140" s="139">
        <f>N140/K140</f>
        <v>0.91165843416156112</v>
      </c>
      <c r="R140" s="309"/>
      <c r="S140" s="140">
        <v>0.73333333333333328</v>
      </c>
      <c r="T140" s="141">
        <v>1.1197916666666659</v>
      </c>
      <c r="U140" s="142"/>
      <c r="V140" s="164"/>
      <c r="W140" s="165"/>
      <c r="X140" s="136"/>
      <c r="Y140" s="295"/>
      <c r="Z140" s="296"/>
      <c r="AA140" s="172">
        <f>M140-J140</f>
        <v>-318.02963701838007</v>
      </c>
      <c r="AB140" s="139">
        <f>M140/J140</f>
        <v>0.91165843416156112</v>
      </c>
      <c r="AC140" s="314"/>
    </row>
    <row r="142" spans="1:29">
      <c r="Y142" s="293" t="s">
        <v>147</v>
      </c>
      <c r="Z142" s="293"/>
    </row>
    <row r="143" spans="1:29">
      <c r="Y143" s="293" t="s">
        <v>148</v>
      </c>
      <c r="Z143" s="293"/>
    </row>
    <row r="144" spans="1:29">
      <c r="Y144" s="293" t="s">
        <v>149</v>
      </c>
      <c r="Z144" s="293"/>
    </row>
    <row r="145" spans="25:26">
      <c r="Y145" s="293" t="s">
        <v>150</v>
      </c>
      <c r="Z145" s="293"/>
    </row>
    <row r="146" spans="25:26">
      <c r="Y146" s="293" t="s">
        <v>151</v>
      </c>
      <c r="Z146" s="293"/>
    </row>
    <row r="147" spans="25:26">
      <c r="Y147" s="293" t="s">
        <v>152</v>
      </c>
      <c r="Z147" s="293"/>
    </row>
    <row r="148" spans="25:26">
      <c r="Y148" s="293" t="s">
        <v>153</v>
      </c>
      <c r="Z148" s="293"/>
    </row>
    <row r="149" spans="25:26">
      <c r="Y149" s="293" t="s">
        <v>154</v>
      </c>
      <c r="Z149" s="293"/>
    </row>
    <row r="150" spans="25:26">
      <c r="Y150" s="293" t="s">
        <v>155</v>
      </c>
      <c r="Z150" s="293"/>
    </row>
    <row r="151" spans="25:26">
      <c r="Y151" s="293" t="s">
        <v>156</v>
      </c>
      <c r="Z151" s="293"/>
    </row>
    <row r="152" spans="25:26">
      <c r="Y152" s="293" t="s">
        <v>157</v>
      </c>
      <c r="Z152" s="293"/>
    </row>
    <row r="153" spans="25:26">
      <c r="Y153" s="293" t="s">
        <v>158</v>
      </c>
      <c r="Z153" s="293"/>
    </row>
    <row r="154" spans="25:26">
      <c r="Y154" s="293" t="s">
        <v>159</v>
      </c>
      <c r="Z154" s="293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114" priority="1" operator="greaterThan">
      <formula>0</formula>
    </cfRule>
  </conditionalFormatting>
  <conditionalFormatting sqref="P5:P140 AA5:AA140">
    <cfRule type="cellIs" dxfId="113" priority="4" operator="lessThan">
      <formula>0</formula>
    </cfRule>
  </conditionalFormatting>
  <conditionalFormatting sqref="Q5:Q140 AB5:AB140">
    <cfRule type="cellIs" dxfId="112" priority="2" operator="greaterThan">
      <formula>1</formula>
    </cfRule>
    <cfRule type="cellIs" dxfId="111" priority="3" operator="lessThan">
      <formula>0.8</formula>
    </cfRule>
  </conditionalFormatting>
  <conditionalFormatting sqref="AC5:AC6 R5:R140 AC73:AC78">
    <cfRule type="cellIs" dxfId="110" priority="5" operator="lessThan">
      <formula>0.8</formula>
    </cfRule>
  </conditionalFormatting>
  <conditionalFormatting sqref="AC12:AC20">
    <cfRule type="cellIs" dxfId="109" priority="12" operator="lessThan">
      <formula>0.8</formula>
    </cfRule>
  </conditionalFormatting>
  <conditionalFormatting sqref="AC22">
    <cfRule type="cellIs" dxfId="108" priority="11" operator="lessThan">
      <formula>0.8</formula>
    </cfRule>
  </conditionalFormatting>
  <conditionalFormatting sqref="AC39">
    <cfRule type="cellIs" dxfId="107" priority="7" operator="lessThan">
      <formula>0.8</formula>
    </cfRule>
  </conditionalFormatting>
  <conditionalFormatting sqref="AC56:AC61">
    <cfRule type="cellIs" dxfId="106" priority="6" operator="lessThan">
      <formula>0.8</formula>
    </cfRule>
  </conditionalFormatting>
  <conditionalFormatting sqref="AC90">
    <cfRule type="cellIs" dxfId="105" priority="10" operator="lessThan">
      <formula>0.8</formula>
    </cfRule>
  </conditionalFormatting>
  <conditionalFormatting sqref="AC107">
    <cfRule type="cellIs" dxfId="104" priority="9" operator="lessThan">
      <formula>0.8</formula>
    </cfRule>
  </conditionalFormatting>
  <conditionalFormatting sqref="AC124:AC129">
    <cfRule type="cellIs" dxfId="103" priority="8" operator="lessThan">
      <formula>0.8</formula>
    </cfRule>
  </conditionalFormatting>
  <dataValidations count="1">
    <dataValidation type="list" allowBlank="1" showInputMessage="1" showErrorMessage="1" sqref="Y5:Z140" xr:uid="{2EB6482E-ED4D-47BC-A270-08150E50AE92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8A314-5BF3-4930-AC82-5642D68A6FBE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O42" sqref="O42"/>
      <selection pane="bottomLeft" activeCell="O42" sqref="O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77593</v>
      </c>
      <c r="E1" s="86" t="s">
        <v>3</v>
      </c>
      <c r="F1" s="87">
        <f>SUM(G5:G140)</f>
        <v>3414568.6599999988</v>
      </c>
      <c r="G1" s="88" t="s">
        <v>84</v>
      </c>
      <c r="H1" s="89">
        <f>L21+L38+L55+L72+L89+L106+L123+L140</f>
        <v>137.46666666666667</v>
      </c>
      <c r="I1" s="359" t="s">
        <v>85</v>
      </c>
      <c r="J1" s="360"/>
      <c r="K1" s="361"/>
      <c r="L1" s="365" t="s">
        <v>86</v>
      </c>
      <c r="M1" s="366"/>
      <c r="N1" s="367"/>
      <c r="O1" s="360" t="s">
        <v>87</v>
      </c>
      <c r="P1" s="360"/>
      <c r="Q1" s="360"/>
      <c r="R1" s="371"/>
      <c r="S1" s="359" t="s">
        <v>88</v>
      </c>
      <c r="T1" s="360"/>
      <c r="U1" s="360"/>
      <c r="V1" s="360"/>
      <c r="W1" s="360"/>
      <c r="X1" s="371"/>
      <c r="Y1" s="190" t="s">
        <v>183</v>
      </c>
      <c r="Z1" s="190" t="s">
        <v>184</v>
      </c>
      <c r="AA1" s="391" t="s">
        <v>161</v>
      </c>
      <c r="AB1" s="392"/>
      <c r="AC1" s="174" t="s">
        <v>19</v>
      </c>
      <c r="AD1" s="175" t="s">
        <v>160</v>
      </c>
      <c r="AE1" s="359" t="s">
        <v>90</v>
      </c>
      <c r="AF1" s="374"/>
      <c r="AG1" s="375"/>
    </row>
    <row r="2" spans="1:33" ht="26.25" customHeight="1" thickBot="1">
      <c r="A2" s="352">
        <v>46300</v>
      </c>
      <c r="B2" s="353"/>
      <c r="C2" s="90" t="s">
        <v>40</v>
      </c>
      <c r="D2" s="91">
        <f>AVERAGE(N21,N38,N55,N72,N89,N106,N123,N140)</f>
        <v>207.9056374971579</v>
      </c>
      <c r="E2" s="91" t="s">
        <v>91</v>
      </c>
      <c r="F2" s="92">
        <f>F1/D1</f>
        <v>44.006143079916988</v>
      </c>
      <c r="G2" s="93" t="s">
        <v>92</v>
      </c>
      <c r="H2" s="94">
        <f>COUNT(H5:H140)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1">
        <f>SUM(Y21,Y38,Y55,Y72,Y89,Y106,Y123,Y140)</f>
        <v>0</v>
      </c>
      <c r="Z2" s="191">
        <f>SUM(Z21,Z38,Z55,Z72,Z89,Z106,Z123,Z140)</f>
        <v>0</v>
      </c>
      <c r="AA2" s="393"/>
      <c r="AB2" s="394"/>
      <c r="AC2" s="199">
        <f>SUM(AC21,AC38,AC55,AC72,AC89,AC106,AC123,AC140)</f>
        <v>0</v>
      </c>
      <c r="AD2" s="200">
        <f>SUM(AD21,AD38,AD55,AD72,AD89,AD106,AD123,AD140)</f>
        <v>0</v>
      </c>
      <c r="AE2" s="376"/>
      <c r="AF2" s="377"/>
      <c r="AG2" s="378"/>
    </row>
    <row r="3" spans="1:33" ht="23.25" customHeight="1">
      <c r="A3" s="354" t="s">
        <v>93</v>
      </c>
      <c r="B3" s="356" t="s">
        <v>94</v>
      </c>
      <c r="C3" s="326" t="s">
        <v>95</v>
      </c>
      <c r="D3" s="326"/>
      <c r="E3" s="346" t="s">
        <v>96</v>
      </c>
      <c r="F3" s="326" t="s">
        <v>97</v>
      </c>
      <c r="G3" s="346" t="s">
        <v>98</v>
      </c>
      <c r="H3" s="348" t="s">
        <v>99</v>
      </c>
      <c r="I3" s="338" t="s">
        <v>100</v>
      </c>
      <c r="J3" s="334" t="s">
        <v>101</v>
      </c>
      <c r="K3" s="336" t="s">
        <v>40</v>
      </c>
      <c r="L3" s="350" t="s">
        <v>100</v>
      </c>
      <c r="M3" s="334" t="s">
        <v>101</v>
      </c>
      <c r="N3" s="336" t="s">
        <v>40</v>
      </c>
      <c r="O3" s="338" t="s">
        <v>100</v>
      </c>
      <c r="P3" s="340" t="s">
        <v>40</v>
      </c>
      <c r="Q3" s="342" t="s">
        <v>102</v>
      </c>
      <c r="R3" s="344" t="s">
        <v>103</v>
      </c>
      <c r="S3" s="322" t="s">
        <v>104</v>
      </c>
      <c r="T3" s="323"/>
      <c r="U3" s="324" t="s">
        <v>105</v>
      </c>
      <c r="V3" s="324" t="s">
        <v>106</v>
      </c>
      <c r="W3" s="326" t="s">
        <v>107</v>
      </c>
      <c r="X3" s="327"/>
      <c r="Y3" s="383" t="s">
        <v>185</v>
      </c>
      <c r="Z3" s="384"/>
      <c r="AA3" s="387" t="s">
        <v>108</v>
      </c>
      <c r="AB3" s="388"/>
      <c r="AC3" s="383" t="s">
        <v>186</v>
      </c>
      <c r="AD3" s="384"/>
      <c r="AE3" s="332" t="s">
        <v>101</v>
      </c>
      <c r="AF3" s="318" t="s">
        <v>102</v>
      </c>
      <c r="AG3" s="320" t="s">
        <v>109</v>
      </c>
    </row>
    <row r="4" spans="1:33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201" t="s">
        <v>110</v>
      </c>
      <c r="T4" s="202" t="s">
        <v>111</v>
      </c>
      <c r="U4" s="325"/>
      <c r="V4" s="325"/>
      <c r="W4" s="97" t="s">
        <v>112</v>
      </c>
      <c r="X4" s="67" t="s">
        <v>113</v>
      </c>
      <c r="Y4" s="192" t="s">
        <v>49</v>
      </c>
      <c r="Z4" s="193" t="s">
        <v>50</v>
      </c>
      <c r="AA4" s="389"/>
      <c r="AB4" s="390"/>
      <c r="AC4" s="192" t="s">
        <v>162</v>
      </c>
      <c r="AD4" s="193" t="s">
        <v>163</v>
      </c>
      <c r="AE4" s="333"/>
      <c r="AF4" s="319"/>
      <c r="AG4" s="321"/>
    </row>
    <row r="5" spans="1:33" ht="15.75" customHeight="1">
      <c r="A5" s="315" t="s">
        <v>168</v>
      </c>
      <c r="B5" s="112" t="s">
        <v>164</v>
      </c>
      <c r="C5" s="385" t="s">
        <v>165</v>
      </c>
      <c r="D5" s="385"/>
      <c r="E5" s="145">
        <v>19.7</v>
      </c>
      <c r="F5" s="149">
        <v>4362</v>
      </c>
      <c r="G5" s="146">
        <f t="shared" ref="G5:G7" si="0">E5*F5</f>
        <v>85931.4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1086.4472881768488</v>
      </c>
      <c r="N5" s="150">
        <f>M5/L5</f>
        <v>83.572868321296056</v>
      </c>
      <c r="O5" s="152">
        <f>L5-I5</f>
        <v>0</v>
      </c>
      <c r="P5" s="153">
        <f>N5-K5</f>
        <v>-8.7348239863962505</v>
      </c>
      <c r="Q5" s="154">
        <f>N5/K5</f>
        <v>0.9053727401473739</v>
      </c>
      <c r="R5" s="307">
        <f>Q21</f>
        <v>0.9027754420654337</v>
      </c>
      <c r="S5" s="155">
        <v>0.20833333333333334</v>
      </c>
      <c r="T5" s="156">
        <v>0.37561342592592595</v>
      </c>
      <c r="U5" s="157"/>
      <c r="V5" s="158">
        <v>240.89525819442972</v>
      </c>
      <c r="W5" s="179"/>
      <c r="X5" s="150"/>
      <c r="Y5" s="12"/>
      <c r="Z5" s="196"/>
      <c r="AA5" s="310"/>
      <c r="AB5" s="311"/>
      <c r="AC5" s="12"/>
      <c r="AD5" s="196"/>
      <c r="AE5" s="176">
        <f>M5-J5</f>
        <v>-113.55271182315118</v>
      </c>
      <c r="AF5" s="130">
        <f>M5/J5</f>
        <v>0.90537274014737401</v>
      </c>
      <c r="AG5" s="386">
        <f>AF21</f>
        <v>0.9027754420654337</v>
      </c>
    </row>
    <row r="6" spans="1:33" ht="15.75" customHeight="1">
      <c r="A6" s="316"/>
      <c r="B6" s="98" t="s">
        <v>169</v>
      </c>
      <c r="C6" s="382" t="s">
        <v>170</v>
      </c>
      <c r="D6" s="382"/>
      <c r="E6" s="99">
        <v>56.43</v>
      </c>
      <c r="F6" s="100">
        <v>4948</v>
      </c>
      <c r="G6" s="101">
        <f t="shared" si="0"/>
        <v>279215.64</v>
      </c>
      <c r="H6" s="26"/>
      <c r="I6" s="102">
        <v>24</v>
      </c>
      <c r="J6" s="103">
        <v>2000</v>
      </c>
      <c r="K6" s="104">
        <f t="shared" ref="K6:K43" si="1">J6/I6</f>
        <v>83.333333333333329</v>
      </c>
      <c r="L6" s="105">
        <v>24</v>
      </c>
      <c r="M6" s="103">
        <f>F6/V6*60</f>
        <v>1802.1548219448434</v>
      </c>
      <c r="N6" s="104">
        <f>M6/L6</f>
        <v>75.089784247701814</v>
      </c>
      <c r="O6" s="106">
        <f>L6-I6</f>
        <v>0</v>
      </c>
      <c r="P6" s="107">
        <f>N6-K6</f>
        <v>-8.2435490856315141</v>
      </c>
      <c r="Q6" s="108">
        <f>N6/K6</f>
        <v>0.90107741097242178</v>
      </c>
      <c r="R6" s="308"/>
      <c r="S6" s="46">
        <v>0.37916666666666665</v>
      </c>
      <c r="T6" s="47">
        <v>0.49356481481481479</v>
      </c>
      <c r="U6" s="109">
        <v>5.1166666666666138</v>
      </c>
      <c r="V6" s="110">
        <v>164.73612388064086</v>
      </c>
      <c r="W6" s="111">
        <v>0.49356481481481479</v>
      </c>
      <c r="X6" s="114">
        <v>0.53194444444444433</v>
      </c>
      <c r="Y6" s="12"/>
      <c r="Z6" s="196"/>
      <c r="AA6" s="299"/>
      <c r="AB6" s="300"/>
      <c r="AC6" s="12"/>
      <c r="AD6" s="196"/>
      <c r="AE6" s="115">
        <f>M6-J6</f>
        <v>-197.84517805515657</v>
      </c>
      <c r="AF6" s="108">
        <f>M6/J6</f>
        <v>0.90107741097242167</v>
      </c>
      <c r="AG6" s="380"/>
    </row>
    <row r="7" spans="1:33" ht="15.75" customHeight="1">
      <c r="A7" s="316"/>
      <c r="B7" s="98" t="s">
        <v>171</v>
      </c>
      <c r="C7" s="382" t="s">
        <v>173</v>
      </c>
      <c r="D7" s="382"/>
      <c r="E7" s="99">
        <v>59.52</v>
      </c>
      <c r="F7" s="100">
        <v>5065</v>
      </c>
      <c r="G7" s="101">
        <f t="shared" si="0"/>
        <v>301468.79999999999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1805.8301886185629</v>
      </c>
      <c r="N7" s="104">
        <f>M7/L7</f>
        <v>75.242924525773461</v>
      </c>
      <c r="O7" s="106">
        <f>L7-I7</f>
        <v>0</v>
      </c>
      <c r="P7" s="107">
        <f>N7-K7</f>
        <v>-8.0904088075598679</v>
      </c>
      <c r="Q7" s="108">
        <f>N7/K7</f>
        <v>0.90291509430928163</v>
      </c>
      <c r="R7" s="308"/>
      <c r="S7" s="46">
        <v>0.53194444444444433</v>
      </c>
      <c r="T7" s="47">
        <v>0.64880787037037024</v>
      </c>
      <c r="U7" s="109">
        <v>55.266666666666538</v>
      </c>
      <c r="V7" s="110">
        <v>168.28824875969076</v>
      </c>
      <c r="W7" s="111"/>
      <c r="X7" s="114"/>
      <c r="Y7" s="12"/>
      <c r="Z7" s="196"/>
      <c r="AA7" s="299"/>
      <c r="AB7" s="300"/>
      <c r="AC7" s="12"/>
      <c r="AD7" s="196"/>
      <c r="AE7" s="115">
        <f>M7-J7</f>
        <v>-194.16981138143706</v>
      </c>
      <c r="AF7" s="108">
        <f>M7/J7</f>
        <v>0.90291509430928152</v>
      </c>
      <c r="AG7" s="380"/>
    </row>
    <row r="8" spans="1:33" ht="15.75" customHeight="1">
      <c r="A8" s="316"/>
      <c r="B8" s="98"/>
      <c r="C8" s="382"/>
      <c r="D8" s="382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8"/>
      <c r="S8" s="46"/>
      <c r="T8" s="47"/>
      <c r="U8" s="109"/>
      <c r="V8" s="110"/>
      <c r="W8" s="111"/>
      <c r="X8" s="114"/>
      <c r="Y8" s="12"/>
      <c r="Z8" s="196"/>
      <c r="AA8" s="299"/>
      <c r="AB8" s="300"/>
      <c r="AC8" s="12"/>
      <c r="AD8" s="196"/>
      <c r="AE8" s="115"/>
      <c r="AF8" s="108"/>
      <c r="AG8" s="380"/>
    </row>
    <row r="9" spans="1:33" ht="15.75" customHeight="1">
      <c r="A9" s="316"/>
      <c r="B9" s="98"/>
      <c r="C9" s="382"/>
      <c r="D9" s="382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8"/>
      <c r="S9" s="46"/>
      <c r="T9" s="47"/>
      <c r="U9" s="109"/>
      <c r="V9" s="110"/>
      <c r="W9" s="111"/>
      <c r="X9" s="114"/>
      <c r="Y9" s="12"/>
      <c r="Z9" s="196"/>
      <c r="AA9" s="299"/>
      <c r="AB9" s="300"/>
      <c r="AC9" s="12"/>
      <c r="AD9" s="196"/>
      <c r="AE9" s="115"/>
      <c r="AF9" s="108"/>
      <c r="AG9" s="380"/>
    </row>
    <row r="10" spans="1:33" ht="15.75" customHeight="1">
      <c r="A10" s="316"/>
      <c r="B10" s="98"/>
      <c r="C10" s="382"/>
      <c r="D10" s="382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8"/>
      <c r="S10" s="46"/>
      <c r="T10" s="118"/>
      <c r="U10" s="109"/>
      <c r="V10" s="110"/>
      <c r="W10" s="111"/>
      <c r="X10" s="114"/>
      <c r="Y10" s="12"/>
      <c r="Z10" s="196"/>
      <c r="AA10" s="299"/>
      <c r="AB10" s="300"/>
      <c r="AC10" s="12"/>
      <c r="AD10" s="196"/>
      <c r="AE10" s="115"/>
      <c r="AF10" s="108"/>
      <c r="AG10" s="380"/>
    </row>
    <row r="11" spans="1:33" ht="15.75" customHeight="1">
      <c r="A11" s="316"/>
      <c r="B11" s="98"/>
      <c r="C11" s="382"/>
      <c r="D11" s="382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8"/>
      <c r="S11" s="46"/>
      <c r="T11" s="118"/>
      <c r="U11" s="109"/>
      <c r="V11" s="110"/>
      <c r="W11" s="111"/>
      <c r="X11" s="114"/>
      <c r="Y11" s="12"/>
      <c r="Z11" s="196"/>
      <c r="AA11" s="299"/>
      <c r="AB11" s="300"/>
      <c r="AC11" s="12"/>
      <c r="AD11" s="196"/>
      <c r="AE11" s="115"/>
      <c r="AF11" s="108"/>
      <c r="AG11" s="380"/>
    </row>
    <row r="12" spans="1:33" ht="15.75" customHeight="1">
      <c r="A12" s="316"/>
      <c r="B12" s="98"/>
      <c r="C12" s="382"/>
      <c r="D12" s="382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8"/>
      <c r="S12" s="46"/>
      <c r="T12" s="118"/>
      <c r="U12" s="109"/>
      <c r="V12" s="110"/>
      <c r="W12" s="111"/>
      <c r="X12" s="114"/>
      <c r="Y12" s="12"/>
      <c r="Z12" s="196"/>
      <c r="AA12" s="299"/>
      <c r="AB12" s="300"/>
      <c r="AC12" s="12"/>
      <c r="AD12" s="196"/>
      <c r="AE12" s="115"/>
      <c r="AF12" s="108"/>
      <c r="AG12" s="380"/>
    </row>
    <row r="13" spans="1:33" ht="15.75" customHeight="1">
      <c r="A13" s="316"/>
      <c r="B13" s="98"/>
      <c r="C13" s="382"/>
      <c r="D13" s="382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8"/>
      <c r="S13" s="46"/>
      <c r="T13" s="118"/>
      <c r="U13" s="109"/>
      <c r="V13" s="110"/>
      <c r="W13" s="111"/>
      <c r="X13" s="114"/>
      <c r="Y13" s="12"/>
      <c r="Z13" s="196"/>
      <c r="AA13" s="299"/>
      <c r="AB13" s="300"/>
      <c r="AC13" s="12"/>
      <c r="AD13" s="196"/>
      <c r="AE13" s="115"/>
      <c r="AF13" s="108"/>
      <c r="AG13" s="380"/>
    </row>
    <row r="14" spans="1:33" ht="15.75" customHeight="1">
      <c r="A14" s="316"/>
      <c r="B14" s="98"/>
      <c r="C14" s="382"/>
      <c r="D14" s="382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8"/>
      <c r="S14" s="46"/>
      <c r="T14" s="118"/>
      <c r="U14" s="109"/>
      <c r="V14" s="110"/>
      <c r="W14" s="111"/>
      <c r="X14" s="114"/>
      <c r="Y14" s="12"/>
      <c r="Z14" s="196"/>
      <c r="AA14" s="299"/>
      <c r="AB14" s="300"/>
      <c r="AC14" s="12"/>
      <c r="AD14" s="196"/>
      <c r="AE14" s="115"/>
      <c r="AF14" s="108"/>
      <c r="AG14" s="380"/>
    </row>
    <row r="15" spans="1:33" ht="15.75" customHeight="1">
      <c r="A15" s="316"/>
      <c r="B15" s="98"/>
      <c r="C15" s="382"/>
      <c r="D15" s="382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8"/>
      <c r="S15" s="46"/>
      <c r="T15" s="118"/>
      <c r="U15" s="109"/>
      <c r="V15" s="110"/>
      <c r="W15" s="111"/>
      <c r="X15" s="114"/>
      <c r="Y15" s="12"/>
      <c r="Z15" s="196"/>
      <c r="AA15" s="299"/>
      <c r="AB15" s="300"/>
      <c r="AC15" s="12"/>
      <c r="AD15" s="196"/>
      <c r="AE15" s="115"/>
      <c r="AF15" s="108"/>
      <c r="AG15" s="380"/>
    </row>
    <row r="16" spans="1:33" ht="15.75" customHeight="1">
      <c r="A16" s="316"/>
      <c r="B16" s="98"/>
      <c r="C16" s="382"/>
      <c r="D16" s="382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8"/>
      <c r="S16" s="46"/>
      <c r="T16" s="118"/>
      <c r="U16" s="109"/>
      <c r="V16" s="110"/>
      <c r="W16" s="111"/>
      <c r="X16" s="114"/>
      <c r="Y16" s="12"/>
      <c r="Z16" s="196"/>
      <c r="AA16" s="299"/>
      <c r="AB16" s="300"/>
      <c r="AC16" s="12"/>
      <c r="AD16" s="196"/>
      <c r="AE16" s="115"/>
      <c r="AF16" s="108"/>
      <c r="AG16" s="380"/>
    </row>
    <row r="17" spans="1:33" ht="15.75" customHeight="1">
      <c r="A17" s="316"/>
      <c r="B17" s="98"/>
      <c r="C17" s="382"/>
      <c r="D17" s="382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8"/>
      <c r="S17" s="46"/>
      <c r="T17" s="118"/>
      <c r="U17" s="109"/>
      <c r="V17" s="110"/>
      <c r="W17" s="111"/>
      <c r="X17" s="114"/>
      <c r="Y17" s="12"/>
      <c r="Z17" s="196"/>
      <c r="AA17" s="299"/>
      <c r="AB17" s="300"/>
      <c r="AC17" s="12"/>
      <c r="AD17" s="196"/>
      <c r="AE17" s="115"/>
      <c r="AF17" s="108"/>
      <c r="AG17" s="380"/>
    </row>
    <row r="18" spans="1:33" ht="15.75" customHeight="1">
      <c r="A18" s="316"/>
      <c r="B18" s="98"/>
      <c r="C18" s="382"/>
      <c r="D18" s="382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8"/>
      <c r="S18" s="46"/>
      <c r="T18" s="118"/>
      <c r="U18" s="109"/>
      <c r="V18" s="110"/>
      <c r="W18" s="111"/>
      <c r="X18" s="114"/>
      <c r="Y18" s="12"/>
      <c r="Z18" s="196"/>
      <c r="AA18" s="299"/>
      <c r="AB18" s="300"/>
      <c r="AC18" s="12"/>
      <c r="AD18" s="196"/>
      <c r="AE18" s="115"/>
      <c r="AF18" s="108"/>
      <c r="AG18" s="380"/>
    </row>
    <row r="19" spans="1:33" ht="15.75" customHeight="1">
      <c r="A19" s="316"/>
      <c r="B19" s="98"/>
      <c r="C19" s="382"/>
      <c r="D19" s="382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8"/>
      <c r="S19" s="46"/>
      <c r="T19" s="118"/>
      <c r="U19" s="109"/>
      <c r="V19" s="110"/>
      <c r="W19" s="111"/>
      <c r="X19" s="114"/>
      <c r="Y19" s="12"/>
      <c r="Z19" s="196"/>
      <c r="AA19" s="299"/>
      <c r="AB19" s="300"/>
      <c r="AC19" s="12"/>
      <c r="AD19" s="196"/>
      <c r="AE19" s="115"/>
      <c r="AF19" s="108"/>
      <c r="AG19" s="380"/>
    </row>
    <row r="20" spans="1:33" ht="15.75" customHeight="1">
      <c r="A20" s="316"/>
      <c r="B20" s="98"/>
      <c r="C20" s="382"/>
      <c r="D20" s="382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8"/>
      <c r="S20" s="46"/>
      <c r="T20" s="118"/>
      <c r="U20" s="128"/>
      <c r="V20" s="110"/>
      <c r="W20" s="111"/>
      <c r="X20" s="114"/>
      <c r="Y20" s="12"/>
      <c r="Z20" s="196"/>
      <c r="AA20" s="299"/>
      <c r="AB20" s="300"/>
      <c r="AC20" s="12"/>
      <c r="AD20" s="196"/>
      <c r="AE20" s="115"/>
      <c r="AF20" s="108"/>
      <c r="AG20" s="380"/>
    </row>
    <row r="21" spans="1:33" ht="15.75" customHeight="1" thickBot="1">
      <c r="A21" s="317"/>
      <c r="B21" s="131" t="s">
        <v>115</v>
      </c>
      <c r="C21" s="294"/>
      <c r="D21" s="294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1564.8107662467517</v>
      </c>
      <c r="N21" s="136">
        <f t="shared" ref="N21:N26" si="5">M21/L21</f>
        <v>76.957906536725503</v>
      </c>
      <c r="O21" s="137">
        <f t="shared" ref="O21:O26" si="6">L21-I21</f>
        <v>0</v>
      </c>
      <c r="P21" s="138">
        <f t="shared" ref="P21:P26" si="7">N21-K21</f>
        <v>-8.2879951026187655</v>
      </c>
      <c r="Q21" s="139">
        <f t="shared" ref="Q21:Q26" si="8">N21/K21</f>
        <v>0.9027754420654337</v>
      </c>
      <c r="R21" s="309"/>
      <c r="S21" s="140">
        <v>0.20833333333333334</v>
      </c>
      <c r="T21" s="141">
        <v>0.64880787037037024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5"/>
      <c r="AB21" s="296"/>
      <c r="AC21" s="177">
        <f>SUM(AC5:AC20)</f>
        <v>0</v>
      </c>
      <c r="AD21" s="178">
        <f>SUM(AD5:AD20)</f>
        <v>0</v>
      </c>
      <c r="AE21" s="166">
        <f t="shared" ref="AE21:AE26" si="9">M21-J21</f>
        <v>-168.5225670865816</v>
      </c>
      <c r="AF21" s="139">
        <f t="shared" ref="AF21:AF26" si="10">M21/J21</f>
        <v>0.9027754420654337</v>
      </c>
      <c r="AG21" s="381"/>
    </row>
    <row r="22" spans="1:33" ht="15.75" customHeight="1">
      <c r="A22" s="301" t="s">
        <v>174</v>
      </c>
      <c r="B22" s="144" t="s">
        <v>166</v>
      </c>
      <c r="C22" s="305" t="s">
        <v>167</v>
      </c>
      <c r="D22" s="306"/>
      <c r="E22" s="145">
        <v>29.97</v>
      </c>
      <c r="F22" s="157">
        <v>2261</v>
      </c>
      <c r="G22" s="146">
        <f t="shared" ref="G22:G26" si="11">E22*F22</f>
        <v>67762.17</v>
      </c>
      <c r="H22" s="147"/>
      <c r="I22" s="151">
        <v>21</v>
      </c>
      <c r="J22" s="149">
        <v>2790</v>
      </c>
      <c r="K22" s="150">
        <f>J22/I22</f>
        <v>132.85714285714286</v>
      </c>
      <c r="L22" s="105">
        <v>22</v>
      </c>
      <c r="M22" s="149">
        <f>F22/V22*60</f>
        <v>2626.6346153846152</v>
      </c>
      <c r="N22" s="150">
        <f t="shared" si="5"/>
        <v>119.39248251748251</v>
      </c>
      <c r="O22" s="152">
        <f t="shared" si="6"/>
        <v>1</v>
      </c>
      <c r="P22" s="153">
        <f t="shared" si="7"/>
        <v>-13.464660339660355</v>
      </c>
      <c r="Q22" s="154">
        <f t="shared" si="8"/>
        <v>0.89865309421761019</v>
      </c>
      <c r="R22" s="307">
        <f>Q38</f>
        <v>0.90283709131827028</v>
      </c>
      <c r="S22" s="155">
        <v>0.20833333333333334</v>
      </c>
      <c r="T22" s="156">
        <v>0.24418981481481483</v>
      </c>
      <c r="U22" s="157"/>
      <c r="V22" s="158">
        <v>51.647838342424137</v>
      </c>
      <c r="W22" s="95"/>
      <c r="X22" s="96"/>
      <c r="Y22" s="12"/>
      <c r="Z22" s="196"/>
      <c r="AA22" s="310"/>
      <c r="AB22" s="311"/>
      <c r="AC22" s="12"/>
      <c r="AD22" s="196"/>
      <c r="AE22" s="113">
        <f t="shared" si="9"/>
        <v>-163.36538461538476</v>
      </c>
      <c r="AF22" s="154">
        <f t="shared" si="10"/>
        <v>0.94144609870416318</v>
      </c>
      <c r="AG22" s="379">
        <f>AF38</f>
        <v>0.92053977938333453</v>
      </c>
    </row>
    <row r="23" spans="1:33" ht="15.75" customHeight="1">
      <c r="A23" s="302"/>
      <c r="B23" s="161" t="s">
        <v>166</v>
      </c>
      <c r="C23" s="297" t="s">
        <v>221</v>
      </c>
      <c r="D23" s="298"/>
      <c r="E23" s="99">
        <v>24.35</v>
      </c>
      <c r="F23" s="109">
        <v>3085</v>
      </c>
      <c r="G23" s="101">
        <f t="shared" si="11"/>
        <v>75119.75</v>
      </c>
      <c r="H23" s="26"/>
      <c r="I23" s="105">
        <v>21</v>
      </c>
      <c r="J23" s="103">
        <v>2790</v>
      </c>
      <c r="K23" s="104">
        <f t="shared" si="1"/>
        <v>132.85714285714286</v>
      </c>
      <c r="L23" s="105">
        <v>22</v>
      </c>
      <c r="M23" s="103">
        <f>F23/V23*60</f>
        <v>2626.6346153846152</v>
      </c>
      <c r="N23" s="104">
        <f t="shared" si="5"/>
        <v>119.39248251748251</v>
      </c>
      <c r="O23" s="106">
        <f t="shared" si="6"/>
        <v>1</v>
      </c>
      <c r="P23" s="107">
        <f t="shared" si="7"/>
        <v>-13.464660339660355</v>
      </c>
      <c r="Q23" s="108">
        <f t="shared" si="8"/>
        <v>0.89865309421761019</v>
      </c>
      <c r="R23" s="308"/>
      <c r="S23" s="46">
        <v>0.24722222222222223</v>
      </c>
      <c r="T23" s="47">
        <v>0.29615740740740742</v>
      </c>
      <c r="U23" s="109">
        <v>5</v>
      </c>
      <c r="V23" s="110">
        <v>70.470403045722449</v>
      </c>
      <c r="W23" s="111"/>
      <c r="X23" s="114"/>
      <c r="Y23" s="12"/>
      <c r="Z23" s="196"/>
      <c r="AA23" s="299"/>
      <c r="AB23" s="300"/>
      <c r="AC23" s="12"/>
      <c r="AD23" s="196"/>
      <c r="AE23" s="115">
        <f t="shared" si="9"/>
        <v>-163.36538461538476</v>
      </c>
      <c r="AF23" s="108">
        <f t="shared" si="10"/>
        <v>0.94144609870416318</v>
      </c>
      <c r="AG23" s="380"/>
    </row>
    <row r="24" spans="1:33" ht="15.75" customHeight="1">
      <c r="A24" s="302"/>
      <c r="B24" s="161" t="s">
        <v>188</v>
      </c>
      <c r="C24" s="297" t="s">
        <v>204</v>
      </c>
      <c r="D24" s="298"/>
      <c r="E24" s="99">
        <v>36.450000000000003</v>
      </c>
      <c r="F24" s="109">
        <v>2348</v>
      </c>
      <c r="G24" s="101">
        <f t="shared" si="11"/>
        <v>85584.6</v>
      </c>
      <c r="H24" s="26"/>
      <c r="I24" s="105">
        <v>20</v>
      </c>
      <c r="J24" s="103">
        <v>2100</v>
      </c>
      <c r="K24" s="104">
        <f t="shared" si="1"/>
        <v>105</v>
      </c>
      <c r="L24" s="105">
        <v>20</v>
      </c>
      <c r="M24" s="103">
        <f>F24/V24*60</f>
        <v>1890.5483422375003</v>
      </c>
      <c r="N24" s="104">
        <f t="shared" si="5"/>
        <v>94.52741711187501</v>
      </c>
      <c r="O24" s="106">
        <f t="shared" si="6"/>
        <v>0</v>
      </c>
      <c r="P24" s="107">
        <f t="shared" si="7"/>
        <v>-10.47258288812499</v>
      </c>
      <c r="Q24" s="108">
        <f t="shared" si="8"/>
        <v>0.90026111535119058</v>
      </c>
      <c r="R24" s="308"/>
      <c r="S24" s="46">
        <v>0.3</v>
      </c>
      <c r="T24" s="47">
        <v>0.35174768518518518</v>
      </c>
      <c r="U24" s="109">
        <v>5.5333333333332924</v>
      </c>
      <c r="V24" s="110">
        <v>74.518062750654565</v>
      </c>
      <c r="W24" s="111"/>
      <c r="X24" s="114"/>
      <c r="Y24" s="12"/>
      <c r="Z24" s="196"/>
      <c r="AA24" s="299"/>
      <c r="AB24" s="300"/>
      <c r="AC24" s="12"/>
      <c r="AD24" s="196"/>
      <c r="AE24" s="115">
        <f t="shared" si="9"/>
        <v>-209.45165776249974</v>
      </c>
      <c r="AF24" s="108">
        <f t="shared" si="10"/>
        <v>0.90026111535119058</v>
      </c>
      <c r="AG24" s="380"/>
    </row>
    <row r="25" spans="1:33" ht="15.75" customHeight="1">
      <c r="A25" s="302"/>
      <c r="B25" s="161" t="s">
        <v>171</v>
      </c>
      <c r="C25" s="297" t="s">
        <v>200</v>
      </c>
      <c r="D25" s="298"/>
      <c r="E25" s="99">
        <v>61.09</v>
      </c>
      <c r="F25" s="109">
        <v>3389</v>
      </c>
      <c r="G25" s="101">
        <f t="shared" si="11"/>
        <v>207034.01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>F25/V25*60</f>
        <v>1805.4426614057968</v>
      </c>
      <c r="N25" s="104">
        <f t="shared" si="5"/>
        <v>90.27213307028984</v>
      </c>
      <c r="O25" s="106">
        <f t="shared" si="6"/>
        <v>0</v>
      </c>
      <c r="P25" s="107">
        <f t="shared" si="7"/>
        <v>-9.7278669297101601</v>
      </c>
      <c r="Q25" s="108">
        <f t="shared" si="8"/>
        <v>0.90272133070289839</v>
      </c>
      <c r="R25" s="308"/>
      <c r="S25" s="46">
        <v>0.35486111111111107</v>
      </c>
      <c r="T25" s="47">
        <v>0.43306712962962957</v>
      </c>
      <c r="U25" s="109">
        <v>5</v>
      </c>
      <c r="V25" s="110">
        <v>112.62611898273776</v>
      </c>
      <c r="W25" s="111">
        <v>0.43306712962962957</v>
      </c>
      <c r="X25" s="114">
        <v>0.47152777777777771</v>
      </c>
      <c r="Y25" s="12"/>
      <c r="Z25" s="196"/>
      <c r="AA25" s="299"/>
      <c r="AB25" s="300"/>
      <c r="AC25" s="12"/>
      <c r="AD25" s="196"/>
      <c r="AE25" s="115">
        <f t="shared" si="9"/>
        <v>-194.5573385942032</v>
      </c>
      <c r="AF25" s="108">
        <f t="shared" si="10"/>
        <v>0.90272133070289839</v>
      </c>
      <c r="AG25" s="380"/>
    </row>
    <row r="26" spans="1:33" ht="15.75" customHeight="1">
      <c r="A26" s="303"/>
      <c r="B26" s="161" t="s">
        <v>171</v>
      </c>
      <c r="C26" s="297" t="s">
        <v>177</v>
      </c>
      <c r="D26" s="298"/>
      <c r="E26" s="99">
        <v>53.76</v>
      </c>
      <c r="F26" s="109">
        <v>3330</v>
      </c>
      <c r="G26" s="101">
        <f t="shared" si="11"/>
        <v>179020.79999999999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>F26/V26*60</f>
        <v>1802.6443887848197</v>
      </c>
      <c r="N26" s="104">
        <f t="shared" si="5"/>
        <v>90.132219439240984</v>
      </c>
      <c r="O26" s="106">
        <f t="shared" si="6"/>
        <v>0</v>
      </c>
      <c r="P26" s="107">
        <f t="shared" si="7"/>
        <v>-9.8677805607590159</v>
      </c>
      <c r="Q26" s="108">
        <f t="shared" si="8"/>
        <v>0.90132219439240979</v>
      </c>
      <c r="R26" s="308"/>
      <c r="S26" s="46">
        <v>0.47152777777777771</v>
      </c>
      <c r="T26" s="47">
        <v>0.54849537037037033</v>
      </c>
      <c r="U26" s="109">
        <v>55.383333333333333</v>
      </c>
      <c r="V26" s="110">
        <v>110.83716857471103</v>
      </c>
      <c r="W26" s="111"/>
      <c r="X26" s="114"/>
      <c r="Y26" s="12"/>
      <c r="Z26" s="196"/>
      <c r="AA26" s="299"/>
      <c r="AB26" s="300"/>
      <c r="AC26" s="12"/>
      <c r="AD26" s="196"/>
      <c r="AE26" s="115">
        <f t="shared" si="9"/>
        <v>-197.35561121518026</v>
      </c>
      <c r="AF26" s="108">
        <f t="shared" si="10"/>
        <v>0.9013221943924099</v>
      </c>
      <c r="AG26" s="380"/>
    </row>
    <row r="27" spans="1:33" ht="15.75" customHeight="1">
      <c r="A27" s="303"/>
      <c r="B27" s="161"/>
      <c r="C27" s="297"/>
      <c r="D27" s="298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08"/>
      <c r="S27" s="46"/>
      <c r="T27" s="118"/>
      <c r="U27" s="109"/>
      <c r="V27" s="110"/>
      <c r="W27" s="111"/>
      <c r="X27" s="114"/>
      <c r="Y27" s="12"/>
      <c r="Z27" s="196"/>
      <c r="AA27" s="299"/>
      <c r="AB27" s="300"/>
      <c r="AC27" s="12"/>
      <c r="AD27" s="196"/>
      <c r="AE27" s="115"/>
      <c r="AF27" s="108"/>
      <c r="AG27" s="380"/>
    </row>
    <row r="28" spans="1:33" ht="15.75" customHeight="1">
      <c r="A28" s="303"/>
      <c r="B28" s="161"/>
      <c r="C28" s="297"/>
      <c r="D28" s="298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8"/>
      <c r="S28" s="46"/>
      <c r="T28" s="118"/>
      <c r="U28" s="109"/>
      <c r="V28" s="110"/>
      <c r="W28" s="111"/>
      <c r="X28" s="114"/>
      <c r="Y28" s="12"/>
      <c r="Z28" s="196"/>
      <c r="AA28" s="299"/>
      <c r="AB28" s="300"/>
      <c r="AC28" s="12"/>
      <c r="AD28" s="196"/>
      <c r="AE28" s="115"/>
      <c r="AF28" s="108"/>
      <c r="AG28" s="380"/>
    </row>
    <row r="29" spans="1:33" ht="15.75" customHeight="1">
      <c r="A29" s="303"/>
      <c r="B29" s="161"/>
      <c r="C29" s="297"/>
      <c r="D29" s="298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8"/>
      <c r="S29" s="46"/>
      <c r="T29" s="118"/>
      <c r="U29" s="109"/>
      <c r="V29" s="110"/>
      <c r="W29" s="111"/>
      <c r="X29" s="114"/>
      <c r="Y29" s="12"/>
      <c r="Z29" s="196"/>
      <c r="AA29" s="299"/>
      <c r="AB29" s="300"/>
      <c r="AC29" s="12"/>
      <c r="AD29" s="196"/>
      <c r="AE29" s="115"/>
      <c r="AF29" s="108"/>
      <c r="AG29" s="380"/>
    </row>
    <row r="30" spans="1:33" ht="15.75" customHeight="1">
      <c r="A30" s="303"/>
      <c r="B30" s="161"/>
      <c r="C30" s="297"/>
      <c r="D30" s="298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8"/>
      <c r="S30" s="46"/>
      <c r="T30" s="118"/>
      <c r="U30" s="109"/>
      <c r="V30" s="110"/>
      <c r="W30" s="111"/>
      <c r="X30" s="114"/>
      <c r="Y30" s="12"/>
      <c r="Z30" s="196"/>
      <c r="AA30" s="299"/>
      <c r="AB30" s="300"/>
      <c r="AC30" s="12"/>
      <c r="AD30" s="196"/>
      <c r="AE30" s="115"/>
      <c r="AF30" s="108"/>
      <c r="AG30" s="380"/>
    </row>
    <row r="31" spans="1:33" ht="15.75" customHeight="1">
      <c r="A31" s="303"/>
      <c r="B31" s="161"/>
      <c r="C31" s="297"/>
      <c r="D31" s="298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8"/>
      <c r="S31" s="46"/>
      <c r="T31" s="118"/>
      <c r="U31" s="109"/>
      <c r="V31" s="110"/>
      <c r="W31" s="111"/>
      <c r="X31" s="114"/>
      <c r="Y31" s="12"/>
      <c r="Z31" s="196"/>
      <c r="AA31" s="299"/>
      <c r="AB31" s="300"/>
      <c r="AC31" s="12"/>
      <c r="AD31" s="196"/>
      <c r="AE31" s="115"/>
      <c r="AF31" s="108"/>
      <c r="AG31" s="380"/>
    </row>
    <row r="32" spans="1:33" ht="15.75" customHeight="1">
      <c r="A32" s="303"/>
      <c r="B32" s="161"/>
      <c r="C32" s="297"/>
      <c r="D32" s="298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8"/>
      <c r="S32" s="46"/>
      <c r="T32" s="118"/>
      <c r="U32" s="109"/>
      <c r="V32" s="110"/>
      <c r="W32" s="111"/>
      <c r="X32" s="114"/>
      <c r="Y32" s="12"/>
      <c r="Z32" s="196"/>
      <c r="AA32" s="299"/>
      <c r="AB32" s="300"/>
      <c r="AC32" s="12"/>
      <c r="AD32" s="196"/>
      <c r="AE32" s="115"/>
      <c r="AF32" s="108"/>
      <c r="AG32" s="380"/>
    </row>
    <row r="33" spans="1:33" ht="15.75" customHeight="1">
      <c r="A33" s="303"/>
      <c r="B33" s="161"/>
      <c r="C33" s="297"/>
      <c r="D33" s="298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8"/>
      <c r="S33" s="46"/>
      <c r="T33" s="118"/>
      <c r="U33" s="109"/>
      <c r="V33" s="110"/>
      <c r="W33" s="111"/>
      <c r="X33" s="114"/>
      <c r="Y33" s="12"/>
      <c r="Z33" s="196"/>
      <c r="AA33" s="299"/>
      <c r="AB33" s="300"/>
      <c r="AC33" s="12"/>
      <c r="AD33" s="196"/>
      <c r="AE33" s="115"/>
      <c r="AF33" s="108"/>
      <c r="AG33" s="380"/>
    </row>
    <row r="34" spans="1:33" ht="15.75" customHeight="1">
      <c r="A34" s="303"/>
      <c r="B34" s="161"/>
      <c r="C34" s="297"/>
      <c r="D34" s="298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8"/>
      <c r="S34" s="46"/>
      <c r="T34" s="118"/>
      <c r="U34" s="109"/>
      <c r="V34" s="110"/>
      <c r="W34" s="111"/>
      <c r="X34" s="114"/>
      <c r="Y34" s="12"/>
      <c r="Z34" s="196"/>
      <c r="AA34" s="299"/>
      <c r="AB34" s="300"/>
      <c r="AC34" s="12"/>
      <c r="AD34" s="196"/>
      <c r="AE34" s="115"/>
      <c r="AF34" s="108"/>
      <c r="AG34" s="380"/>
    </row>
    <row r="35" spans="1:33" ht="15.75" customHeight="1">
      <c r="A35" s="303"/>
      <c r="B35" s="161"/>
      <c r="C35" s="297"/>
      <c r="D35" s="298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8"/>
      <c r="S35" s="46"/>
      <c r="T35" s="118"/>
      <c r="U35" s="109"/>
      <c r="V35" s="110"/>
      <c r="W35" s="181"/>
      <c r="X35" s="182"/>
      <c r="Y35" s="12"/>
      <c r="Z35" s="196"/>
      <c r="AA35" s="299"/>
      <c r="AB35" s="300"/>
      <c r="AC35" s="12"/>
      <c r="AD35" s="196"/>
      <c r="AE35" s="115"/>
      <c r="AF35" s="108"/>
      <c r="AG35" s="380"/>
    </row>
    <row r="36" spans="1:33" ht="15.75" customHeight="1">
      <c r="A36" s="303"/>
      <c r="B36" s="161"/>
      <c r="C36" s="297"/>
      <c r="D36" s="298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8"/>
      <c r="S36" s="46"/>
      <c r="T36" s="118"/>
      <c r="U36" s="109"/>
      <c r="V36" s="110"/>
      <c r="W36" s="183"/>
      <c r="X36" s="184"/>
      <c r="Y36" s="12"/>
      <c r="Z36" s="196"/>
      <c r="AA36" s="299"/>
      <c r="AB36" s="300"/>
      <c r="AC36" s="12"/>
      <c r="AD36" s="196"/>
      <c r="AE36" s="115"/>
      <c r="AF36" s="108"/>
      <c r="AG36" s="380"/>
    </row>
    <row r="37" spans="1:33" ht="15.75" customHeight="1">
      <c r="A37" s="303"/>
      <c r="B37" s="98"/>
      <c r="C37" s="297"/>
      <c r="D37" s="298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8"/>
      <c r="S37" s="46"/>
      <c r="T37" s="118"/>
      <c r="U37" s="128"/>
      <c r="V37" s="110"/>
      <c r="W37" s="183"/>
      <c r="X37" s="184"/>
      <c r="Y37" s="12"/>
      <c r="Z37" s="196"/>
      <c r="AA37" s="299"/>
      <c r="AB37" s="300"/>
      <c r="AC37" s="12"/>
      <c r="AD37" s="196"/>
      <c r="AE37" s="115"/>
      <c r="AF37" s="108"/>
      <c r="AG37" s="380"/>
    </row>
    <row r="38" spans="1:33" ht="15.75" customHeight="1" thickBot="1">
      <c r="A38" s="304"/>
      <c r="B38" s="131" t="s">
        <v>115</v>
      </c>
      <c r="C38" s="294"/>
      <c r="D38" s="294"/>
      <c r="E38" s="132"/>
      <c r="F38" s="165"/>
      <c r="G38" s="133"/>
      <c r="H38" s="67"/>
      <c r="I38" s="134">
        <f t="shared" ref="I38:J38" si="12">AVERAGE(I22:I37)</f>
        <v>20.399999999999999</v>
      </c>
      <c r="J38" s="135">
        <f t="shared" si="12"/>
        <v>2336</v>
      </c>
      <c r="K38" s="136">
        <f t="shared" ref="K38" si="13">J38/I38</f>
        <v>114.50980392156863</v>
      </c>
      <c r="L38" s="134">
        <f t="shared" ref="L38:M38" si="14">AVERAGE(L22:L37)</f>
        <v>20.8</v>
      </c>
      <c r="M38" s="135">
        <f t="shared" si="14"/>
        <v>2150.3809246394694</v>
      </c>
      <c r="N38" s="136">
        <f t="shared" ref="N38:N43" si="15">M38/L38</f>
        <v>103.38369829997448</v>
      </c>
      <c r="O38" s="137">
        <f t="shared" ref="O38:O43" si="16">L38-I38</f>
        <v>0.40000000000000213</v>
      </c>
      <c r="P38" s="138">
        <f t="shared" ref="P38:P43" si="17">N38-K38</f>
        <v>-11.126105621594149</v>
      </c>
      <c r="Q38" s="139">
        <f t="shared" ref="Q38:Q43" si="18">N38/K38</f>
        <v>0.90283709131827028</v>
      </c>
      <c r="R38" s="309"/>
      <c r="S38" s="140">
        <v>0.20833333333333334</v>
      </c>
      <c r="T38" s="141">
        <v>0.54849537037037033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5"/>
      <c r="AB38" s="296"/>
      <c r="AC38" s="177">
        <f>SUM(AC22:AC37)</f>
        <v>0</v>
      </c>
      <c r="AD38" s="178">
        <f>SUM(AD22:AD37)</f>
        <v>0</v>
      </c>
      <c r="AE38" s="166">
        <f t="shared" ref="AE38:AE43" si="19">M38-J38</f>
        <v>-185.61907536053059</v>
      </c>
      <c r="AF38" s="139">
        <f t="shared" ref="AF38:AF43" si="20">M38/J38</f>
        <v>0.92053977938333453</v>
      </c>
      <c r="AG38" s="381"/>
    </row>
    <row r="39" spans="1:33" ht="15.75" customHeight="1">
      <c r="A39" s="315" t="s">
        <v>175</v>
      </c>
      <c r="B39" s="144" t="s">
        <v>171</v>
      </c>
      <c r="C39" s="305" t="s">
        <v>178</v>
      </c>
      <c r="D39" s="306"/>
      <c r="E39" s="145">
        <v>71.55</v>
      </c>
      <c r="F39" s="95">
        <v>2844</v>
      </c>
      <c r="G39" s="146">
        <f t="shared" ref="G39:G43" si="21">E39*F39</f>
        <v>203488.19999999998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>F39/V39*60</f>
        <v>1807.6185926713995</v>
      </c>
      <c r="N39" s="150">
        <f t="shared" si="15"/>
        <v>82.164481485063618</v>
      </c>
      <c r="O39" s="152">
        <f t="shared" si="16"/>
        <v>0</v>
      </c>
      <c r="P39" s="153">
        <f t="shared" si="17"/>
        <v>-8.7446094240272885</v>
      </c>
      <c r="Q39" s="154">
        <f t="shared" si="18"/>
        <v>0.90380929633569984</v>
      </c>
      <c r="R39" s="307">
        <f>Q55</f>
        <v>0.90313759756539591</v>
      </c>
      <c r="S39" s="155">
        <v>0.20833333333333334</v>
      </c>
      <c r="T39" s="156">
        <v>0.2738888888888889</v>
      </c>
      <c r="U39" s="157"/>
      <c r="V39" s="158">
        <v>94.400445255333821</v>
      </c>
      <c r="W39" s="156"/>
      <c r="X39" s="167"/>
      <c r="Y39" s="12"/>
      <c r="Z39" s="196"/>
      <c r="AA39" s="310"/>
      <c r="AB39" s="311"/>
      <c r="AC39" s="12"/>
      <c r="AD39" s="196"/>
      <c r="AE39" s="113">
        <f t="shared" si="19"/>
        <v>-192.38140732860052</v>
      </c>
      <c r="AF39" s="154">
        <f t="shared" si="20"/>
        <v>0.90380929633569973</v>
      </c>
      <c r="AG39" s="312">
        <f>AF55</f>
        <v>0.90313759756539602</v>
      </c>
    </row>
    <row r="40" spans="1:33" ht="15.75" customHeight="1">
      <c r="A40" s="316"/>
      <c r="B40" s="161" t="s">
        <v>171</v>
      </c>
      <c r="C40" s="297" t="s">
        <v>176</v>
      </c>
      <c r="D40" s="298"/>
      <c r="E40" s="99">
        <v>59.54</v>
      </c>
      <c r="F40" s="100">
        <v>2931</v>
      </c>
      <c r="G40" s="101">
        <f t="shared" si="21"/>
        <v>174511.74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>F40/V40*60</f>
        <v>1807.2273887531585</v>
      </c>
      <c r="N40" s="104">
        <f t="shared" si="15"/>
        <v>78.575103858832975</v>
      </c>
      <c r="O40" s="106">
        <f t="shared" si="16"/>
        <v>0</v>
      </c>
      <c r="P40" s="107">
        <f t="shared" si="17"/>
        <v>-8.3814178802974624</v>
      </c>
      <c r="Q40" s="108">
        <f t="shared" si="18"/>
        <v>0.90361369437657924</v>
      </c>
      <c r="R40" s="308"/>
      <c r="S40" s="46">
        <v>0.27777777777777779</v>
      </c>
      <c r="T40" s="47">
        <v>0.34534722222222225</v>
      </c>
      <c r="U40" s="109">
        <v>5.5999999999999961</v>
      </c>
      <c r="V40" s="110">
        <v>97.309282215631569</v>
      </c>
      <c r="W40" s="111"/>
      <c r="X40" s="114"/>
      <c r="Y40" s="12"/>
      <c r="Z40" s="196"/>
      <c r="AA40" s="299"/>
      <c r="AB40" s="300"/>
      <c r="AC40" s="12"/>
      <c r="AD40" s="196"/>
      <c r="AE40" s="115">
        <f t="shared" si="19"/>
        <v>-192.77261124684151</v>
      </c>
      <c r="AF40" s="108">
        <f t="shared" si="20"/>
        <v>0.90361369437657924</v>
      </c>
      <c r="AG40" s="313"/>
    </row>
    <row r="41" spans="1:33" ht="15.75" customHeight="1">
      <c r="A41" s="316"/>
      <c r="B41" s="161" t="s">
        <v>171</v>
      </c>
      <c r="C41" s="297" t="s">
        <v>172</v>
      </c>
      <c r="D41" s="298"/>
      <c r="E41" s="99">
        <v>58.67</v>
      </c>
      <c r="F41" s="100">
        <v>4197</v>
      </c>
      <c r="G41" s="101">
        <f t="shared" si="21"/>
        <v>246237.99000000002</v>
      </c>
      <c r="H41" s="26"/>
      <c r="I41" s="102">
        <v>23</v>
      </c>
      <c r="J41" s="103">
        <v>2000</v>
      </c>
      <c r="K41" s="104">
        <f t="shared" si="1"/>
        <v>86.956521739130437</v>
      </c>
      <c r="L41" s="105">
        <v>23</v>
      </c>
      <c r="M41" s="103">
        <f>F41/V41*60</f>
        <v>1802.9093623021283</v>
      </c>
      <c r="N41" s="104">
        <f t="shared" si="15"/>
        <v>78.387363578353401</v>
      </c>
      <c r="O41" s="106">
        <f t="shared" si="16"/>
        <v>0</v>
      </c>
      <c r="P41" s="107">
        <f t="shared" si="17"/>
        <v>-8.569158160777036</v>
      </c>
      <c r="Q41" s="108">
        <f t="shared" si="18"/>
        <v>0.90145468115106409</v>
      </c>
      <c r="R41" s="308"/>
      <c r="S41" s="46">
        <v>0.34861111111111109</v>
      </c>
      <c r="T41" s="47">
        <v>0.44560185185185186</v>
      </c>
      <c r="U41" s="109">
        <v>4.6999999999999353</v>
      </c>
      <c r="V41" s="110">
        <v>139.67424279080339</v>
      </c>
      <c r="W41" s="111"/>
      <c r="X41" s="114"/>
      <c r="Y41" s="12"/>
      <c r="Z41" s="196"/>
      <c r="AA41" s="299"/>
      <c r="AB41" s="300"/>
      <c r="AC41" s="12"/>
      <c r="AD41" s="196"/>
      <c r="AE41" s="115">
        <f t="shared" si="19"/>
        <v>-197.09063769787167</v>
      </c>
      <c r="AF41" s="108">
        <f t="shared" si="20"/>
        <v>0.9014546811510642</v>
      </c>
      <c r="AG41" s="313"/>
    </row>
    <row r="42" spans="1:33" ht="15.75" customHeight="1">
      <c r="A42" s="316"/>
      <c r="B42" s="161" t="s">
        <v>171</v>
      </c>
      <c r="C42" s="297" t="s">
        <v>211</v>
      </c>
      <c r="D42" s="298"/>
      <c r="E42" s="99">
        <v>69.260000000000005</v>
      </c>
      <c r="F42" s="100">
        <v>836</v>
      </c>
      <c r="G42" s="101">
        <f t="shared" si="21"/>
        <v>57901.360000000008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>F42/V42*60</f>
        <v>1802.9151935597886</v>
      </c>
      <c r="N42" s="104">
        <f t="shared" si="15"/>
        <v>75.121466398324529</v>
      </c>
      <c r="O42" s="106">
        <f t="shared" si="16"/>
        <v>0</v>
      </c>
      <c r="P42" s="107">
        <f t="shared" si="17"/>
        <v>-8.2118669350087998</v>
      </c>
      <c r="Q42" s="108">
        <f t="shared" si="18"/>
        <v>0.90145759677989434</v>
      </c>
      <c r="R42" s="308"/>
      <c r="S42" s="46">
        <v>0.44930555555555551</v>
      </c>
      <c r="T42" s="47">
        <v>0.46862268518518513</v>
      </c>
      <c r="U42" s="109">
        <v>5.3333333333332611</v>
      </c>
      <c r="V42" s="110">
        <v>27.821608126204183</v>
      </c>
      <c r="W42" s="111">
        <v>0.46862268518518513</v>
      </c>
      <c r="X42" s="114">
        <v>0.50624999999999998</v>
      </c>
      <c r="Y42" s="12"/>
      <c r="Z42" s="196"/>
      <c r="AA42" s="299"/>
      <c r="AB42" s="300"/>
      <c r="AC42" s="12"/>
      <c r="AD42" s="196"/>
      <c r="AE42" s="115">
        <f t="shared" si="19"/>
        <v>-197.08480644021142</v>
      </c>
      <c r="AF42" s="108">
        <f t="shared" si="20"/>
        <v>0.90145759677989434</v>
      </c>
      <c r="AG42" s="313"/>
    </row>
    <row r="43" spans="1:33" ht="15.75" customHeight="1">
      <c r="A43" s="316"/>
      <c r="B43" s="161" t="s">
        <v>171</v>
      </c>
      <c r="C43" s="297" t="s">
        <v>206</v>
      </c>
      <c r="D43" s="298"/>
      <c r="E43" s="99">
        <v>63.92</v>
      </c>
      <c r="F43" s="100">
        <v>1552</v>
      </c>
      <c r="G43" s="101">
        <f t="shared" si="21"/>
        <v>99203.839999999997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>F43/V43*60</f>
        <v>1810.7054383674854</v>
      </c>
      <c r="N43" s="104">
        <f t="shared" si="15"/>
        <v>75.446059931978553</v>
      </c>
      <c r="O43" s="106">
        <f t="shared" si="16"/>
        <v>0</v>
      </c>
      <c r="P43" s="107">
        <f t="shared" si="17"/>
        <v>-7.8872734013547756</v>
      </c>
      <c r="Q43" s="108">
        <f t="shared" si="18"/>
        <v>0.90535271918374272</v>
      </c>
      <c r="R43" s="308"/>
      <c r="S43" s="46">
        <v>0.50624999999999998</v>
      </c>
      <c r="T43" s="47">
        <v>0.54195601851851849</v>
      </c>
      <c r="U43" s="109">
        <v>55</v>
      </c>
      <c r="V43" s="110">
        <v>51.427470215120195</v>
      </c>
      <c r="W43" s="111"/>
      <c r="X43" s="114"/>
      <c r="Y43" s="12"/>
      <c r="Z43" s="196"/>
      <c r="AA43" s="299"/>
      <c r="AB43" s="300"/>
      <c r="AC43" s="12"/>
      <c r="AD43" s="196"/>
      <c r="AE43" s="115">
        <f t="shared" si="19"/>
        <v>-189.29456163251461</v>
      </c>
      <c r="AF43" s="108">
        <f t="shared" si="20"/>
        <v>0.90535271918374272</v>
      </c>
      <c r="AG43" s="313"/>
    </row>
    <row r="44" spans="1:33" ht="15.75" customHeight="1">
      <c r="A44" s="316"/>
      <c r="B44" s="161"/>
      <c r="C44" s="297"/>
      <c r="D44" s="298"/>
      <c r="E44" s="99"/>
      <c r="F44" s="100"/>
      <c r="G44" s="119"/>
      <c r="H44" s="120"/>
      <c r="I44" s="102"/>
      <c r="J44" s="103"/>
      <c r="K44" s="104"/>
      <c r="L44" s="105"/>
      <c r="M44" s="103"/>
      <c r="N44" s="104"/>
      <c r="O44" s="106"/>
      <c r="P44" s="107"/>
      <c r="Q44" s="108"/>
      <c r="R44" s="308"/>
      <c r="S44" s="46"/>
      <c r="T44" s="118"/>
      <c r="U44" s="109"/>
      <c r="V44" s="110"/>
      <c r="W44" s="111"/>
      <c r="X44" s="114"/>
      <c r="Y44" s="12"/>
      <c r="Z44" s="196"/>
      <c r="AA44" s="299"/>
      <c r="AB44" s="300"/>
      <c r="AC44" s="12"/>
      <c r="AD44" s="196"/>
      <c r="AE44" s="115"/>
      <c r="AF44" s="108"/>
      <c r="AG44" s="313"/>
    </row>
    <row r="45" spans="1:33" ht="15.75" customHeight="1">
      <c r="A45" s="316"/>
      <c r="B45" s="161"/>
      <c r="C45" s="297"/>
      <c r="D45" s="298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8"/>
      <c r="S45" s="117"/>
      <c r="T45" s="118"/>
      <c r="U45" s="109"/>
      <c r="V45" s="110"/>
      <c r="W45" s="118"/>
      <c r="X45" s="187"/>
      <c r="Y45" s="12"/>
      <c r="Z45" s="196"/>
      <c r="AA45" s="299"/>
      <c r="AB45" s="300"/>
      <c r="AC45" s="12"/>
      <c r="AD45" s="196"/>
      <c r="AE45" s="115"/>
      <c r="AF45" s="108"/>
      <c r="AG45" s="313"/>
    </row>
    <row r="46" spans="1:33" ht="15.75" customHeight="1">
      <c r="A46" s="316"/>
      <c r="B46" s="161"/>
      <c r="C46" s="297"/>
      <c r="D46" s="298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8"/>
      <c r="S46" s="117"/>
      <c r="T46" s="118"/>
      <c r="U46" s="109"/>
      <c r="V46" s="110"/>
      <c r="W46" s="118"/>
      <c r="X46" s="187"/>
      <c r="Y46" s="12"/>
      <c r="Z46" s="196"/>
      <c r="AA46" s="299"/>
      <c r="AB46" s="300"/>
      <c r="AC46" s="12"/>
      <c r="AD46" s="196"/>
      <c r="AE46" s="115"/>
      <c r="AF46" s="108"/>
      <c r="AG46" s="313"/>
    </row>
    <row r="47" spans="1:33" ht="15.75" customHeight="1">
      <c r="A47" s="316"/>
      <c r="B47" s="161"/>
      <c r="C47" s="297"/>
      <c r="D47" s="298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8"/>
      <c r="S47" s="117"/>
      <c r="T47" s="118"/>
      <c r="U47" s="109"/>
      <c r="V47" s="110"/>
      <c r="W47" s="118"/>
      <c r="X47" s="187"/>
      <c r="Y47" s="12"/>
      <c r="Z47" s="196"/>
      <c r="AA47" s="299"/>
      <c r="AB47" s="300"/>
      <c r="AC47" s="12"/>
      <c r="AD47" s="196"/>
      <c r="AE47" s="115"/>
      <c r="AF47" s="108"/>
      <c r="AG47" s="313"/>
    </row>
    <row r="48" spans="1:33" ht="15.75" customHeight="1">
      <c r="A48" s="316"/>
      <c r="B48" s="161"/>
      <c r="C48" s="297"/>
      <c r="D48" s="298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8"/>
      <c r="S48" s="117"/>
      <c r="T48" s="118"/>
      <c r="U48" s="109"/>
      <c r="V48" s="110"/>
      <c r="W48" s="118"/>
      <c r="X48" s="187"/>
      <c r="Y48" s="12"/>
      <c r="Z48" s="196"/>
      <c r="AA48" s="299"/>
      <c r="AB48" s="300"/>
      <c r="AC48" s="12"/>
      <c r="AD48" s="196"/>
      <c r="AE48" s="115"/>
      <c r="AF48" s="108"/>
      <c r="AG48" s="313"/>
    </row>
    <row r="49" spans="1:33" ht="15.75" customHeight="1">
      <c r="A49" s="316"/>
      <c r="B49" s="161"/>
      <c r="C49" s="297"/>
      <c r="D49" s="298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8"/>
      <c r="S49" s="117"/>
      <c r="T49" s="118"/>
      <c r="U49" s="109"/>
      <c r="V49" s="110"/>
      <c r="W49" s="118"/>
      <c r="X49" s="187"/>
      <c r="Y49" s="12"/>
      <c r="Z49" s="196"/>
      <c r="AA49" s="299"/>
      <c r="AB49" s="300"/>
      <c r="AC49" s="12"/>
      <c r="AD49" s="196"/>
      <c r="AE49" s="115"/>
      <c r="AF49" s="108"/>
      <c r="AG49" s="313"/>
    </row>
    <row r="50" spans="1:33" ht="15.75" customHeight="1">
      <c r="A50" s="316"/>
      <c r="B50" s="161"/>
      <c r="C50" s="297"/>
      <c r="D50" s="298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8"/>
      <c r="S50" s="117"/>
      <c r="T50" s="118"/>
      <c r="U50" s="109"/>
      <c r="V50" s="110"/>
      <c r="W50" s="118"/>
      <c r="X50" s="187"/>
      <c r="Y50" s="12"/>
      <c r="Z50" s="196"/>
      <c r="AA50" s="299"/>
      <c r="AB50" s="300"/>
      <c r="AC50" s="12"/>
      <c r="AD50" s="196"/>
      <c r="AE50" s="115"/>
      <c r="AF50" s="108"/>
      <c r="AG50" s="313"/>
    </row>
    <row r="51" spans="1:33" ht="15.75" customHeight="1">
      <c r="A51" s="316"/>
      <c r="B51" s="161"/>
      <c r="C51" s="297"/>
      <c r="D51" s="298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8"/>
      <c r="S51" s="117"/>
      <c r="T51" s="118"/>
      <c r="U51" s="109"/>
      <c r="V51" s="110"/>
      <c r="W51" s="118"/>
      <c r="X51" s="187"/>
      <c r="Y51" s="12"/>
      <c r="Z51" s="196"/>
      <c r="AA51" s="299"/>
      <c r="AB51" s="300"/>
      <c r="AC51" s="12"/>
      <c r="AD51" s="196"/>
      <c r="AE51" s="115"/>
      <c r="AF51" s="108"/>
      <c r="AG51" s="313"/>
    </row>
    <row r="52" spans="1:33" ht="15.75" customHeight="1">
      <c r="A52" s="316"/>
      <c r="B52" s="161"/>
      <c r="C52" s="297"/>
      <c r="D52" s="298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8"/>
      <c r="S52" s="117"/>
      <c r="T52" s="118"/>
      <c r="U52" s="109"/>
      <c r="V52" s="110"/>
      <c r="W52" s="118"/>
      <c r="X52" s="187"/>
      <c r="Y52" s="12"/>
      <c r="Z52" s="196"/>
      <c r="AA52" s="299"/>
      <c r="AB52" s="300"/>
      <c r="AC52" s="12"/>
      <c r="AD52" s="196"/>
      <c r="AE52" s="115"/>
      <c r="AF52" s="108"/>
      <c r="AG52" s="313"/>
    </row>
    <row r="53" spans="1:33" ht="15.75" customHeight="1">
      <c r="A53" s="316"/>
      <c r="B53" s="161"/>
      <c r="C53" s="297"/>
      <c r="D53" s="298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8"/>
      <c r="S53" s="117"/>
      <c r="T53" s="118"/>
      <c r="U53" s="109"/>
      <c r="V53" s="110"/>
      <c r="W53" s="118"/>
      <c r="X53" s="187"/>
      <c r="Y53" s="12"/>
      <c r="Z53" s="196"/>
      <c r="AA53" s="299"/>
      <c r="AB53" s="300"/>
      <c r="AC53" s="12"/>
      <c r="AD53" s="196"/>
      <c r="AE53" s="115"/>
      <c r="AF53" s="108"/>
      <c r="AG53" s="313"/>
    </row>
    <row r="54" spans="1:33" ht="15.75" customHeight="1">
      <c r="A54" s="316"/>
      <c r="B54" s="161"/>
      <c r="C54" s="297"/>
      <c r="D54" s="298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8"/>
      <c r="S54" s="117"/>
      <c r="T54" s="118"/>
      <c r="U54" s="128"/>
      <c r="V54" s="129"/>
      <c r="W54" s="124"/>
      <c r="X54" s="125"/>
      <c r="Y54" s="12"/>
      <c r="Z54" s="196"/>
      <c r="AA54" s="299"/>
      <c r="AB54" s="300"/>
      <c r="AC54" s="12"/>
      <c r="AD54" s="196"/>
      <c r="AE54" s="163"/>
      <c r="AF54" s="123"/>
      <c r="AG54" s="313"/>
    </row>
    <row r="55" spans="1:33" ht="15.75" customHeight="1" thickBot="1">
      <c r="A55" s="317"/>
      <c r="B55" s="131" t="s">
        <v>115</v>
      </c>
      <c r="C55" s="294"/>
      <c r="D55" s="294"/>
      <c r="E55" s="132"/>
      <c r="F55" s="165"/>
      <c r="G55" s="133"/>
      <c r="H55" s="67"/>
      <c r="I55" s="134">
        <f t="shared" ref="I55:J55" si="22">AVERAGE(I39:I54)</f>
        <v>23.2</v>
      </c>
      <c r="J55" s="135">
        <f t="shared" si="22"/>
        <v>2000</v>
      </c>
      <c r="K55" s="136">
        <f t="shared" ref="K55" si="23">J55/I55</f>
        <v>86.206896551724142</v>
      </c>
      <c r="L55" s="134">
        <f t="shared" ref="L55:M55" si="24">AVERAGE(L39:L54)</f>
        <v>23.2</v>
      </c>
      <c r="M55" s="135">
        <f t="shared" si="24"/>
        <v>1806.2751951307921</v>
      </c>
      <c r="N55" s="136">
        <f t="shared" ref="N55:N60" si="25">M55/L55</f>
        <v>77.856689445292758</v>
      </c>
      <c r="O55" s="137">
        <f t="shared" ref="O55:O60" si="26">L55-I55</f>
        <v>0</v>
      </c>
      <c r="P55" s="138">
        <f t="shared" ref="P55:P60" si="27">N55-K55</f>
        <v>-8.3502071064313839</v>
      </c>
      <c r="Q55" s="139">
        <f t="shared" ref="Q55:Q60" si="28">N55/K55</f>
        <v>0.90313759756539591</v>
      </c>
      <c r="R55" s="309"/>
      <c r="S55" s="140">
        <v>0.20833333333333334</v>
      </c>
      <c r="T55" s="141">
        <v>0.54195601851851849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5"/>
      <c r="AB55" s="296"/>
      <c r="AC55" s="177">
        <f>SUM(AC39:AC54)</f>
        <v>0</v>
      </c>
      <c r="AD55" s="189">
        <f>SUM(AD39:AD54)</f>
        <v>0</v>
      </c>
      <c r="AE55" s="166">
        <f t="shared" ref="AE55:AE60" si="29">M55-J55</f>
        <v>-193.7248048692079</v>
      </c>
      <c r="AF55" s="139">
        <f t="shared" ref="AF55:AF60" si="30">M55/J55</f>
        <v>0.90313759756539602</v>
      </c>
      <c r="AG55" s="314"/>
    </row>
    <row r="56" spans="1:33" ht="15.75" customHeight="1">
      <c r="A56" s="301" t="s">
        <v>187</v>
      </c>
      <c r="B56" s="112" t="s">
        <v>194</v>
      </c>
      <c r="C56" s="385" t="s">
        <v>195</v>
      </c>
      <c r="D56" s="385"/>
      <c r="E56" s="145">
        <v>28.86</v>
      </c>
      <c r="F56" s="95">
        <v>1401</v>
      </c>
      <c r="G56" s="146">
        <f t="shared" ref="G56:G60" si="31">E56*F56</f>
        <v>40432.86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>F56/V56*60</f>
        <v>3193.9077202368771</v>
      </c>
      <c r="N56" s="150">
        <f t="shared" si="25"/>
        <v>177.43931779093762</v>
      </c>
      <c r="O56" s="152">
        <f t="shared" si="26"/>
        <v>0</v>
      </c>
      <c r="P56" s="153">
        <f t="shared" si="27"/>
        <v>-22.560682209062378</v>
      </c>
      <c r="Q56" s="154">
        <f t="shared" si="28"/>
        <v>0.88719658895468811</v>
      </c>
      <c r="R56" s="307">
        <f>Q72</f>
        <v>0.89638941527590932</v>
      </c>
      <c r="S56" s="155">
        <v>0.25</v>
      </c>
      <c r="T56" s="156">
        <v>0.26827546296296295</v>
      </c>
      <c r="U56" s="157"/>
      <c r="V56" s="158">
        <v>26.318856824631634</v>
      </c>
      <c r="W56" s="156"/>
      <c r="X56" s="167"/>
      <c r="Y56" s="12"/>
      <c r="Z56" s="196"/>
      <c r="AA56" s="310"/>
      <c r="AB56" s="311"/>
      <c r="AC56" s="12"/>
      <c r="AD56" s="196"/>
      <c r="AE56" s="113">
        <f t="shared" si="29"/>
        <v>-406.09227976312286</v>
      </c>
      <c r="AF56" s="154">
        <f t="shared" si="30"/>
        <v>0.88719658895468811</v>
      </c>
      <c r="AG56" s="312">
        <f>AF72</f>
        <v>0.89638941527590921</v>
      </c>
    </row>
    <row r="57" spans="1:33" ht="15.75" customHeight="1">
      <c r="A57" s="302"/>
      <c r="B57" s="98" t="s">
        <v>194</v>
      </c>
      <c r="C57" s="382" t="s">
        <v>210</v>
      </c>
      <c r="D57" s="382"/>
      <c r="E57" s="99">
        <v>36.729999999999997</v>
      </c>
      <c r="F57" s="100">
        <v>824</v>
      </c>
      <c r="G57" s="101">
        <f t="shared" si="31"/>
        <v>30265.519999999997</v>
      </c>
      <c r="H57" s="26"/>
      <c r="I57" s="102">
        <v>21</v>
      </c>
      <c r="J57" s="103">
        <v>3600</v>
      </c>
      <c r="K57" s="104">
        <f t="shared" ref="K57:K91" si="32">J57/I57</f>
        <v>171.42857142857142</v>
      </c>
      <c r="L57" s="105">
        <v>21</v>
      </c>
      <c r="M57" s="103">
        <f>F57/V57*60</f>
        <v>3193.445605345813</v>
      </c>
      <c r="N57" s="104">
        <f t="shared" si="25"/>
        <v>152.06883834980061</v>
      </c>
      <c r="O57" s="106">
        <f t="shared" si="26"/>
        <v>0</v>
      </c>
      <c r="P57" s="107">
        <f t="shared" si="27"/>
        <v>-19.359733078770802</v>
      </c>
      <c r="Q57" s="108">
        <f t="shared" si="28"/>
        <v>0.88706822370717031</v>
      </c>
      <c r="R57" s="308"/>
      <c r="S57" s="46">
        <v>0.27152777777777776</v>
      </c>
      <c r="T57" s="47">
        <v>0.28226851851851847</v>
      </c>
      <c r="U57" s="109">
        <v>4.6833333333333194</v>
      </c>
      <c r="V57" s="110">
        <v>15.481710387437841</v>
      </c>
      <c r="W57" s="111"/>
      <c r="X57" s="114"/>
      <c r="Y57" s="12"/>
      <c r="Z57" s="196"/>
      <c r="AA57" s="299"/>
      <c r="AB57" s="300"/>
      <c r="AC57" s="12"/>
      <c r="AD57" s="196"/>
      <c r="AE57" s="115">
        <f t="shared" si="29"/>
        <v>-406.55439465418704</v>
      </c>
      <c r="AF57" s="108">
        <f t="shared" si="30"/>
        <v>0.88706822370717031</v>
      </c>
      <c r="AG57" s="313"/>
    </row>
    <row r="58" spans="1:33" ht="15.75" customHeight="1">
      <c r="A58" s="302"/>
      <c r="B58" s="98" t="s">
        <v>194</v>
      </c>
      <c r="C58" s="382" t="s">
        <v>197</v>
      </c>
      <c r="D58" s="382"/>
      <c r="E58" s="99">
        <v>37.799999999999997</v>
      </c>
      <c r="F58" s="100">
        <v>3823</v>
      </c>
      <c r="G58" s="101">
        <f t="shared" si="31"/>
        <v>144509.4</v>
      </c>
      <c r="H58" s="26"/>
      <c r="I58" s="102">
        <v>20</v>
      </c>
      <c r="J58" s="103">
        <v>3600</v>
      </c>
      <c r="K58" s="104">
        <f t="shared" si="32"/>
        <v>180</v>
      </c>
      <c r="L58" s="105">
        <v>20</v>
      </c>
      <c r="M58" s="103">
        <f>F58/V58*60</f>
        <v>3272.2489188004156</v>
      </c>
      <c r="N58" s="104">
        <f t="shared" si="25"/>
        <v>163.61244594002079</v>
      </c>
      <c r="O58" s="106">
        <f t="shared" si="26"/>
        <v>0</v>
      </c>
      <c r="P58" s="107">
        <f t="shared" si="27"/>
        <v>-16.387554059979209</v>
      </c>
      <c r="Q58" s="108">
        <f t="shared" si="28"/>
        <v>0.90895803300011546</v>
      </c>
      <c r="R58" s="308"/>
      <c r="S58" s="46">
        <v>0.28541666666666665</v>
      </c>
      <c r="T58" s="47">
        <v>0.33408564814814812</v>
      </c>
      <c r="U58" s="109">
        <v>4.5333333333333758</v>
      </c>
      <c r="V58" s="110">
        <v>70.098579201025203</v>
      </c>
      <c r="W58" s="111"/>
      <c r="X58" s="114"/>
      <c r="Y58" s="12"/>
      <c r="Z58" s="196"/>
      <c r="AA58" s="299"/>
      <c r="AB58" s="300"/>
      <c r="AC58" s="12"/>
      <c r="AD58" s="196"/>
      <c r="AE58" s="115">
        <f t="shared" si="29"/>
        <v>-327.75108119958441</v>
      </c>
      <c r="AF58" s="108">
        <f t="shared" si="30"/>
        <v>0.90895803300011546</v>
      </c>
      <c r="AG58" s="313"/>
    </row>
    <row r="59" spans="1:33" ht="15.75" customHeight="1">
      <c r="A59" s="302"/>
      <c r="B59" s="98" t="s">
        <v>194</v>
      </c>
      <c r="C59" s="382" t="s">
        <v>196</v>
      </c>
      <c r="D59" s="382"/>
      <c r="E59" s="99">
        <v>38.479999999999997</v>
      </c>
      <c r="F59" s="100">
        <v>3110</v>
      </c>
      <c r="G59" s="101">
        <f t="shared" si="31"/>
        <v>119672.79999999999</v>
      </c>
      <c r="H59" s="26"/>
      <c r="I59" s="102">
        <v>19</v>
      </c>
      <c r="J59" s="103">
        <v>3600</v>
      </c>
      <c r="K59" s="104">
        <f t="shared" si="32"/>
        <v>189.47368421052633</v>
      </c>
      <c r="L59" s="105">
        <v>19</v>
      </c>
      <c r="M59" s="103">
        <f>F59/V59*60</f>
        <v>3265.1587272866986</v>
      </c>
      <c r="N59" s="104">
        <f t="shared" si="25"/>
        <v>171.85045933087886</v>
      </c>
      <c r="O59" s="106">
        <f t="shared" si="26"/>
        <v>0</v>
      </c>
      <c r="P59" s="107">
        <f t="shared" si="27"/>
        <v>-17.623224879647466</v>
      </c>
      <c r="Q59" s="108">
        <f t="shared" si="28"/>
        <v>0.90698853535741619</v>
      </c>
      <c r="R59" s="308"/>
      <c r="S59" s="46">
        <v>0.33819444444444441</v>
      </c>
      <c r="T59" s="47">
        <v>0.37787037037037036</v>
      </c>
      <c r="U59" s="109">
        <v>5.916666666666659</v>
      </c>
      <c r="V59" s="110">
        <v>57.148829684939088</v>
      </c>
      <c r="W59" s="111"/>
      <c r="X59" s="114"/>
      <c r="Y59" s="12"/>
      <c r="Z59" s="196"/>
      <c r="AA59" s="299"/>
      <c r="AB59" s="300"/>
      <c r="AC59" s="12"/>
      <c r="AD59" s="196"/>
      <c r="AE59" s="197">
        <f t="shared" si="29"/>
        <v>-334.84127271330135</v>
      </c>
      <c r="AF59" s="198">
        <f t="shared" si="30"/>
        <v>0.9069885353574163</v>
      </c>
      <c r="AG59" s="313"/>
    </row>
    <row r="60" spans="1:33" ht="15.75" customHeight="1">
      <c r="A60" s="303"/>
      <c r="B60" s="98" t="s">
        <v>166</v>
      </c>
      <c r="C60" s="382" t="s">
        <v>223</v>
      </c>
      <c r="D60" s="382"/>
      <c r="E60" s="99">
        <v>29.87</v>
      </c>
      <c r="F60" s="103">
        <v>5395</v>
      </c>
      <c r="G60" s="101">
        <f t="shared" si="31"/>
        <v>161148.65</v>
      </c>
      <c r="H60" s="13"/>
      <c r="I60" s="102">
        <v>21</v>
      </c>
      <c r="J60" s="103">
        <v>2790</v>
      </c>
      <c r="K60" s="104">
        <f t="shared" si="32"/>
        <v>132.85714285714286</v>
      </c>
      <c r="L60" s="105">
        <v>21</v>
      </c>
      <c r="M60" s="103">
        <f>F60/V60*60</f>
        <v>2484.1730769230767</v>
      </c>
      <c r="N60" s="104">
        <f t="shared" si="25"/>
        <v>118.29395604395603</v>
      </c>
      <c r="O60" s="106">
        <f t="shared" si="26"/>
        <v>0</v>
      </c>
      <c r="P60" s="107">
        <f t="shared" si="27"/>
        <v>-14.563186813186832</v>
      </c>
      <c r="Q60" s="108">
        <f t="shared" si="28"/>
        <v>0.89038461538461522</v>
      </c>
      <c r="R60" s="308"/>
      <c r="S60" s="46">
        <v>0.38124999999999998</v>
      </c>
      <c r="T60" s="47">
        <v>0.47173611111111108</v>
      </c>
      <c r="U60" s="109">
        <v>4.8666666666666547</v>
      </c>
      <c r="V60" s="110">
        <v>130.30493044427413</v>
      </c>
      <c r="W60" s="111"/>
      <c r="X60" s="114"/>
      <c r="Y60" s="12"/>
      <c r="Z60" s="196"/>
      <c r="AA60" s="299"/>
      <c r="AB60" s="300"/>
      <c r="AC60" s="12"/>
      <c r="AD60" s="196"/>
      <c r="AE60" s="197">
        <f t="shared" si="29"/>
        <v>-305.82692307692332</v>
      </c>
      <c r="AF60" s="198">
        <f t="shared" si="30"/>
        <v>0.89038461538461533</v>
      </c>
      <c r="AG60" s="313"/>
    </row>
    <row r="61" spans="1:33" ht="15.75" customHeight="1">
      <c r="A61" s="303"/>
      <c r="B61" s="98"/>
      <c r="C61" s="382"/>
      <c r="D61" s="382"/>
      <c r="E61" s="99"/>
      <c r="F61" s="103"/>
      <c r="G61" s="119"/>
      <c r="H61" s="120"/>
      <c r="I61" s="102"/>
      <c r="J61" s="103"/>
      <c r="K61" s="104"/>
      <c r="L61" s="105"/>
      <c r="M61" s="103"/>
      <c r="N61" s="104"/>
      <c r="O61" s="106"/>
      <c r="P61" s="107"/>
      <c r="Q61" s="108"/>
      <c r="R61" s="308"/>
      <c r="S61" s="46"/>
      <c r="T61" s="118"/>
      <c r="U61" s="109"/>
      <c r="V61" s="110"/>
      <c r="W61" s="111"/>
      <c r="X61" s="114"/>
      <c r="Y61" s="12"/>
      <c r="Z61" s="196"/>
      <c r="AA61" s="299"/>
      <c r="AB61" s="300"/>
      <c r="AC61" s="12"/>
      <c r="AD61" s="196"/>
      <c r="AE61" s="197"/>
      <c r="AF61" s="198"/>
      <c r="AG61" s="313"/>
    </row>
    <row r="62" spans="1:33" ht="15.75" customHeight="1">
      <c r="A62" s="303"/>
      <c r="B62" s="98"/>
      <c r="C62" s="382"/>
      <c r="D62" s="382"/>
      <c r="E62" s="99"/>
      <c r="F62" s="103"/>
      <c r="G62" s="119"/>
      <c r="H62" s="60"/>
      <c r="I62" s="102"/>
      <c r="J62" s="103"/>
      <c r="K62" s="104"/>
      <c r="L62" s="105"/>
      <c r="M62" s="103"/>
      <c r="N62" s="104"/>
      <c r="O62" s="121"/>
      <c r="P62" s="122"/>
      <c r="Q62" s="123"/>
      <c r="R62" s="308"/>
      <c r="S62" s="46"/>
      <c r="T62" s="118"/>
      <c r="U62" s="109"/>
      <c r="V62" s="110"/>
      <c r="W62" s="111"/>
      <c r="X62" s="114"/>
      <c r="Y62" s="12"/>
      <c r="Z62" s="196"/>
      <c r="AA62" s="299"/>
      <c r="AB62" s="300"/>
      <c r="AC62" s="12"/>
      <c r="AD62" s="196"/>
      <c r="AE62" s="197"/>
      <c r="AF62" s="198"/>
      <c r="AG62" s="313"/>
    </row>
    <row r="63" spans="1:33" ht="15.75" customHeight="1">
      <c r="A63" s="303"/>
      <c r="B63" s="98"/>
      <c r="C63" s="382"/>
      <c r="D63" s="382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8"/>
      <c r="S63" s="46"/>
      <c r="T63" s="118"/>
      <c r="U63" s="109"/>
      <c r="V63" s="110"/>
      <c r="W63" s="111"/>
      <c r="X63" s="114"/>
      <c r="Y63" s="12"/>
      <c r="Z63" s="196"/>
      <c r="AA63" s="299"/>
      <c r="AB63" s="300"/>
      <c r="AC63" s="12"/>
      <c r="AD63" s="196"/>
      <c r="AE63" s="197"/>
      <c r="AF63" s="198"/>
      <c r="AG63" s="313"/>
    </row>
    <row r="64" spans="1:33" ht="15.75" customHeight="1">
      <c r="A64" s="303"/>
      <c r="B64" s="98"/>
      <c r="C64" s="382"/>
      <c r="D64" s="382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8"/>
      <c r="S64" s="46"/>
      <c r="T64" s="118"/>
      <c r="U64" s="109"/>
      <c r="V64" s="110"/>
      <c r="W64" s="111"/>
      <c r="X64" s="114"/>
      <c r="Y64" s="12"/>
      <c r="Z64" s="196"/>
      <c r="AA64" s="299"/>
      <c r="AB64" s="300"/>
      <c r="AC64" s="12"/>
      <c r="AD64" s="196"/>
      <c r="AE64" s="197"/>
      <c r="AF64" s="198"/>
      <c r="AG64" s="313"/>
    </row>
    <row r="65" spans="1:33" ht="15.75" customHeight="1">
      <c r="A65" s="303"/>
      <c r="B65" s="98"/>
      <c r="C65" s="382"/>
      <c r="D65" s="382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8"/>
      <c r="S65" s="46"/>
      <c r="T65" s="118"/>
      <c r="U65" s="109"/>
      <c r="V65" s="110"/>
      <c r="W65" s="111"/>
      <c r="X65" s="114"/>
      <c r="Y65" s="12"/>
      <c r="Z65" s="196"/>
      <c r="AA65" s="299"/>
      <c r="AB65" s="300"/>
      <c r="AC65" s="12"/>
      <c r="AD65" s="196"/>
      <c r="AE65" s="197"/>
      <c r="AF65" s="198"/>
      <c r="AG65" s="313"/>
    </row>
    <row r="66" spans="1:33" ht="15.75" customHeight="1">
      <c r="A66" s="303"/>
      <c r="B66" s="98"/>
      <c r="C66" s="382"/>
      <c r="D66" s="382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8"/>
      <c r="S66" s="46"/>
      <c r="T66" s="118"/>
      <c r="U66" s="109"/>
      <c r="V66" s="110"/>
      <c r="W66" s="111"/>
      <c r="X66" s="114"/>
      <c r="Y66" s="12"/>
      <c r="Z66" s="196"/>
      <c r="AA66" s="299"/>
      <c r="AB66" s="300"/>
      <c r="AC66" s="12"/>
      <c r="AD66" s="196"/>
      <c r="AE66" s="197"/>
      <c r="AF66" s="198"/>
      <c r="AG66" s="313"/>
    </row>
    <row r="67" spans="1:33" ht="15.75" customHeight="1">
      <c r="A67" s="303"/>
      <c r="B67" s="98"/>
      <c r="C67" s="382"/>
      <c r="D67" s="382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8"/>
      <c r="S67" s="46"/>
      <c r="T67" s="118"/>
      <c r="U67" s="109"/>
      <c r="V67" s="110"/>
      <c r="W67" s="111"/>
      <c r="X67" s="114"/>
      <c r="Y67" s="12"/>
      <c r="Z67" s="196"/>
      <c r="AA67" s="299"/>
      <c r="AB67" s="300"/>
      <c r="AC67" s="12"/>
      <c r="AD67" s="196"/>
      <c r="AE67" s="197"/>
      <c r="AF67" s="198"/>
      <c r="AG67" s="313"/>
    </row>
    <row r="68" spans="1:33" ht="15.75" customHeight="1">
      <c r="A68" s="303"/>
      <c r="B68" s="98"/>
      <c r="C68" s="382"/>
      <c r="D68" s="382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8"/>
      <c r="S68" s="46"/>
      <c r="T68" s="118"/>
      <c r="U68" s="109"/>
      <c r="V68" s="110"/>
      <c r="W68" s="111"/>
      <c r="X68" s="114"/>
      <c r="Y68" s="12"/>
      <c r="Z68" s="196"/>
      <c r="AA68" s="299"/>
      <c r="AB68" s="300"/>
      <c r="AC68" s="12"/>
      <c r="AD68" s="196"/>
      <c r="AE68" s="197"/>
      <c r="AF68" s="198"/>
      <c r="AG68" s="313"/>
    </row>
    <row r="69" spans="1:33" ht="15.75" customHeight="1">
      <c r="A69" s="303"/>
      <c r="B69" s="98"/>
      <c r="C69" s="382"/>
      <c r="D69" s="382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8"/>
      <c r="S69" s="46"/>
      <c r="T69" s="118"/>
      <c r="U69" s="109"/>
      <c r="V69" s="110"/>
      <c r="W69" s="111"/>
      <c r="X69" s="114"/>
      <c r="Y69" s="12"/>
      <c r="Z69" s="196"/>
      <c r="AA69" s="299"/>
      <c r="AB69" s="300"/>
      <c r="AC69" s="12"/>
      <c r="AD69" s="196"/>
      <c r="AE69" s="197"/>
      <c r="AF69" s="198"/>
      <c r="AG69" s="313"/>
    </row>
    <row r="70" spans="1:33" ht="15.75" customHeight="1">
      <c r="A70" s="303"/>
      <c r="B70" s="98"/>
      <c r="C70" s="382"/>
      <c r="D70" s="382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8"/>
      <c r="S70" s="46"/>
      <c r="T70" s="118"/>
      <c r="U70" s="109"/>
      <c r="V70" s="110"/>
      <c r="W70" s="111"/>
      <c r="X70" s="114"/>
      <c r="Y70" s="12"/>
      <c r="Z70" s="196"/>
      <c r="AA70" s="299"/>
      <c r="AB70" s="300"/>
      <c r="AC70" s="12"/>
      <c r="AD70" s="196"/>
      <c r="AE70" s="197"/>
      <c r="AF70" s="198"/>
      <c r="AG70" s="313"/>
    </row>
    <row r="71" spans="1:33" ht="15.75" customHeight="1">
      <c r="A71" s="303"/>
      <c r="B71" s="98"/>
      <c r="C71" s="382"/>
      <c r="D71" s="382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8"/>
      <c r="S71" s="117"/>
      <c r="T71" s="118"/>
      <c r="U71" s="128"/>
      <c r="V71" s="129"/>
      <c r="W71" s="124"/>
      <c r="X71" s="125"/>
      <c r="Y71" s="12"/>
      <c r="Z71" s="196"/>
      <c r="AA71" s="299"/>
      <c r="AB71" s="300"/>
      <c r="AC71" s="12"/>
      <c r="AD71" s="196"/>
      <c r="AE71" s="163"/>
      <c r="AF71" s="123"/>
      <c r="AG71" s="313"/>
    </row>
    <row r="72" spans="1:33" ht="15.75" customHeight="1" thickBot="1">
      <c r="A72" s="304"/>
      <c r="B72" s="131" t="s">
        <v>115</v>
      </c>
      <c r="C72" s="294"/>
      <c r="D72" s="294"/>
      <c r="E72" s="132"/>
      <c r="F72" s="165"/>
      <c r="G72" s="133"/>
      <c r="H72" s="67"/>
      <c r="I72" s="134">
        <f t="shared" ref="I72:J72" si="33">AVERAGE(I56:I71)</f>
        <v>19.8</v>
      </c>
      <c r="J72" s="135">
        <f t="shared" si="33"/>
        <v>3438</v>
      </c>
      <c r="K72" s="136">
        <f t="shared" ref="K72:K75" si="34">J72/I72</f>
        <v>173.63636363636363</v>
      </c>
      <c r="L72" s="134">
        <f t="shared" ref="L72:M72" si="35">AVERAGE(L56:L71)</f>
        <v>19.8</v>
      </c>
      <c r="M72" s="135">
        <f t="shared" si="35"/>
        <v>3081.786809718576</v>
      </c>
      <c r="N72" s="136">
        <f>M72/L72</f>
        <v>155.64579847063516</v>
      </c>
      <c r="O72" s="137">
        <f>L72-I72</f>
        <v>0</v>
      </c>
      <c r="P72" s="138">
        <f>N72-K72</f>
        <v>-17.990565165728469</v>
      </c>
      <c r="Q72" s="139">
        <f>N72/K72</f>
        <v>0.89638941527590932</v>
      </c>
      <c r="R72" s="309"/>
      <c r="S72" s="140">
        <v>0.25</v>
      </c>
      <c r="T72" s="141">
        <v>0.47173611111111108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5"/>
      <c r="AB72" s="296"/>
      <c r="AC72" s="177">
        <f>SUM(AC56:AC71)</f>
        <v>0</v>
      </c>
      <c r="AD72" s="189">
        <f>SUM(AD56:AD71)</f>
        <v>0</v>
      </c>
      <c r="AE72" s="166">
        <f>M72-J72</f>
        <v>-356.21319028142398</v>
      </c>
      <c r="AF72" s="139">
        <f>M72/J72</f>
        <v>0.89638941527590921</v>
      </c>
      <c r="AG72" s="314"/>
    </row>
    <row r="73" spans="1:33" ht="15.75" customHeight="1">
      <c r="A73" s="315" t="s">
        <v>116</v>
      </c>
      <c r="B73" s="98" t="s">
        <v>188</v>
      </c>
      <c r="C73" s="297" t="s">
        <v>222</v>
      </c>
      <c r="D73" s="298"/>
      <c r="E73" s="99">
        <v>22.83</v>
      </c>
      <c r="F73" s="100">
        <v>1881</v>
      </c>
      <c r="G73" s="119">
        <f t="shared" ref="G73:G75" si="36">E73*F73</f>
        <v>42943.229999999996</v>
      </c>
      <c r="H73" s="60"/>
      <c r="I73" s="102">
        <v>6</v>
      </c>
      <c r="J73" s="103">
        <v>2500</v>
      </c>
      <c r="K73" s="104">
        <f t="shared" si="34"/>
        <v>416.66666666666669</v>
      </c>
      <c r="L73" s="105">
        <v>6</v>
      </c>
      <c r="M73" s="103">
        <f>F73/V73*60</f>
        <v>2263.7506740308681</v>
      </c>
      <c r="N73" s="104">
        <f>M73/L73</f>
        <v>377.29177900514469</v>
      </c>
      <c r="O73" s="121">
        <f>L73-I73</f>
        <v>0</v>
      </c>
      <c r="P73" s="122">
        <f>N73-K73</f>
        <v>-39.374887661521996</v>
      </c>
      <c r="Q73" s="123">
        <f>N73/K73</f>
        <v>0.9055002696123472</v>
      </c>
      <c r="R73" s="307">
        <f>Q89</f>
        <v>0.9055217259956595</v>
      </c>
      <c r="S73" s="46">
        <v>0.38749999999999996</v>
      </c>
      <c r="T73" s="118">
        <v>0.42211805555555548</v>
      </c>
      <c r="U73" s="109">
        <v>5.8666666666666512</v>
      </c>
      <c r="V73" s="110">
        <v>49.8553137033593</v>
      </c>
      <c r="W73" s="111"/>
      <c r="X73" s="160"/>
      <c r="Y73" s="12"/>
      <c r="Z73" s="196"/>
      <c r="AA73" s="310"/>
      <c r="AB73" s="311"/>
      <c r="AC73" s="12"/>
      <c r="AD73" s="196"/>
      <c r="AE73" s="113">
        <f>M73-J73</f>
        <v>-236.24932596913186</v>
      </c>
      <c r="AF73" s="154">
        <f>M73/J73</f>
        <v>0.90550026961234731</v>
      </c>
      <c r="AG73" s="312">
        <f>AF89</f>
        <v>0.90552172599565939</v>
      </c>
    </row>
    <row r="74" spans="1:33" ht="15.75" customHeight="1">
      <c r="A74" s="316"/>
      <c r="B74" s="98" t="s">
        <v>188</v>
      </c>
      <c r="C74" s="297" t="s">
        <v>214</v>
      </c>
      <c r="D74" s="298"/>
      <c r="E74" s="99">
        <v>23.19</v>
      </c>
      <c r="F74" s="100">
        <v>916</v>
      </c>
      <c r="G74" s="119">
        <f t="shared" si="36"/>
        <v>21242.04</v>
      </c>
      <c r="H74" s="60"/>
      <c r="I74" s="102">
        <v>6</v>
      </c>
      <c r="J74" s="103">
        <v>2500</v>
      </c>
      <c r="K74" s="104">
        <f t="shared" si="34"/>
        <v>416.66666666666669</v>
      </c>
      <c r="L74" s="116">
        <v>6</v>
      </c>
      <c r="M74" s="103">
        <f>F74/V74*60</f>
        <v>2266.088525943926</v>
      </c>
      <c r="N74" s="104">
        <f>M74/L74</f>
        <v>377.68142099065432</v>
      </c>
      <c r="O74" s="121">
        <f>L74-I74</f>
        <v>0</v>
      </c>
      <c r="P74" s="122">
        <f>N74-K74</f>
        <v>-38.985245676012369</v>
      </c>
      <c r="Q74" s="123">
        <f>N74/K74</f>
        <v>0.90643541037757036</v>
      </c>
      <c r="R74" s="308"/>
      <c r="S74" s="46">
        <v>0.42569444444444438</v>
      </c>
      <c r="T74" s="118">
        <v>0.44253472222222218</v>
      </c>
      <c r="U74" s="109">
        <v>5.1500000000000057</v>
      </c>
      <c r="V74" s="110">
        <v>24.253244906708456</v>
      </c>
      <c r="W74" s="111"/>
      <c r="X74" s="114"/>
      <c r="Y74" s="12"/>
      <c r="Z74" s="196"/>
      <c r="AA74" s="299"/>
      <c r="AB74" s="300"/>
      <c r="AC74" s="12"/>
      <c r="AD74" s="196"/>
      <c r="AE74" s="115">
        <f>M74-J74</f>
        <v>-233.91147405607398</v>
      </c>
      <c r="AF74" s="108">
        <f>M74/J74</f>
        <v>0.90643541037757036</v>
      </c>
      <c r="AG74" s="313"/>
    </row>
    <row r="75" spans="1:33" ht="15.75" customHeight="1">
      <c r="A75" s="316"/>
      <c r="B75" s="98" t="s">
        <v>188</v>
      </c>
      <c r="C75" s="297" t="s">
        <v>215</v>
      </c>
      <c r="D75" s="298"/>
      <c r="E75" s="99">
        <v>35.89</v>
      </c>
      <c r="F75" s="100">
        <v>2292</v>
      </c>
      <c r="G75" s="119">
        <f t="shared" si="36"/>
        <v>82259.88</v>
      </c>
      <c r="H75" s="60"/>
      <c r="I75" s="102">
        <v>5</v>
      </c>
      <c r="J75" s="103">
        <v>3273</v>
      </c>
      <c r="K75" s="104">
        <f t="shared" si="34"/>
        <v>654.6</v>
      </c>
      <c r="L75" s="116">
        <v>5</v>
      </c>
      <c r="M75" s="103">
        <f>F75/V75*60</f>
        <v>2961.5420391872963</v>
      </c>
      <c r="N75" s="104">
        <f>M75/L75</f>
        <v>592.3084078374593</v>
      </c>
      <c r="O75" s="121">
        <f>L75-I75</f>
        <v>0</v>
      </c>
      <c r="P75" s="122">
        <f>N75-K75</f>
        <v>-62.291592162540724</v>
      </c>
      <c r="Q75" s="123">
        <f>N75/K75</f>
        <v>0.90484021973336282</v>
      </c>
      <c r="R75" s="308"/>
      <c r="S75" s="46">
        <v>0.44583333333333325</v>
      </c>
      <c r="T75" s="118">
        <v>0.47807870370370364</v>
      </c>
      <c r="U75" s="109">
        <v>4.7499999999999432</v>
      </c>
      <c r="V75" s="110">
        <v>46.435268579789643</v>
      </c>
      <c r="W75" s="111"/>
      <c r="X75" s="114"/>
      <c r="Y75" s="12"/>
      <c r="Z75" s="196"/>
      <c r="AA75" s="299"/>
      <c r="AB75" s="300"/>
      <c r="AC75" s="12"/>
      <c r="AD75" s="196"/>
      <c r="AE75" s="115">
        <f>M75-J75</f>
        <v>-311.45796081270373</v>
      </c>
      <c r="AF75" s="108">
        <f>M75/J75</f>
        <v>0.90484021973336271</v>
      </c>
      <c r="AG75" s="313"/>
    </row>
    <row r="76" spans="1:33" ht="15.75" customHeight="1">
      <c r="A76" s="316"/>
      <c r="B76" s="98"/>
      <c r="C76" s="297"/>
      <c r="D76" s="298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8"/>
      <c r="S76" s="46"/>
      <c r="T76" s="47"/>
      <c r="U76" s="109"/>
      <c r="V76" s="110"/>
      <c r="W76" s="111"/>
      <c r="X76" s="114"/>
      <c r="Y76" s="12"/>
      <c r="Z76" s="196"/>
      <c r="AA76" s="299"/>
      <c r="AB76" s="300"/>
      <c r="AC76" s="12"/>
      <c r="AD76" s="196"/>
      <c r="AE76" s="115"/>
      <c r="AF76" s="108"/>
      <c r="AG76" s="313"/>
    </row>
    <row r="77" spans="1:33" ht="15.75" customHeight="1">
      <c r="A77" s="316"/>
      <c r="B77" s="98"/>
      <c r="C77" s="297"/>
      <c r="D77" s="298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8"/>
      <c r="S77" s="46"/>
      <c r="T77" s="47"/>
      <c r="U77" s="109"/>
      <c r="V77" s="110"/>
      <c r="W77" s="111"/>
      <c r="X77" s="114"/>
      <c r="Y77" s="12"/>
      <c r="Z77" s="196"/>
      <c r="AA77" s="299"/>
      <c r="AB77" s="300"/>
      <c r="AC77" s="12"/>
      <c r="AD77" s="196"/>
      <c r="AE77" s="115"/>
      <c r="AF77" s="108"/>
      <c r="AG77" s="313"/>
    </row>
    <row r="78" spans="1:33" ht="15.75" customHeight="1">
      <c r="A78" s="316"/>
      <c r="B78" s="98"/>
      <c r="C78" s="297"/>
      <c r="D78" s="298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8"/>
      <c r="S78" s="46"/>
      <c r="T78" s="118"/>
      <c r="U78" s="109"/>
      <c r="V78" s="110"/>
      <c r="W78" s="111"/>
      <c r="X78" s="114"/>
      <c r="Y78" s="12"/>
      <c r="Z78" s="196"/>
      <c r="AA78" s="299"/>
      <c r="AB78" s="300"/>
      <c r="AC78" s="12"/>
      <c r="AD78" s="196"/>
      <c r="AE78" s="115"/>
      <c r="AF78" s="108"/>
      <c r="AG78" s="313"/>
    </row>
    <row r="79" spans="1:33" ht="15.75" customHeight="1">
      <c r="A79" s="316"/>
      <c r="B79" s="98"/>
      <c r="C79" s="297"/>
      <c r="D79" s="298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8"/>
      <c r="S79" s="46"/>
      <c r="T79" s="118"/>
      <c r="U79" s="109"/>
      <c r="V79" s="110"/>
      <c r="W79" s="111"/>
      <c r="X79" s="114"/>
      <c r="Y79" s="12"/>
      <c r="Z79" s="196"/>
      <c r="AA79" s="299"/>
      <c r="AB79" s="300"/>
      <c r="AC79" s="12"/>
      <c r="AD79" s="196"/>
      <c r="AE79" s="115"/>
      <c r="AF79" s="108"/>
      <c r="AG79" s="313"/>
    </row>
    <row r="80" spans="1:33" ht="15.75" customHeight="1">
      <c r="A80" s="316"/>
      <c r="B80" s="98"/>
      <c r="C80" s="297"/>
      <c r="D80" s="298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8"/>
      <c r="S80" s="46"/>
      <c r="T80" s="118"/>
      <c r="U80" s="109"/>
      <c r="V80" s="110"/>
      <c r="W80" s="111"/>
      <c r="X80" s="114"/>
      <c r="Y80" s="12"/>
      <c r="Z80" s="196"/>
      <c r="AA80" s="299"/>
      <c r="AB80" s="300"/>
      <c r="AC80" s="12"/>
      <c r="AD80" s="196"/>
      <c r="AE80" s="115"/>
      <c r="AF80" s="108"/>
      <c r="AG80" s="313"/>
    </row>
    <row r="81" spans="1:33" ht="15.75" customHeight="1">
      <c r="A81" s="316"/>
      <c r="B81" s="98"/>
      <c r="C81" s="297"/>
      <c r="D81" s="298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8"/>
      <c r="S81" s="46"/>
      <c r="T81" s="118"/>
      <c r="U81" s="109"/>
      <c r="V81" s="110"/>
      <c r="W81" s="111"/>
      <c r="X81" s="125"/>
      <c r="Y81" s="12"/>
      <c r="Z81" s="196"/>
      <c r="AA81" s="299"/>
      <c r="AB81" s="300"/>
      <c r="AC81" s="12"/>
      <c r="AD81" s="196"/>
      <c r="AE81" s="115"/>
      <c r="AF81" s="108"/>
      <c r="AG81" s="313"/>
    </row>
    <row r="82" spans="1:33" ht="15.75" customHeight="1">
      <c r="A82" s="316"/>
      <c r="B82" s="98"/>
      <c r="C82" s="297"/>
      <c r="D82" s="298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8"/>
      <c r="S82" s="46"/>
      <c r="T82" s="118"/>
      <c r="U82" s="109"/>
      <c r="V82" s="110"/>
      <c r="W82" s="111"/>
      <c r="X82" s="125"/>
      <c r="Y82" s="12"/>
      <c r="Z82" s="196"/>
      <c r="AA82" s="299"/>
      <c r="AB82" s="300"/>
      <c r="AC82" s="12"/>
      <c r="AD82" s="196"/>
      <c r="AE82" s="115"/>
      <c r="AF82" s="108"/>
      <c r="AG82" s="313"/>
    </row>
    <row r="83" spans="1:33" ht="15.75" customHeight="1">
      <c r="A83" s="316"/>
      <c r="B83" s="98"/>
      <c r="C83" s="297"/>
      <c r="D83" s="298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8"/>
      <c r="S83" s="46"/>
      <c r="T83" s="118"/>
      <c r="U83" s="109"/>
      <c r="V83" s="110"/>
      <c r="W83" s="111"/>
      <c r="X83" s="125"/>
      <c r="Y83" s="12"/>
      <c r="Z83" s="196"/>
      <c r="AA83" s="299"/>
      <c r="AB83" s="300"/>
      <c r="AC83" s="12"/>
      <c r="AD83" s="196"/>
      <c r="AE83" s="115"/>
      <c r="AF83" s="108"/>
      <c r="AG83" s="313"/>
    </row>
    <row r="84" spans="1:33" ht="15.75" customHeight="1">
      <c r="A84" s="316"/>
      <c r="B84" s="98"/>
      <c r="C84" s="297"/>
      <c r="D84" s="298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8"/>
      <c r="S84" s="46"/>
      <c r="T84" s="118"/>
      <c r="U84" s="109"/>
      <c r="V84" s="110"/>
      <c r="W84" s="111"/>
      <c r="X84" s="125"/>
      <c r="Y84" s="12"/>
      <c r="Z84" s="196"/>
      <c r="AA84" s="299"/>
      <c r="AB84" s="300"/>
      <c r="AC84" s="12"/>
      <c r="AD84" s="196"/>
      <c r="AE84" s="115"/>
      <c r="AF84" s="108"/>
      <c r="AG84" s="313"/>
    </row>
    <row r="85" spans="1:33" ht="15.75" customHeight="1">
      <c r="A85" s="316"/>
      <c r="B85" s="98"/>
      <c r="C85" s="297"/>
      <c r="D85" s="298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8"/>
      <c r="S85" s="46"/>
      <c r="T85" s="118"/>
      <c r="U85" s="109"/>
      <c r="V85" s="110"/>
      <c r="W85" s="111"/>
      <c r="X85" s="125"/>
      <c r="Y85" s="12"/>
      <c r="Z85" s="196"/>
      <c r="AA85" s="299"/>
      <c r="AB85" s="300"/>
      <c r="AC85" s="12"/>
      <c r="AD85" s="196"/>
      <c r="AE85" s="115"/>
      <c r="AF85" s="108"/>
      <c r="AG85" s="313"/>
    </row>
    <row r="86" spans="1:33" ht="15.75" customHeight="1">
      <c r="A86" s="316"/>
      <c r="B86" s="98"/>
      <c r="C86" s="297"/>
      <c r="D86" s="298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8"/>
      <c r="S86" s="46"/>
      <c r="T86" s="118"/>
      <c r="U86" s="109"/>
      <c r="V86" s="110"/>
      <c r="W86" s="111"/>
      <c r="X86" s="125"/>
      <c r="Y86" s="12"/>
      <c r="Z86" s="196"/>
      <c r="AA86" s="299"/>
      <c r="AB86" s="300"/>
      <c r="AC86" s="12"/>
      <c r="AD86" s="196"/>
      <c r="AE86" s="115"/>
      <c r="AF86" s="108"/>
      <c r="AG86" s="313"/>
    </row>
    <row r="87" spans="1:33" ht="15.75" customHeight="1">
      <c r="A87" s="316"/>
      <c r="B87" s="98"/>
      <c r="C87" s="297"/>
      <c r="D87" s="298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8"/>
      <c r="S87" s="46"/>
      <c r="T87" s="118"/>
      <c r="U87" s="109"/>
      <c r="V87" s="110"/>
      <c r="W87" s="111"/>
      <c r="X87" s="125"/>
      <c r="Y87" s="12"/>
      <c r="Z87" s="196"/>
      <c r="AA87" s="299"/>
      <c r="AB87" s="300"/>
      <c r="AC87" s="12"/>
      <c r="AD87" s="196"/>
      <c r="AE87" s="115"/>
      <c r="AF87" s="108"/>
      <c r="AG87" s="313"/>
    </row>
    <row r="88" spans="1:33" ht="15.75" customHeight="1">
      <c r="A88" s="316"/>
      <c r="B88" s="161"/>
      <c r="C88" s="297"/>
      <c r="D88" s="298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8"/>
      <c r="S88" s="117"/>
      <c r="T88" s="118"/>
      <c r="U88" s="128"/>
      <c r="V88" s="129"/>
      <c r="W88" s="124"/>
      <c r="X88" s="125"/>
      <c r="Y88" s="12"/>
      <c r="Z88" s="196"/>
      <c r="AA88" s="299"/>
      <c r="AB88" s="300"/>
      <c r="AC88" s="12"/>
      <c r="AD88" s="196"/>
      <c r="AE88" s="163"/>
      <c r="AF88" s="123"/>
      <c r="AG88" s="313"/>
    </row>
    <row r="89" spans="1:33" ht="15.75" customHeight="1" thickBot="1">
      <c r="A89" s="317"/>
      <c r="B89" s="131" t="s">
        <v>115</v>
      </c>
      <c r="C89" s="294"/>
      <c r="D89" s="294"/>
      <c r="E89" s="132"/>
      <c r="F89" s="165"/>
      <c r="G89" s="133"/>
      <c r="H89" s="67"/>
      <c r="I89" s="134">
        <f t="shared" ref="I89:J89" si="37">AVERAGE(I73:I88)</f>
        <v>5.666666666666667</v>
      </c>
      <c r="J89" s="135">
        <f t="shared" si="37"/>
        <v>2757.6666666666665</v>
      </c>
      <c r="K89" s="136">
        <f t="shared" ref="K89" si="38">J89/I89</f>
        <v>486.64705882352933</v>
      </c>
      <c r="L89" s="134">
        <f t="shared" ref="L89:M89" si="39">AVERAGE(L73:L88)</f>
        <v>5.666666666666667</v>
      </c>
      <c r="M89" s="135">
        <f t="shared" si="39"/>
        <v>2497.1270797206967</v>
      </c>
      <c r="N89" s="136">
        <f>M89/L89</f>
        <v>440.66948465659351</v>
      </c>
      <c r="O89" s="137">
        <f>L89-I89</f>
        <v>0</v>
      </c>
      <c r="P89" s="138">
        <f>N89-K89</f>
        <v>-45.977574166935824</v>
      </c>
      <c r="Q89" s="139">
        <f>N89/K89</f>
        <v>0.9055217259956595</v>
      </c>
      <c r="R89" s="309"/>
      <c r="S89" s="140">
        <v>0.25</v>
      </c>
      <c r="T89" s="141">
        <v>0.47807870370370364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5"/>
      <c r="AB89" s="296"/>
      <c r="AC89" s="177">
        <f>SUM(AC73:AC88)</f>
        <v>0</v>
      </c>
      <c r="AD89" s="189">
        <f>SUM(AD73:AD88)</f>
        <v>0</v>
      </c>
      <c r="AE89" s="166">
        <f>M89-J89</f>
        <v>-260.53958694596986</v>
      </c>
      <c r="AF89" s="139">
        <f>M89/J89</f>
        <v>0.90552172599565939</v>
      </c>
      <c r="AG89" s="314"/>
    </row>
    <row r="90" spans="1:33" ht="15.75" customHeight="1">
      <c r="A90" s="301" t="s">
        <v>120</v>
      </c>
      <c r="B90" s="112" t="s">
        <v>188</v>
      </c>
      <c r="C90" s="305" t="s">
        <v>201</v>
      </c>
      <c r="D90" s="306"/>
      <c r="E90" s="145">
        <v>15.51</v>
      </c>
      <c r="F90" s="95">
        <v>2476</v>
      </c>
      <c r="G90" s="146">
        <f t="shared" ref="G90:G91" si="40">E90*F90</f>
        <v>38402.76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3801.2298834130502</v>
      </c>
      <c r="N90" s="150">
        <f>M90/L90</f>
        <v>633.53831390217499</v>
      </c>
      <c r="O90" s="152">
        <f>L90-I90</f>
        <v>0</v>
      </c>
      <c r="P90" s="153">
        <f>N90-K90</f>
        <v>-66.461686097825009</v>
      </c>
      <c r="Q90" s="154">
        <f>N90/K90</f>
        <v>0.90505473414596427</v>
      </c>
      <c r="R90" s="307">
        <f>Q106</f>
        <v>0.90503040185190242</v>
      </c>
      <c r="S90" s="155">
        <v>0.25</v>
      </c>
      <c r="T90" s="156">
        <v>0.27712962962962961</v>
      </c>
      <c r="U90" s="157"/>
      <c r="V90" s="158">
        <v>39.082087786443182</v>
      </c>
      <c r="W90" s="156"/>
      <c r="X90" s="167"/>
      <c r="Y90" s="12"/>
      <c r="Z90" s="196"/>
      <c r="AA90" s="310"/>
      <c r="AB90" s="311"/>
      <c r="AC90" s="12"/>
      <c r="AD90" s="196"/>
      <c r="AE90" s="113">
        <f>M90-J90</f>
        <v>-398.77011658694983</v>
      </c>
      <c r="AF90" s="154">
        <f>M90/J90</f>
        <v>0.90505473414596438</v>
      </c>
      <c r="AG90" s="312">
        <f>AF106</f>
        <v>0.90503040185190242</v>
      </c>
    </row>
    <row r="91" spans="1:33" ht="15.75" customHeight="1">
      <c r="A91" s="302"/>
      <c r="B91" s="98" t="s">
        <v>188</v>
      </c>
      <c r="C91" s="297" t="s">
        <v>202</v>
      </c>
      <c r="D91" s="298"/>
      <c r="E91" s="99">
        <v>15.01</v>
      </c>
      <c r="F91" s="100">
        <v>2550</v>
      </c>
      <c r="G91" s="101">
        <f t="shared" si="40"/>
        <v>38275.5</v>
      </c>
      <c r="H91" s="26"/>
      <c r="I91" s="102">
        <v>6</v>
      </c>
      <c r="J91" s="103">
        <v>4200</v>
      </c>
      <c r="K91" s="104">
        <f t="shared" si="32"/>
        <v>700</v>
      </c>
      <c r="L91" s="105">
        <v>6</v>
      </c>
      <c r="M91" s="103">
        <f>F91/V91*60</f>
        <v>3801.0254921429305</v>
      </c>
      <c r="N91" s="104">
        <f>M91/L91</f>
        <v>633.50424869048845</v>
      </c>
      <c r="O91" s="106">
        <f>L91-I91</f>
        <v>0</v>
      </c>
      <c r="P91" s="107">
        <f>N91-K91</f>
        <v>-66.495751309511547</v>
      </c>
      <c r="Q91" s="108">
        <f>N91/K91</f>
        <v>0.90500606955784069</v>
      </c>
      <c r="R91" s="308"/>
      <c r="S91" s="46">
        <v>0.28055555555555556</v>
      </c>
      <c r="T91" s="47">
        <v>0.30850694444444443</v>
      </c>
      <c r="U91" s="109">
        <v>4.9333333333333584</v>
      </c>
      <c r="V91" s="110">
        <v>40.252295154627369</v>
      </c>
      <c r="W91" s="111"/>
      <c r="X91" s="13"/>
      <c r="Y91" s="12"/>
      <c r="Z91" s="196"/>
      <c r="AA91" s="299"/>
      <c r="AB91" s="300"/>
      <c r="AC91" s="12"/>
      <c r="AD91" s="196"/>
      <c r="AE91" s="115">
        <f>M91-J91</f>
        <v>-398.97450785706951</v>
      </c>
      <c r="AF91" s="108">
        <f>M91/J91</f>
        <v>0.90500606955784058</v>
      </c>
      <c r="AG91" s="313"/>
    </row>
    <row r="92" spans="1:33" ht="15.75" customHeight="1">
      <c r="A92" s="302"/>
      <c r="B92" s="98"/>
      <c r="C92" s="297"/>
      <c r="D92" s="298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8"/>
      <c r="S92" s="46"/>
      <c r="T92" s="47"/>
      <c r="U92" s="109"/>
      <c r="V92" s="110"/>
      <c r="W92" s="111"/>
      <c r="X92" s="13"/>
      <c r="Y92" s="12"/>
      <c r="Z92" s="196"/>
      <c r="AA92" s="299"/>
      <c r="AB92" s="300"/>
      <c r="AC92" s="12"/>
      <c r="AD92" s="196"/>
      <c r="AE92" s="115"/>
      <c r="AF92" s="108"/>
      <c r="AG92" s="313"/>
    </row>
    <row r="93" spans="1:33" ht="15.75" customHeight="1">
      <c r="A93" s="302"/>
      <c r="B93" s="98"/>
      <c r="C93" s="297"/>
      <c r="D93" s="298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8"/>
      <c r="S93" s="46"/>
      <c r="T93" s="47"/>
      <c r="U93" s="109"/>
      <c r="V93" s="110"/>
      <c r="W93" s="111"/>
      <c r="X93" s="114"/>
      <c r="Y93" s="12"/>
      <c r="Z93" s="196"/>
      <c r="AA93" s="299"/>
      <c r="AB93" s="300"/>
      <c r="AC93" s="12"/>
      <c r="AD93" s="196"/>
      <c r="AE93" s="115"/>
      <c r="AF93" s="108"/>
      <c r="AG93" s="313"/>
    </row>
    <row r="94" spans="1:33" ht="15.75" customHeight="1">
      <c r="A94" s="303"/>
      <c r="B94" s="98"/>
      <c r="C94" s="297"/>
      <c r="D94" s="298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8"/>
      <c r="S94" s="46"/>
      <c r="T94" s="47"/>
      <c r="U94" s="109"/>
      <c r="V94" s="110"/>
      <c r="W94" s="111"/>
      <c r="X94" s="13"/>
      <c r="Y94" s="12"/>
      <c r="Z94" s="196"/>
      <c r="AA94" s="299"/>
      <c r="AB94" s="300"/>
      <c r="AC94" s="12"/>
      <c r="AD94" s="196"/>
      <c r="AE94" s="115"/>
      <c r="AF94" s="108"/>
      <c r="AG94" s="313"/>
    </row>
    <row r="95" spans="1:33" ht="15.75" customHeight="1">
      <c r="A95" s="303"/>
      <c r="B95" s="98"/>
      <c r="C95" s="297"/>
      <c r="D95" s="298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8"/>
      <c r="S95" s="46"/>
      <c r="T95" s="118"/>
      <c r="U95" s="109"/>
      <c r="V95" s="110"/>
      <c r="W95" s="111"/>
      <c r="X95" s="49"/>
      <c r="Y95" s="12"/>
      <c r="Z95" s="196"/>
      <c r="AA95" s="299"/>
      <c r="AB95" s="300"/>
      <c r="AC95" s="12"/>
      <c r="AD95" s="196"/>
      <c r="AE95" s="115"/>
      <c r="AF95" s="108"/>
      <c r="AG95" s="313"/>
    </row>
    <row r="96" spans="1:33" ht="15.75" customHeight="1">
      <c r="A96" s="303"/>
      <c r="B96" s="98"/>
      <c r="C96" s="297"/>
      <c r="D96" s="298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8"/>
      <c r="S96" s="46"/>
      <c r="T96" s="118"/>
      <c r="U96" s="109"/>
      <c r="V96" s="110"/>
      <c r="W96" s="111"/>
      <c r="X96" s="114"/>
      <c r="Y96" s="12"/>
      <c r="Z96" s="196"/>
      <c r="AA96" s="299"/>
      <c r="AB96" s="300"/>
      <c r="AC96" s="12"/>
      <c r="AD96" s="196"/>
      <c r="AE96" s="115"/>
      <c r="AF96" s="108"/>
      <c r="AG96" s="313"/>
    </row>
    <row r="97" spans="1:33" ht="15.75" customHeight="1">
      <c r="A97" s="303"/>
      <c r="B97" s="98"/>
      <c r="C97" s="297"/>
      <c r="D97" s="298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8"/>
      <c r="S97" s="46"/>
      <c r="T97" s="118"/>
      <c r="U97" s="109"/>
      <c r="V97" s="110"/>
      <c r="W97" s="111"/>
      <c r="X97" s="114"/>
      <c r="Y97" s="12"/>
      <c r="Z97" s="196"/>
      <c r="AA97" s="299"/>
      <c r="AB97" s="300"/>
      <c r="AC97" s="12"/>
      <c r="AD97" s="196"/>
      <c r="AE97" s="115"/>
      <c r="AF97" s="108"/>
      <c r="AG97" s="313"/>
    </row>
    <row r="98" spans="1:33" ht="15.75" customHeight="1">
      <c r="A98" s="303"/>
      <c r="B98" s="98"/>
      <c r="C98" s="297"/>
      <c r="D98" s="298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8"/>
      <c r="S98" s="117"/>
      <c r="T98" s="118"/>
      <c r="U98" s="109"/>
      <c r="V98" s="129"/>
      <c r="W98" s="111"/>
      <c r="X98" s="114"/>
      <c r="Y98" s="12"/>
      <c r="Z98" s="196"/>
      <c r="AA98" s="299"/>
      <c r="AB98" s="300"/>
      <c r="AC98" s="12"/>
      <c r="AD98" s="196"/>
      <c r="AE98" s="115"/>
      <c r="AF98" s="108"/>
      <c r="AG98" s="313"/>
    </row>
    <row r="99" spans="1:33" ht="15.75" customHeight="1">
      <c r="A99" s="303"/>
      <c r="B99" s="98"/>
      <c r="C99" s="297"/>
      <c r="D99" s="298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8"/>
      <c r="S99" s="117"/>
      <c r="T99" s="118"/>
      <c r="U99" s="109"/>
      <c r="V99" s="129"/>
      <c r="W99" s="124"/>
      <c r="X99" s="125"/>
      <c r="Y99" s="12"/>
      <c r="Z99" s="196"/>
      <c r="AA99" s="299"/>
      <c r="AB99" s="300"/>
      <c r="AC99" s="12"/>
      <c r="AD99" s="196"/>
      <c r="AE99" s="115"/>
      <c r="AF99" s="108"/>
      <c r="AG99" s="313"/>
    </row>
    <row r="100" spans="1:33" ht="15.75" customHeight="1">
      <c r="A100" s="303"/>
      <c r="B100" s="98"/>
      <c r="C100" s="297"/>
      <c r="D100" s="298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8"/>
      <c r="S100" s="117"/>
      <c r="T100" s="118"/>
      <c r="U100" s="109"/>
      <c r="V100" s="129"/>
      <c r="W100" s="124"/>
      <c r="X100" s="125"/>
      <c r="Y100" s="12"/>
      <c r="Z100" s="196"/>
      <c r="AA100" s="299"/>
      <c r="AB100" s="300"/>
      <c r="AC100" s="12"/>
      <c r="AD100" s="196"/>
      <c r="AE100" s="115"/>
      <c r="AF100" s="108"/>
      <c r="AG100" s="313"/>
    </row>
    <row r="101" spans="1:33" ht="15.75" customHeight="1">
      <c r="A101" s="303"/>
      <c r="B101" s="98"/>
      <c r="C101" s="297"/>
      <c r="D101" s="298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8"/>
      <c r="S101" s="117"/>
      <c r="T101" s="118"/>
      <c r="U101" s="109"/>
      <c r="V101" s="129"/>
      <c r="W101" s="124"/>
      <c r="X101" s="125"/>
      <c r="Y101" s="12"/>
      <c r="Z101" s="196"/>
      <c r="AA101" s="299"/>
      <c r="AB101" s="300"/>
      <c r="AC101" s="12"/>
      <c r="AD101" s="196"/>
      <c r="AE101" s="115"/>
      <c r="AF101" s="108"/>
      <c r="AG101" s="313"/>
    </row>
    <row r="102" spans="1:33" ht="15.75" customHeight="1">
      <c r="A102" s="303"/>
      <c r="B102" s="98"/>
      <c r="C102" s="297"/>
      <c r="D102" s="298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8"/>
      <c r="S102" s="117"/>
      <c r="T102" s="118"/>
      <c r="U102" s="109"/>
      <c r="V102" s="129"/>
      <c r="W102" s="124"/>
      <c r="X102" s="125"/>
      <c r="Y102" s="12"/>
      <c r="Z102" s="196"/>
      <c r="AA102" s="299"/>
      <c r="AB102" s="300"/>
      <c r="AC102" s="12"/>
      <c r="AD102" s="196"/>
      <c r="AE102" s="115"/>
      <c r="AF102" s="108"/>
      <c r="AG102" s="313"/>
    </row>
    <row r="103" spans="1:33" ht="15.75" customHeight="1">
      <c r="A103" s="303"/>
      <c r="B103" s="98"/>
      <c r="C103" s="297"/>
      <c r="D103" s="298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8"/>
      <c r="S103" s="117"/>
      <c r="T103" s="118"/>
      <c r="U103" s="109"/>
      <c r="V103" s="129"/>
      <c r="W103" s="124"/>
      <c r="X103" s="125"/>
      <c r="Y103" s="12"/>
      <c r="Z103" s="196"/>
      <c r="AA103" s="299"/>
      <c r="AB103" s="300"/>
      <c r="AC103" s="12"/>
      <c r="AD103" s="196"/>
      <c r="AE103" s="115"/>
      <c r="AF103" s="108"/>
      <c r="AG103" s="313"/>
    </row>
    <row r="104" spans="1:33" ht="15.75" customHeight="1">
      <c r="A104" s="303"/>
      <c r="B104" s="98"/>
      <c r="C104" s="297"/>
      <c r="D104" s="298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8"/>
      <c r="S104" s="117"/>
      <c r="T104" s="118"/>
      <c r="U104" s="109"/>
      <c r="V104" s="129"/>
      <c r="W104" s="124"/>
      <c r="X104" s="125"/>
      <c r="Y104" s="12"/>
      <c r="Z104" s="196"/>
      <c r="AA104" s="299"/>
      <c r="AB104" s="300"/>
      <c r="AC104" s="12"/>
      <c r="AD104" s="196"/>
      <c r="AE104" s="115"/>
      <c r="AF104" s="108"/>
      <c r="AG104" s="313"/>
    </row>
    <row r="105" spans="1:33" ht="15.75" customHeight="1">
      <c r="A105" s="303"/>
      <c r="B105" s="98"/>
      <c r="C105" s="297"/>
      <c r="D105" s="298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8"/>
      <c r="S105" s="117"/>
      <c r="T105" s="118"/>
      <c r="U105" s="128"/>
      <c r="V105" s="129"/>
      <c r="W105" s="124"/>
      <c r="X105" s="125"/>
      <c r="Y105" s="12"/>
      <c r="Z105" s="196"/>
      <c r="AA105" s="299"/>
      <c r="AB105" s="300"/>
      <c r="AC105" s="12"/>
      <c r="AD105" s="196"/>
      <c r="AE105" s="163"/>
      <c r="AF105" s="123"/>
      <c r="AG105" s="313"/>
    </row>
    <row r="106" spans="1:33" ht="15.75" customHeight="1" thickBot="1">
      <c r="A106" s="304"/>
      <c r="B106" s="131" t="s">
        <v>115</v>
      </c>
      <c r="C106" s="294"/>
      <c r="D106" s="294"/>
      <c r="E106" s="132"/>
      <c r="F106" s="165"/>
      <c r="G106" s="133"/>
      <c r="H106" s="67"/>
      <c r="I106" s="134">
        <f t="shared" ref="I106:J106" si="41">AVERAGE(I90:I105)</f>
        <v>6</v>
      </c>
      <c r="J106" s="135">
        <f t="shared" si="41"/>
        <v>4200</v>
      </c>
      <c r="K106" s="136">
        <f t="shared" ref="K106" si="42">J106/I106</f>
        <v>700</v>
      </c>
      <c r="L106" s="134">
        <f t="shared" ref="L106:M106" si="43">AVERAGE(L90:L105)</f>
        <v>6</v>
      </c>
      <c r="M106" s="135">
        <f t="shared" si="43"/>
        <v>3801.1276877779901</v>
      </c>
      <c r="N106" s="136">
        <f>M106/L106</f>
        <v>633.52128129633172</v>
      </c>
      <c r="O106" s="137">
        <f>L106-I106</f>
        <v>0</v>
      </c>
      <c r="P106" s="138">
        <f>N106-K106</f>
        <v>-66.478718703668278</v>
      </c>
      <c r="Q106" s="139">
        <f>N106/K106</f>
        <v>0.90503040185190242</v>
      </c>
      <c r="R106" s="309"/>
      <c r="S106" s="140">
        <v>0.25</v>
      </c>
      <c r="T106" s="141">
        <v>0.30850694444444443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5"/>
      <c r="AB106" s="296"/>
      <c r="AC106" s="177">
        <f>SUM(AC90:AC105)</f>
        <v>0</v>
      </c>
      <c r="AD106" s="189">
        <f>SUM(AD90:AD105)</f>
        <v>0</v>
      </c>
      <c r="AE106" s="166">
        <f>M106-J106</f>
        <v>-398.8723122220099</v>
      </c>
      <c r="AF106" s="139">
        <f>M106/J106</f>
        <v>0.90503040185190242</v>
      </c>
      <c r="AG106" s="314"/>
    </row>
    <row r="107" spans="1:33" ht="15.75" customHeight="1">
      <c r="A107" s="315" t="s">
        <v>189</v>
      </c>
      <c r="B107" s="144" t="s">
        <v>169</v>
      </c>
      <c r="C107" s="305" t="s">
        <v>198</v>
      </c>
      <c r="D107" s="306"/>
      <c r="E107" s="145">
        <v>58.17</v>
      </c>
      <c r="F107" s="95">
        <v>1633</v>
      </c>
      <c r="G107" s="146">
        <f t="shared" ref="G107:G109" si="44">E107*F107</f>
        <v>94991.61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</v>
      </c>
      <c r="N107" s="150">
        <f>M107/L107</f>
        <v>106.23529411764706</v>
      </c>
      <c r="O107" s="152">
        <f>L107-I107</f>
        <v>-1</v>
      </c>
      <c r="P107" s="153">
        <f>N107-K107</f>
        <v>-4.8758169934640563</v>
      </c>
      <c r="Q107" s="154">
        <f>N107/K107</f>
        <v>0.95611764705882352</v>
      </c>
      <c r="R107" s="307">
        <f>Q123</f>
        <v>0.95144523809523796</v>
      </c>
      <c r="S107" s="155">
        <v>0.70833333333333337</v>
      </c>
      <c r="T107" s="156">
        <v>0.74600694444444449</v>
      </c>
      <c r="U107" s="157"/>
      <c r="V107" s="158">
        <v>54.252491694352159</v>
      </c>
      <c r="W107" s="156"/>
      <c r="X107" s="167"/>
      <c r="Y107" s="194"/>
      <c r="Z107" s="195"/>
      <c r="AA107" s="310"/>
      <c r="AB107" s="311"/>
      <c r="AC107" s="194"/>
      <c r="AD107" s="195"/>
      <c r="AE107" s="113">
        <f>M107-J107</f>
        <v>-194</v>
      </c>
      <c r="AF107" s="154">
        <f>M107/J107</f>
        <v>0.90300000000000002</v>
      </c>
      <c r="AG107" s="312">
        <f>AF123</f>
        <v>0.90306666666666657</v>
      </c>
    </row>
    <row r="108" spans="1:33" ht="15.75" customHeight="1">
      <c r="A108" s="316"/>
      <c r="B108" s="161" t="s">
        <v>169</v>
      </c>
      <c r="C108" s="297" t="s">
        <v>190</v>
      </c>
      <c r="D108" s="298"/>
      <c r="E108" s="99">
        <v>50.67</v>
      </c>
      <c r="F108" s="100">
        <v>1939</v>
      </c>
      <c r="G108" s="101">
        <f t="shared" si="44"/>
        <v>98249.13</v>
      </c>
      <c r="H108" s="26"/>
      <c r="I108" s="102">
        <v>20</v>
      </c>
      <c r="J108" s="103">
        <v>2000</v>
      </c>
      <c r="K108" s="104">
        <f t="shared" ref="K108:K109" si="45">J108/I108</f>
        <v>100</v>
      </c>
      <c r="L108" s="105">
        <v>19</v>
      </c>
      <c r="M108" s="103">
        <f>F108/V108*60</f>
        <v>1805.4</v>
      </c>
      <c r="N108" s="104">
        <f>M108/L108</f>
        <v>95.021052631578954</v>
      </c>
      <c r="O108" s="106">
        <f>L108-I108</f>
        <v>-1</v>
      </c>
      <c r="P108" s="107">
        <f>N108-K108</f>
        <v>-4.9789473684210463</v>
      </c>
      <c r="Q108" s="108">
        <f>N108/K108</f>
        <v>0.95021052631578951</v>
      </c>
      <c r="R108" s="308"/>
      <c r="S108" s="46">
        <v>0.74930555555555556</v>
      </c>
      <c r="T108" s="47">
        <v>0.79405092592592597</v>
      </c>
      <c r="U108" s="109">
        <v>4.7499999999999432</v>
      </c>
      <c r="V108" s="110">
        <v>64.440013293452964</v>
      </c>
      <c r="W108" s="111"/>
      <c r="X108" s="114"/>
      <c r="Y108" s="12"/>
      <c r="Z108" s="196"/>
      <c r="AA108" s="299"/>
      <c r="AB108" s="300"/>
      <c r="AC108" s="12"/>
      <c r="AD108" s="196"/>
      <c r="AE108" s="115">
        <f>M108-J108</f>
        <v>-194.59999999999991</v>
      </c>
      <c r="AF108" s="108">
        <f>M108/J108</f>
        <v>0.90270000000000006</v>
      </c>
      <c r="AG108" s="313"/>
    </row>
    <row r="109" spans="1:33" ht="15.75" customHeight="1">
      <c r="A109" s="316"/>
      <c r="B109" s="161" t="s">
        <v>169</v>
      </c>
      <c r="C109" s="297" t="s">
        <v>205</v>
      </c>
      <c r="D109" s="298"/>
      <c r="E109" s="99">
        <v>57.3</v>
      </c>
      <c r="F109" s="100">
        <v>1306</v>
      </c>
      <c r="G109" s="101">
        <f t="shared" si="44"/>
        <v>74833.8</v>
      </c>
      <c r="H109" s="26"/>
      <c r="I109" s="102">
        <v>21</v>
      </c>
      <c r="J109" s="103">
        <v>2000</v>
      </c>
      <c r="K109" s="104">
        <f t="shared" si="45"/>
        <v>95.238095238095241</v>
      </c>
      <c r="L109" s="105">
        <v>20</v>
      </c>
      <c r="M109" s="103">
        <f>F109/V109*60</f>
        <v>1807</v>
      </c>
      <c r="N109" s="104">
        <f>M109/L109</f>
        <v>90.35</v>
      </c>
      <c r="O109" s="106">
        <f>L109-I109</f>
        <v>-1</v>
      </c>
      <c r="P109" s="107">
        <f>N109-K109</f>
        <v>-4.8880952380952465</v>
      </c>
      <c r="Q109" s="108">
        <f>N109/K109</f>
        <v>0.94867499999999993</v>
      </c>
      <c r="R109" s="308"/>
      <c r="S109" s="46">
        <v>0.79722222222222217</v>
      </c>
      <c r="T109" s="47">
        <v>0.82732638888888888</v>
      </c>
      <c r="U109" s="109">
        <v>4.5666666666665279</v>
      </c>
      <c r="V109" s="110">
        <v>43.36469286109574</v>
      </c>
      <c r="W109" s="111"/>
      <c r="X109" s="114"/>
      <c r="Y109" s="12"/>
      <c r="Z109" s="196"/>
      <c r="AA109" s="299"/>
      <c r="AB109" s="300"/>
      <c r="AC109" s="12"/>
      <c r="AD109" s="196"/>
      <c r="AE109" s="115">
        <f>M109-J109</f>
        <v>-193</v>
      </c>
      <c r="AF109" s="108">
        <f>M109/J109</f>
        <v>0.90349999999999997</v>
      </c>
      <c r="AG109" s="313"/>
    </row>
    <row r="110" spans="1:33" ht="15.75" customHeight="1">
      <c r="A110" s="316"/>
      <c r="B110" s="161"/>
      <c r="C110" s="297"/>
      <c r="D110" s="298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8"/>
      <c r="S110" s="46"/>
      <c r="T110" s="47"/>
      <c r="U110" s="109"/>
      <c r="V110" s="110"/>
      <c r="W110" s="111"/>
      <c r="X110" s="114"/>
      <c r="Y110" s="12"/>
      <c r="Z110" s="196"/>
      <c r="AA110" s="299"/>
      <c r="AB110" s="300"/>
      <c r="AC110" s="12"/>
      <c r="AD110" s="196"/>
      <c r="AE110" s="115"/>
      <c r="AF110" s="108"/>
      <c r="AG110" s="313"/>
    </row>
    <row r="111" spans="1:33" ht="15.75" customHeight="1">
      <c r="A111" s="316"/>
      <c r="B111" s="161"/>
      <c r="C111" s="297"/>
      <c r="D111" s="298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8"/>
      <c r="S111" s="46"/>
      <c r="T111" s="47"/>
      <c r="U111" s="109"/>
      <c r="V111" s="110"/>
      <c r="W111" s="111"/>
      <c r="X111" s="114"/>
      <c r="Y111" s="12"/>
      <c r="Z111" s="196"/>
      <c r="AA111" s="299"/>
      <c r="AB111" s="300"/>
      <c r="AC111" s="12"/>
      <c r="AD111" s="196"/>
      <c r="AE111" s="115"/>
      <c r="AF111" s="108"/>
      <c r="AG111" s="313"/>
    </row>
    <row r="112" spans="1:33" ht="15.75" customHeight="1">
      <c r="A112" s="316"/>
      <c r="B112" s="161"/>
      <c r="C112" s="297"/>
      <c r="D112" s="298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8"/>
      <c r="S112" s="46"/>
      <c r="T112" s="118"/>
      <c r="U112" s="109"/>
      <c r="V112" s="110"/>
      <c r="W112" s="111"/>
      <c r="X112" s="114"/>
      <c r="Y112" s="12"/>
      <c r="Z112" s="196"/>
      <c r="AA112" s="299"/>
      <c r="AB112" s="300"/>
      <c r="AC112" s="12"/>
      <c r="AD112" s="196"/>
      <c r="AE112" s="115"/>
      <c r="AF112" s="108"/>
      <c r="AG112" s="313"/>
    </row>
    <row r="113" spans="1:33" ht="15.75" customHeight="1">
      <c r="A113" s="316"/>
      <c r="B113" s="161"/>
      <c r="C113" s="297"/>
      <c r="D113" s="298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8"/>
      <c r="S113" s="117"/>
      <c r="T113" s="118"/>
      <c r="U113" s="109"/>
      <c r="V113" s="110"/>
      <c r="W113" s="118"/>
      <c r="X113" s="187"/>
      <c r="Y113" s="12"/>
      <c r="Z113" s="196"/>
      <c r="AA113" s="299"/>
      <c r="AB113" s="300"/>
      <c r="AC113" s="12"/>
      <c r="AD113" s="196"/>
      <c r="AE113" s="115"/>
      <c r="AF113" s="108"/>
      <c r="AG113" s="313"/>
    </row>
    <row r="114" spans="1:33" ht="15.75" customHeight="1">
      <c r="A114" s="316"/>
      <c r="B114" s="161"/>
      <c r="C114" s="297"/>
      <c r="D114" s="298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8"/>
      <c r="S114" s="117"/>
      <c r="T114" s="118"/>
      <c r="U114" s="109"/>
      <c r="V114" s="110"/>
      <c r="W114" s="118"/>
      <c r="X114" s="187"/>
      <c r="Y114" s="12"/>
      <c r="Z114" s="196"/>
      <c r="AA114" s="299"/>
      <c r="AB114" s="300"/>
      <c r="AC114" s="12"/>
      <c r="AD114" s="196"/>
      <c r="AE114" s="115"/>
      <c r="AF114" s="108"/>
      <c r="AG114" s="313"/>
    </row>
    <row r="115" spans="1:33" ht="15.75" customHeight="1">
      <c r="A115" s="316"/>
      <c r="B115" s="161"/>
      <c r="C115" s="297"/>
      <c r="D115" s="298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8"/>
      <c r="S115" s="117"/>
      <c r="T115" s="118"/>
      <c r="U115" s="109"/>
      <c r="V115" s="110"/>
      <c r="W115" s="118"/>
      <c r="X115" s="187"/>
      <c r="Y115" s="12"/>
      <c r="Z115" s="196"/>
      <c r="AA115" s="299"/>
      <c r="AB115" s="300"/>
      <c r="AC115" s="12"/>
      <c r="AD115" s="196"/>
      <c r="AE115" s="115"/>
      <c r="AF115" s="108"/>
      <c r="AG115" s="313"/>
    </row>
    <row r="116" spans="1:33" ht="15.75" customHeight="1">
      <c r="A116" s="316"/>
      <c r="B116" s="161"/>
      <c r="C116" s="297"/>
      <c r="D116" s="298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8"/>
      <c r="S116" s="117"/>
      <c r="T116" s="118"/>
      <c r="U116" s="109"/>
      <c r="V116" s="110"/>
      <c r="W116" s="118"/>
      <c r="X116" s="187"/>
      <c r="Y116" s="12"/>
      <c r="Z116" s="196"/>
      <c r="AA116" s="299"/>
      <c r="AB116" s="300"/>
      <c r="AC116" s="12"/>
      <c r="AD116" s="196"/>
      <c r="AE116" s="115"/>
      <c r="AF116" s="108"/>
      <c r="AG116" s="313"/>
    </row>
    <row r="117" spans="1:33" ht="15.75" customHeight="1">
      <c r="A117" s="316"/>
      <c r="B117" s="161"/>
      <c r="C117" s="297"/>
      <c r="D117" s="298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8"/>
      <c r="S117" s="117"/>
      <c r="T117" s="118"/>
      <c r="U117" s="109"/>
      <c r="V117" s="110"/>
      <c r="W117" s="118"/>
      <c r="X117" s="187"/>
      <c r="Y117" s="12"/>
      <c r="Z117" s="196"/>
      <c r="AA117" s="299"/>
      <c r="AB117" s="300"/>
      <c r="AC117" s="12"/>
      <c r="AD117" s="196"/>
      <c r="AE117" s="115"/>
      <c r="AF117" s="108"/>
      <c r="AG117" s="313"/>
    </row>
    <row r="118" spans="1:33" ht="15.75" customHeight="1">
      <c r="A118" s="316"/>
      <c r="B118" s="161"/>
      <c r="C118" s="297"/>
      <c r="D118" s="298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8"/>
      <c r="S118" s="117"/>
      <c r="T118" s="118"/>
      <c r="U118" s="109"/>
      <c r="V118" s="110"/>
      <c r="W118" s="118"/>
      <c r="X118" s="187"/>
      <c r="Y118" s="12"/>
      <c r="Z118" s="196"/>
      <c r="AA118" s="299"/>
      <c r="AB118" s="300"/>
      <c r="AC118" s="12"/>
      <c r="AD118" s="196"/>
      <c r="AE118" s="115"/>
      <c r="AF118" s="108"/>
      <c r="AG118" s="313"/>
    </row>
    <row r="119" spans="1:33" ht="15.75" customHeight="1">
      <c r="A119" s="316"/>
      <c r="B119" s="161"/>
      <c r="C119" s="297"/>
      <c r="D119" s="298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8"/>
      <c r="S119" s="117"/>
      <c r="T119" s="118"/>
      <c r="U119" s="109"/>
      <c r="V119" s="110"/>
      <c r="W119" s="118"/>
      <c r="X119" s="187"/>
      <c r="Y119" s="12"/>
      <c r="Z119" s="196"/>
      <c r="AA119" s="299"/>
      <c r="AB119" s="300"/>
      <c r="AC119" s="12"/>
      <c r="AD119" s="196"/>
      <c r="AE119" s="115"/>
      <c r="AF119" s="108"/>
      <c r="AG119" s="313"/>
    </row>
    <row r="120" spans="1:33" ht="15.75" customHeight="1">
      <c r="A120" s="316"/>
      <c r="B120" s="161"/>
      <c r="C120" s="297"/>
      <c r="D120" s="298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8"/>
      <c r="S120" s="117"/>
      <c r="T120" s="118"/>
      <c r="U120" s="109"/>
      <c r="V120" s="110"/>
      <c r="W120" s="118"/>
      <c r="X120" s="187"/>
      <c r="Y120" s="12"/>
      <c r="Z120" s="196"/>
      <c r="AA120" s="299"/>
      <c r="AB120" s="300"/>
      <c r="AC120" s="12"/>
      <c r="AD120" s="196"/>
      <c r="AE120" s="115"/>
      <c r="AF120" s="108"/>
      <c r="AG120" s="313"/>
    </row>
    <row r="121" spans="1:33" ht="15.75" customHeight="1">
      <c r="A121" s="316"/>
      <c r="B121" s="161"/>
      <c r="C121" s="297"/>
      <c r="D121" s="298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8"/>
      <c r="S121" s="117"/>
      <c r="T121" s="118"/>
      <c r="U121" s="109"/>
      <c r="V121" s="110"/>
      <c r="W121" s="118"/>
      <c r="X121" s="187"/>
      <c r="Y121" s="12"/>
      <c r="Z121" s="196"/>
      <c r="AA121" s="299"/>
      <c r="AB121" s="300"/>
      <c r="AC121" s="12"/>
      <c r="AD121" s="196"/>
      <c r="AE121" s="115"/>
      <c r="AF121" s="108"/>
      <c r="AG121" s="313"/>
    </row>
    <row r="122" spans="1:33" ht="15.75" customHeight="1">
      <c r="A122" s="316"/>
      <c r="B122" s="161"/>
      <c r="C122" s="297"/>
      <c r="D122" s="298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8"/>
      <c r="S122" s="117"/>
      <c r="T122" s="118"/>
      <c r="U122" s="128"/>
      <c r="V122" s="129"/>
      <c r="W122" s="124"/>
      <c r="X122" s="125"/>
      <c r="Y122" s="12"/>
      <c r="Z122" s="196"/>
      <c r="AA122" s="299"/>
      <c r="AB122" s="300"/>
      <c r="AC122" s="12"/>
      <c r="AD122" s="196"/>
      <c r="AE122" s="163"/>
      <c r="AF122" s="123"/>
      <c r="AG122" s="313"/>
    </row>
    <row r="123" spans="1:33" ht="15.75" customHeight="1" thickBot="1">
      <c r="A123" s="317"/>
      <c r="B123" s="131" t="s">
        <v>115</v>
      </c>
      <c r="C123" s="294"/>
      <c r="D123" s="294"/>
      <c r="E123" s="132"/>
      <c r="F123" s="165"/>
      <c r="G123" s="133"/>
      <c r="H123" s="67"/>
      <c r="I123" s="134">
        <f t="shared" ref="I123:J123" si="46">AVERAGE(I107:I122)</f>
        <v>19.666666666666668</v>
      </c>
      <c r="J123" s="135">
        <f t="shared" si="46"/>
        <v>2000</v>
      </c>
      <c r="K123" s="136">
        <f t="shared" ref="K123" si="47">J123/I123</f>
        <v>101.69491525423729</v>
      </c>
      <c r="L123" s="134">
        <f t="shared" ref="L123:M123" si="48">AVERAGE(L107:L122)</f>
        <v>18.666666666666668</v>
      </c>
      <c r="M123" s="135">
        <f t="shared" si="48"/>
        <v>1806.1333333333332</v>
      </c>
      <c r="N123" s="136">
        <f>M123/L123</f>
        <v>96.757142857142838</v>
      </c>
      <c r="O123" s="137">
        <f>L123-I123</f>
        <v>-1</v>
      </c>
      <c r="P123" s="138">
        <f>N123-K123</f>
        <v>-4.9377723970944487</v>
      </c>
      <c r="Q123" s="139">
        <f>N123/K123</f>
        <v>0.95144523809523796</v>
      </c>
      <c r="R123" s="309"/>
      <c r="S123" s="140">
        <v>0.70833333333333337</v>
      </c>
      <c r="T123" s="141">
        <v>0.82732638888888888</v>
      </c>
      <c r="U123" s="142"/>
      <c r="V123" s="164"/>
      <c r="W123" s="165"/>
      <c r="X123" s="136"/>
      <c r="Y123" s="177">
        <f t="shared" ref="Y123:Z123" si="49">SUM(Y107:Y122)</f>
        <v>0</v>
      </c>
      <c r="Z123" s="178">
        <f t="shared" si="49"/>
        <v>0</v>
      </c>
      <c r="AA123" s="295"/>
      <c r="AB123" s="296"/>
      <c r="AC123" s="177">
        <f t="shared" ref="AC123:AD123" si="50">SUM(AC107:AC122)</f>
        <v>0</v>
      </c>
      <c r="AD123" s="178">
        <f t="shared" si="50"/>
        <v>0</v>
      </c>
      <c r="AE123" s="166">
        <f>M123-J123</f>
        <v>-193.86666666666679</v>
      </c>
      <c r="AF123" s="139">
        <f>M123/J123</f>
        <v>0.90306666666666657</v>
      </c>
      <c r="AG123" s="314"/>
    </row>
    <row r="124" spans="1:33" ht="15.75" customHeight="1">
      <c r="A124" s="301" t="s">
        <v>179</v>
      </c>
      <c r="B124" s="144" t="s">
        <v>169</v>
      </c>
      <c r="C124" s="305" t="s">
        <v>181</v>
      </c>
      <c r="D124" s="306"/>
      <c r="E124" s="145">
        <v>56.87</v>
      </c>
      <c r="F124" s="157">
        <v>1644</v>
      </c>
      <c r="G124" s="146">
        <f t="shared" ref="G124:G126" si="51">E124*F124</f>
        <v>93494.28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1803.4185642727748</v>
      </c>
      <c r="N124" s="150">
        <f>M124/L124</f>
        <v>78.409502794468466</v>
      </c>
      <c r="O124" s="152">
        <f>L124-I124</f>
        <v>0</v>
      </c>
      <c r="P124" s="153">
        <f>N124-K124</f>
        <v>-8.5470189446619713</v>
      </c>
      <c r="Q124" s="154">
        <f>N124/K124</f>
        <v>0.90170928213638735</v>
      </c>
      <c r="R124" s="307">
        <f>Q140</f>
        <v>0.90221063176752259</v>
      </c>
      <c r="S124" s="155">
        <v>0.70833333333333337</v>
      </c>
      <c r="T124" s="156">
        <v>0.74630787037037039</v>
      </c>
      <c r="U124" s="157"/>
      <c r="V124" s="158">
        <v>54.69612099716651</v>
      </c>
      <c r="W124" s="95"/>
      <c r="X124" s="96"/>
      <c r="Y124" s="194"/>
      <c r="Z124" s="195"/>
      <c r="AA124" s="310"/>
      <c r="AB124" s="311"/>
      <c r="AC124" s="194"/>
      <c r="AD124" s="195"/>
      <c r="AE124" s="113">
        <f>M124-J124</f>
        <v>-196.5814357272252</v>
      </c>
      <c r="AF124" s="154">
        <f>M124/J124</f>
        <v>0.90170928213638735</v>
      </c>
      <c r="AG124" s="379">
        <f>AF140</f>
        <v>0.90221063176752259</v>
      </c>
    </row>
    <row r="125" spans="1:33" ht="15.75" customHeight="1">
      <c r="A125" s="302"/>
      <c r="B125" s="161" t="s">
        <v>169</v>
      </c>
      <c r="C125" s="297" t="s">
        <v>180</v>
      </c>
      <c r="D125" s="298"/>
      <c r="E125" s="99">
        <v>56.79</v>
      </c>
      <c r="F125" s="109">
        <v>2310</v>
      </c>
      <c r="G125" s="101">
        <f t="shared" si="51"/>
        <v>131184.9</v>
      </c>
      <c r="H125" s="26"/>
      <c r="I125" s="102">
        <v>23</v>
      </c>
      <c r="J125" s="103">
        <v>2000</v>
      </c>
      <c r="K125" s="104">
        <f t="shared" ref="K125:K126" si="52">J125/I125</f>
        <v>86.956521739130437</v>
      </c>
      <c r="L125" s="105">
        <v>23</v>
      </c>
      <c r="M125" s="103">
        <f>F125/V125*60</f>
        <v>1801.3667199915476</v>
      </c>
      <c r="N125" s="104">
        <f>M125/L125</f>
        <v>78.320292173545553</v>
      </c>
      <c r="O125" s="106">
        <f>L125-I125</f>
        <v>0</v>
      </c>
      <c r="P125" s="107">
        <f>N125-K125</f>
        <v>-8.636229565584884</v>
      </c>
      <c r="Q125" s="108">
        <f>N125/K125</f>
        <v>0.90068335999577387</v>
      </c>
      <c r="R125" s="308"/>
      <c r="S125" s="46">
        <v>0.75</v>
      </c>
      <c r="T125" s="47">
        <v>0.80342592592592588</v>
      </c>
      <c r="U125" s="109">
        <v>5.3166666666666451</v>
      </c>
      <c r="V125" s="110">
        <v>76.941579114246295</v>
      </c>
      <c r="W125" s="111"/>
      <c r="X125" s="114"/>
      <c r="Y125" s="12"/>
      <c r="Z125" s="196"/>
      <c r="AA125" s="299"/>
      <c r="AB125" s="300"/>
      <c r="AC125" s="12"/>
      <c r="AD125" s="196"/>
      <c r="AE125" s="115">
        <f>M125-J125</f>
        <v>-198.6332800084524</v>
      </c>
      <c r="AF125" s="108">
        <f>M125/J125</f>
        <v>0.90068335999577376</v>
      </c>
      <c r="AG125" s="380"/>
    </row>
    <row r="126" spans="1:33" ht="15.75" customHeight="1">
      <c r="A126" s="302"/>
      <c r="B126" s="161" t="s">
        <v>169</v>
      </c>
      <c r="C126" s="297" t="s">
        <v>220</v>
      </c>
      <c r="D126" s="298"/>
      <c r="E126" s="99">
        <v>47.6</v>
      </c>
      <c r="F126" s="109">
        <v>2945</v>
      </c>
      <c r="G126" s="101">
        <f t="shared" si="51"/>
        <v>140182</v>
      </c>
      <c r="H126" s="26"/>
      <c r="I126" s="102">
        <v>23</v>
      </c>
      <c r="J126" s="103">
        <v>2000</v>
      </c>
      <c r="K126" s="104">
        <f t="shared" si="52"/>
        <v>86.956521739130437</v>
      </c>
      <c r="L126" s="105">
        <v>23</v>
      </c>
      <c r="M126" s="103">
        <f>F126/V126*60</f>
        <v>1808.4785063408135</v>
      </c>
      <c r="N126" s="104">
        <f>M126/L126</f>
        <v>78.629500275687548</v>
      </c>
      <c r="O126" s="106">
        <f>L126-I126</f>
        <v>0</v>
      </c>
      <c r="P126" s="107">
        <f>N126-K126</f>
        <v>-8.3270214634428896</v>
      </c>
      <c r="Q126" s="108">
        <f>N126/K126</f>
        <v>0.90423925317040676</v>
      </c>
      <c r="R126" s="308"/>
      <c r="S126" s="46">
        <v>0.80625000000000002</v>
      </c>
      <c r="T126" s="47">
        <v>0.8740972222222223</v>
      </c>
      <c r="U126" s="109">
        <v>5</v>
      </c>
      <c r="V126" s="110">
        <v>97.706441840730577</v>
      </c>
      <c r="W126" s="111"/>
      <c r="X126" s="114"/>
      <c r="Y126" s="12"/>
      <c r="Z126" s="196"/>
      <c r="AA126" s="299"/>
      <c r="AB126" s="300"/>
      <c r="AC126" s="12"/>
      <c r="AD126" s="196"/>
      <c r="AE126" s="115">
        <f>M126-J126</f>
        <v>-191.52149365918649</v>
      </c>
      <c r="AF126" s="108">
        <f>M126/J126</f>
        <v>0.90423925317040676</v>
      </c>
      <c r="AG126" s="380"/>
    </row>
    <row r="127" spans="1:33" ht="15.75" customHeight="1">
      <c r="A127" s="302"/>
      <c r="B127" s="161"/>
      <c r="C127" s="297"/>
      <c r="D127" s="298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8"/>
      <c r="S127" s="46"/>
      <c r="T127" s="47"/>
      <c r="U127" s="109"/>
      <c r="V127" s="110"/>
      <c r="W127" s="111"/>
      <c r="X127" s="114"/>
      <c r="Y127" s="12"/>
      <c r="Z127" s="196"/>
      <c r="AA127" s="299"/>
      <c r="AB127" s="300"/>
      <c r="AC127" s="12"/>
      <c r="AD127" s="196"/>
      <c r="AE127" s="115"/>
      <c r="AF127" s="108"/>
      <c r="AG127" s="380"/>
    </row>
    <row r="128" spans="1:33" ht="15.75" customHeight="1">
      <c r="A128" s="303"/>
      <c r="B128" s="161"/>
      <c r="C128" s="297"/>
      <c r="D128" s="298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8"/>
      <c r="S128" s="46"/>
      <c r="T128" s="47"/>
      <c r="U128" s="109"/>
      <c r="V128" s="110"/>
      <c r="W128" s="111"/>
      <c r="X128" s="114"/>
      <c r="Y128" s="12"/>
      <c r="Z128" s="196"/>
      <c r="AA128" s="299"/>
      <c r="AB128" s="300"/>
      <c r="AC128" s="12"/>
      <c r="AD128" s="196"/>
      <c r="AE128" s="115"/>
      <c r="AF128" s="108"/>
      <c r="AG128" s="380"/>
    </row>
    <row r="129" spans="1:33" ht="15.75" customHeight="1">
      <c r="A129" s="303"/>
      <c r="B129" s="161"/>
      <c r="C129" s="297"/>
      <c r="D129" s="298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8"/>
      <c r="S129" s="46"/>
      <c r="T129" s="118"/>
      <c r="U129" s="109"/>
      <c r="V129" s="110"/>
      <c r="W129" s="111"/>
      <c r="X129" s="114"/>
      <c r="Y129" s="12"/>
      <c r="Z129" s="196"/>
      <c r="AA129" s="299"/>
      <c r="AB129" s="300"/>
      <c r="AC129" s="12"/>
      <c r="AD129" s="196"/>
      <c r="AE129" s="115"/>
      <c r="AF129" s="108"/>
      <c r="AG129" s="380"/>
    </row>
    <row r="130" spans="1:33" ht="15.75" customHeight="1">
      <c r="A130" s="303"/>
      <c r="B130" s="161"/>
      <c r="C130" s="297"/>
      <c r="D130" s="298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8"/>
      <c r="S130" s="46"/>
      <c r="T130" s="118"/>
      <c r="U130" s="109"/>
      <c r="V130" s="110"/>
      <c r="W130" s="111"/>
      <c r="X130" s="114"/>
      <c r="Y130" s="12"/>
      <c r="Z130" s="196"/>
      <c r="AA130" s="299"/>
      <c r="AB130" s="300"/>
      <c r="AC130" s="12"/>
      <c r="AD130" s="196"/>
      <c r="AE130" s="115"/>
      <c r="AF130" s="108"/>
      <c r="AG130" s="380"/>
    </row>
    <row r="131" spans="1:33" ht="15.75" customHeight="1">
      <c r="A131" s="303"/>
      <c r="B131" s="161"/>
      <c r="C131" s="297"/>
      <c r="D131" s="298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8"/>
      <c r="S131" s="46"/>
      <c r="T131" s="118"/>
      <c r="U131" s="109"/>
      <c r="V131" s="110"/>
      <c r="W131" s="111"/>
      <c r="X131" s="114"/>
      <c r="Y131" s="12"/>
      <c r="Z131" s="196"/>
      <c r="AA131" s="299"/>
      <c r="AB131" s="300"/>
      <c r="AC131" s="12"/>
      <c r="AD131" s="196"/>
      <c r="AE131" s="115"/>
      <c r="AF131" s="108"/>
      <c r="AG131" s="380"/>
    </row>
    <row r="132" spans="1:33" ht="15.75" customHeight="1">
      <c r="A132" s="303"/>
      <c r="B132" s="161"/>
      <c r="C132" s="297"/>
      <c r="D132" s="298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8"/>
      <c r="S132" s="46"/>
      <c r="T132" s="118"/>
      <c r="U132" s="109"/>
      <c r="V132" s="110"/>
      <c r="W132" s="111"/>
      <c r="X132" s="114"/>
      <c r="Y132" s="12"/>
      <c r="Z132" s="196"/>
      <c r="AA132" s="299"/>
      <c r="AB132" s="300"/>
      <c r="AC132" s="12"/>
      <c r="AD132" s="196"/>
      <c r="AE132" s="115"/>
      <c r="AF132" s="108"/>
      <c r="AG132" s="380"/>
    </row>
    <row r="133" spans="1:33" ht="15.75" customHeight="1">
      <c r="A133" s="303"/>
      <c r="B133" s="161"/>
      <c r="C133" s="297"/>
      <c r="D133" s="298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8"/>
      <c r="S133" s="46"/>
      <c r="T133" s="118"/>
      <c r="U133" s="109"/>
      <c r="V133" s="110"/>
      <c r="W133" s="111"/>
      <c r="X133" s="114"/>
      <c r="Y133" s="12"/>
      <c r="Z133" s="196"/>
      <c r="AA133" s="299"/>
      <c r="AB133" s="300"/>
      <c r="AC133" s="12"/>
      <c r="AD133" s="196"/>
      <c r="AE133" s="115"/>
      <c r="AF133" s="108"/>
      <c r="AG133" s="380"/>
    </row>
    <row r="134" spans="1:33" ht="15.75" customHeight="1">
      <c r="A134" s="303"/>
      <c r="B134" s="161"/>
      <c r="C134" s="297"/>
      <c r="D134" s="298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8"/>
      <c r="S134" s="46"/>
      <c r="T134" s="118"/>
      <c r="U134" s="109"/>
      <c r="V134" s="110"/>
      <c r="W134" s="111"/>
      <c r="X134" s="114"/>
      <c r="Y134" s="12"/>
      <c r="Z134" s="196"/>
      <c r="AA134" s="299"/>
      <c r="AB134" s="300"/>
      <c r="AC134" s="12"/>
      <c r="AD134" s="196"/>
      <c r="AE134" s="115"/>
      <c r="AF134" s="108"/>
      <c r="AG134" s="380"/>
    </row>
    <row r="135" spans="1:33" ht="15.75" customHeight="1">
      <c r="A135" s="303"/>
      <c r="B135" s="161"/>
      <c r="C135" s="297"/>
      <c r="D135" s="298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8"/>
      <c r="S135" s="46"/>
      <c r="T135" s="118"/>
      <c r="U135" s="109"/>
      <c r="V135" s="110"/>
      <c r="W135" s="111"/>
      <c r="X135" s="114"/>
      <c r="Y135" s="12"/>
      <c r="Z135" s="196"/>
      <c r="AA135" s="299"/>
      <c r="AB135" s="300"/>
      <c r="AC135" s="12"/>
      <c r="AD135" s="196"/>
      <c r="AE135" s="115"/>
      <c r="AF135" s="108"/>
      <c r="AG135" s="380"/>
    </row>
    <row r="136" spans="1:33" ht="15.75" customHeight="1">
      <c r="A136" s="303"/>
      <c r="B136" s="161"/>
      <c r="C136" s="297"/>
      <c r="D136" s="298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8"/>
      <c r="S136" s="46"/>
      <c r="T136" s="118"/>
      <c r="U136" s="109"/>
      <c r="V136" s="110"/>
      <c r="W136" s="111"/>
      <c r="X136" s="114"/>
      <c r="Y136" s="12"/>
      <c r="Z136" s="196"/>
      <c r="AA136" s="299"/>
      <c r="AB136" s="300"/>
      <c r="AC136" s="12"/>
      <c r="AD136" s="196"/>
      <c r="AE136" s="115"/>
      <c r="AF136" s="108"/>
      <c r="AG136" s="380"/>
    </row>
    <row r="137" spans="1:33" ht="15.75" customHeight="1">
      <c r="A137" s="303"/>
      <c r="B137" s="161"/>
      <c r="C137" s="297"/>
      <c r="D137" s="298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8"/>
      <c r="S137" s="46"/>
      <c r="T137" s="118"/>
      <c r="U137" s="109"/>
      <c r="V137" s="110"/>
      <c r="W137" s="181"/>
      <c r="X137" s="182"/>
      <c r="Y137" s="12"/>
      <c r="Z137" s="196"/>
      <c r="AA137" s="299"/>
      <c r="AB137" s="300"/>
      <c r="AC137" s="12"/>
      <c r="AD137" s="196"/>
      <c r="AE137" s="115"/>
      <c r="AF137" s="108"/>
      <c r="AG137" s="380"/>
    </row>
    <row r="138" spans="1:33" ht="15.75" customHeight="1">
      <c r="A138" s="303"/>
      <c r="B138" s="161"/>
      <c r="C138" s="297"/>
      <c r="D138" s="298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8"/>
      <c r="S138" s="46"/>
      <c r="T138" s="118"/>
      <c r="U138" s="109"/>
      <c r="V138" s="110"/>
      <c r="W138" s="183"/>
      <c r="X138" s="184"/>
      <c r="Y138" s="12"/>
      <c r="Z138" s="196"/>
      <c r="AA138" s="299"/>
      <c r="AB138" s="300"/>
      <c r="AC138" s="12"/>
      <c r="AD138" s="196"/>
      <c r="AE138" s="115"/>
      <c r="AF138" s="108"/>
      <c r="AG138" s="380"/>
    </row>
    <row r="139" spans="1:33" ht="15.75" customHeight="1">
      <c r="A139" s="303"/>
      <c r="B139" s="98"/>
      <c r="C139" s="297"/>
      <c r="D139" s="298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8"/>
      <c r="S139" s="46"/>
      <c r="T139" s="118"/>
      <c r="U139" s="128"/>
      <c r="V139" s="110"/>
      <c r="W139" s="183"/>
      <c r="X139" s="184"/>
      <c r="Y139" s="12"/>
      <c r="Z139" s="196"/>
      <c r="AA139" s="299"/>
      <c r="AB139" s="300"/>
      <c r="AC139" s="12"/>
      <c r="AD139" s="196"/>
      <c r="AE139" s="115"/>
      <c r="AF139" s="108"/>
      <c r="AG139" s="380"/>
    </row>
    <row r="140" spans="1:33" ht="15.75" customHeight="1" thickBot="1">
      <c r="A140" s="304"/>
      <c r="B140" s="131" t="s">
        <v>115</v>
      </c>
      <c r="C140" s="294"/>
      <c r="D140" s="294"/>
      <c r="E140" s="132"/>
      <c r="F140" s="165"/>
      <c r="G140" s="133"/>
      <c r="H140" s="67"/>
      <c r="I140" s="134">
        <f t="shared" ref="I140:J140" si="53">AVERAGE(I124:I139)</f>
        <v>23</v>
      </c>
      <c r="J140" s="135">
        <f t="shared" si="53"/>
        <v>2000</v>
      </c>
      <c r="K140" s="136">
        <f t="shared" ref="K140" si="54">J140/I140</f>
        <v>86.956521739130437</v>
      </c>
      <c r="L140" s="134">
        <f t="shared" ref="L140:M140" si="55">AVERAGE(L124:L139)</f>
        <v>23</v>
      </c>
      <c r="M140" s="135">
        <f t="shared" si="55"/>
        <v>1804.4212635350452</v>
      </c>
      <c r="N140" s="136">
        <f>M140/L140</f>
        <v>78.453098414567179</v>
      </c>
      <c r="O140" s="137">
        <f>L140-I140</f>
        <v>0</v>
      </c>
      <c r="P140" s="138">
        <f>N140-K140</f>
        <v>-8.5034233245632578</v>
      </c>
      <c r="Q140" s="139">
        <f>N140/K140</f>
        <v>0.90221063176752259</v>
      </c>
      <c r="R140" s="309"/>
      <c r="S140" s="140">
        <v>0.70833333333333337</v>
      </c>
      <c r="T140" s="141">
        <v>0.8740972222222223</v>
      </c>
      <c r="U140" s="142"/>
      <c r="V140" s="164"/>
      <c r="W140" s="185"/>
      <c r="X140" s="186"/>
      <c r="Y140" s="177">
        <f t="shared" ref="Y140:Z140" si="56">SUM(Y124:Y139)</f>
        <v>0</v>
      </c>
      <c r="Z140" s="178">
        <f t="shared" si="56"/>
        <v>0</v>
      </c>
      <c r="AA140" s="295"/>
      <c r="AB140" s="296"/>
      <c r="AC140" s="177">
        <f t="shared" ref="AC140:AD140" si="57">SUM(AC124:AC139)</f>
        <v>0</v>
      </c>
      <c r="AD140" s="178">
        <f t="shared" si="57"/>
        <v>0</v>
      </c>
      <c r="AE140" s="166">
        <f>M140-J140</f>
        <v>-195.57873646495477</v>
      </c>
      <c r="AF140" s="139">
        <f>M140/J140</f>
        <v>0.90221063176752259</v>
      </c>
      <c r="AG140" s="381"/>
    </row>
    <row r="142" spans="1:33">
      <c r="AA142" s="293" t="s">
        <v>147</v>
      </c>
      <c r="AB142" s="293"/>
    </row>
    <row r="143" spans="1:33">
      <c r="AA143" s="293" t="s">
        <v>148</v>
      </c>
      <c r="AB143" s="293"/>
    </row>
    <row r="144" spans="1:33">
      <c r="AA144" s="293" t="s">
        <v>149</v>
      </c>
      <c r="AB144" s="293"/>
    </row>
    <row r="145" spans="27:28">
      <c r="AA145" s="293" t="s">
        <v>150</v>
      </c>
      <c r="AB145" s="293"/>
    </row>
    <row r="146" spans="27:28">
      <c r="AA146" s="293" t="s">
        <v>151</v>
      </c>
      <c r="AB146" s="293"/>
    </row>
    <row r="147" spans="27:28">
      <c r="AA147" s="293" t="s">
        <v>152</v>
      </c>
      <c r="AB147" s="293"/>
    </row>
    <row r="148" spans="27:28">
      <c r="AA148" s="293" t="s">
        <v>153</v>
      </c>
      <c r="AB148" s="293"/>
    </row>
    <row r="149" spans="27:28">
      <c r="AA149" s="293" t="s">
        <v>154</v>
      </c>
      <c r="AB149" s="293"/>
    </row>
    <row r="150" spans="27:28">
      <c r="AA150" s="293" t="s">
        <v>155</v>
      </c>
      <c r="AB150" s="293"/>
    </row>
    <row r="151" spans="27:28">
      <c r="AA151" s="293" t="s">
        <v>156</v>
      </c>
      <c r="AB151" s="293"/>
    </row>
    <row r="152" spans="27:28">
      <c r="AA152" s="293" t="s">
        <v>157</v>
      </c>
      <c r="AB152" s="293"/>
    </row>
    <row r="153" spans="27:28">
      <c r="AA153" s="293" t="s">
        <v>158</v>
      </c>
      <c r="AB153" s="293"/>
    </row>
    <row r="154" spans="27:28">
      <c r="AA154" s="293" t="s">
        <v>159</v>
      </c>
      <c r="AB154" s="293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102" priority="2" operator="greaterThan">
      <formula>0</formula>
    </cfRule>
  </conditionalFormatting>
  <conditionalFormatting sqref="P5:P140 AE5:AE140">
    <cfRule type="cellIs" dxfId="101" priority="5" operator="lessThan">
      <formula>0</formula>
    </cfRule>
  </conditionalFormatting>
  <conditionalFormatting sqref="Q5:Q140 AF5:AF140">
    <cfRule type="cellIs" dxfId="100" priority="3" operator="greaterThan">
      <formula>1</formula>
    </cfRule>
    <cfRule type="cellIs" dxfId="99" priority="4" operator="lessThan">
      <formula>0.8</formula>
    </cfRule>
  </conditionalFormatting>
  <conditionalFormatting sqref="AG5 R5:R140 AG107:AG124">
    <cfRule type="cellIs" dxfId="98" priority="6" operator="lessThan">
      <formula>0.8</formula>
    </cfRule>
  </conditionalFormatting>
  <conditionalFormatting sqref="AG22">
    <cfRule type="cellIs" dxfId="97" priority="11" operator="lessThan">
      <formula>0.8</formula>
    </cfRule>
  </conditionalFormatting>
  <conditionalFormatting sqref="AG37">
    <cfRule type="cellIs" dxfId="96" priority="10" operator="lessThan">
      <formula>0.8</formula>
    </cfRule>
  </conditionalFormatting>
  <conditionalFormatting sqref="AG39:AG74">
    <cfRule type="cellIs" dxfId="95" priority="8" operator="lessThan">
      <formula>0.8</formula>
    </cfRule>
  </conditionalFormatting>
  <conditionalFormatting sqref="AG80:AG88">
    <cfRule type="cellIs" dxfId="94" priority="9" operator="lessThan">
      <formula>0.8</formula>
    </cfRule>
  </conditionalFormatting>
  <conditionalFormatting sqref="AG90:AG95">
    <cfRule type="cellIs" dxfId="93" priority="7" operator="lessThan">
      <formula>0.8</formula>
    </cfRule>
  </conditionalFormatting>
  <conditionalFormatting sqref="AG139">
    <cfRule type="cellIs" dxfId="92" priority="1" operator="lessThan">
      <formula>0.8</formula>
    </cfRule>
  </conditionalFormatting>
  <dataValidations count="1">
    <dataValidation type="list" allowBlank="1" showInputMessage="1" showErrorMessage="1" sqref="AA5:AB140" xr:uid="{36D1CD63-AAB5-45F5-B590-534FBD92B66D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BFA56-F350-49AC-9B03-78D25E1C43B0}">
  <sheetPr>
    <tabColor theme="8" tint="0.59999389629810485"/>
  </sheetPr>
  <dimension ref="B1:AR42"/>
  <sheetViews>
    <sheetView zoomScale="70" zoomScaleNormal="70" workbookViewId="0">
      <selection activeCell="N50" sqref="N50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0" t="s">
        <v>0</v>
      </c>
      <c r="C1" s="280"/>
      <c r="D1" s="280"/>
      <c r="E1" s="280"/>
      <c r="F1" s="280"/>
      <c r="G1" s="280"/>
      <c r="H1" s="280"/>
      <c r="I1" s="280"/>
      <c r="J1" s="280"/>
      <c r="K1" s="1"/>
      <c r="L1" s="1"/>
      <c r="M1" s="1"/>
      <c r="N1" s="1"/>
      <c r="O1" s="1"/>
      <c r="P1" s="1"/>
    </row>
    <row r="2" spans="2:34" ht="27.75" customHeight="1">
      <c r="B2" s="281"/>
      <c r="C2" s="281"/>
      <c r="D2" s="281"/>
      <c r="E2" s="281"/>
      <c r="F2" s="281"/>
      <c r="G2" s="281"/>
      <c r="H2" s="281"/>
      <c r="I2" s="281"/>
      <c r="J2" s="28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2" t="s">
        <v>229</v>
      </c>
      <c r="D3" s="283"/>
      <c r="E3" s="3" t="s">
        <v>2</v>
      </c>
      <c r="F3" s="284">
        <f>'1004(18度C)'!D1+'1004(4度C)'!D1</f>
        <v>163182</v>
      </c>
      <c r="G3" s="285"/>
      <c r="H3" s="3" t="s">
        <v>3</v>
      </c>
      <c r="I3" s="286">
        <f>'1004(18度C)'!F1+'1004(4度C)'!F1</f>
        <v>5178666.9200000009</v>
      </c>
      <c r="J3" s="287"/>
      <c r="K3" s="4"/>
      <c r="L3" s="5"/>
      <c r="M3" s="1"/>
      <c r="N3" s="1"/>
      <c r="O3" s="1"/>
      <c r="P3" s="1"/>
    </row>
    <row r="4" spans="2:34" ht="28.5" customHeight="1">
      <c r="B4" s="288" t="s">
        <v>4</v>
      </c>
      <c r="C4" s="268" t="s">
        <v>5</v>
      </c>
      <c r="D4" s="269"/>
      <c r="E4" s="291" t="s">
        <v>6</v>
      </c>
      <c r="F4" s="292"/>
      <c r="G4" s="291" t="s">
        <v>7</v>
      </c>
      <c r="H4" s="292"/>
      <c r="I4" s="291" t="s">
        <v>8</v>
      </c>
      <c r="J4" s="292"/>
      <c r="K4" s="264" t="s">
        <v>9</v>
      </c>
      <c r="L4" s="265"/>
      <c r="M4" s="264" t="s">
        <v>10</v>
      </c>
      <c r="N4" s="265"/>
      <c r="O4" s="266" t="s">
        <v>11</v>
      </c>
      <c r="P4" s="267"/>
      <c r="Q4" s="267" t="s">
        <v>12</v>
      </c>
      <c r="R4" s="267"/>
    </row>
    <row r="5" spans="2:34" ht="28.5" customHeight="1">
      <c r="B5" s="289"/>
      <c r="C5" s="268" t="s">
        <v>13</v>
      </c>
      <c r="D5" s="269"/>
      <c r="E5" s="270" t="s">
        <v>14</v>
      </c>
      <c r="F5" s="271"/>
      <c r="G5" s="272" t="s">
        <v>15</v>
      </c>
      <c r="H5" s="273"/>
      <c r="I5" s="274" t="s">
        <v>16</v>
      </c>
      <c r="J5" s="275"/>
      <c r="K5" s="276" t="s">
        <v>17</v>
      </c>
      <c r="L5" s="277"/>
      <c r="M5" s="278" t="s">
        <v>18</v>
      </c>
      <c r="N5" s="27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9"/>
      <c r="C6" s="268" t="s">
        <v>22</v>
      </c>
      <c r="D6" s="269"/>
      <c r="E6" s="258">
        <f>AVERAGE(D14:O14,D32:X32)</f>
        <v>473.31810731697414</v>
      </c>
      <c r="F6" s="259" t="e">
        <f>AVERAGE(#REF!,D14:K14)</f>
        <v>#REF!</v>
      </c>
      <c r="G6" s="260">
        <f>AVERAGE(D14:K14)</f>
        <v>274.37433742875504</v>
      </c>
      <c r="H6" s="261"/>
      <c r="I6" s="260">
        <f>AVERAGE(L14:O14)</f>
        <v>94.325718496683862</v>
      </c>
      <c r="J6" s="261"/>
      <c r="K6" s="260">
        <f>AVERAGE(D32:O32)</f>
        <v>716.2788331071913</v>
      </c>
      <c r="L6" s="261"/>
      <c r="M6" s="260">
        <f>AVERAGE(P32:X32)</f>
        <v>718.26923076923072</v>
      </c>
      <c r="N6" s="261"/>
      <c r="O6" s="249">
        <f>'1004(4度C)'!Y2</f>
        <v>0</v>
      </c>
      <c r="P6" s="249">
        <f>'1004(4度C)'!Z2</f>
        <v>0</v>
      </c>
      <c r="Q6" s="249">
        <f>'1004(4度C)'!AC2</f>
        <v>0</v>
      </c>
      <c r="R6" s="249">
        <f>'1004(4度C)'!AD2</f>
        <v>0</v>
      </c>
    </row>
    <row r="7" spans="2:34" ht="28.5" customHeight="1">
      <c r="B7" s="289"/>
      <c r="C7" s="252" t="s">
        <v>23</v>
      </c>
      <c r="D7" s="253"/>
      <c r="E7" s="254">
        <f>AVERAGE(D15:O15,D33:X33)</f>
        <v>431.96417969646518</v>
      </c>
      <c r="F7" s="255" t="e">
        <f>AVERAGE(#REF!,D15:K15)</f>
        <v>#REF!</v>
      </c>
      <c r="G7" s="256">
        <f>AVERAGE(D15:K15)</f>
        <v>247.97953858976749</v>
      </c>
      <c r="H7" s="257"/>
      <c r="I7" s="256">
        <f>AVERAGE(L15:O15)</f>
        <v>87.611927054074471</v>
      </c>
      <c r="J7" s="257"/>
      <c r="K7" s="256">
        <f>AVERAGE(D33:O33)</f>
        <v>655.58974180330233</v>
      </c>
      <c r="L7" s="257"/>
      <c r="M7" s="256">
        <f>AVERAGE(P33:X33)</f>
        <v>656.49170557086995</v>
      </c>
      <c r="N7" s="257"/>
      <c r="O7" s="250"/>
      <c r="P7" s="250"/>
      <c r="Q7" s="250"/>
      <c r="R7" s="250"/>
    </row>
    <row r="8" spans="2:34" ht="28.5" customHeight="1">
      <c r="B8" s="290"/>
      <c r="C8" s="252" t="s">
        <v>24</v>
      </c>
      <c r="D8" s="253"/>
      <c r="E8" s="262">
        <f>AVERAGE(D16:O16,D34:X34)</f>
        <v>0.90852195119753842</v>
      </c>
      <c r="F8" s="263" t="e">
        <f>AVERAGE(D16:K16,#REF!)</f>
        <v>#REF!</v>
      </c>
      <c r="G8" s="241">
        <f>AVERAGE(D16:K16)</f>
        <v>0.90257548740422322</v>
      </c>
      <c r="H8" s="242"/>
      <c r="I8" s="241">
        <f>AVERAGE(L16:O16)</f>
        <v>0.92689728016947548</v>
      </c>
      <c r="J8" s="242"/>
      <c r="K8" s="241">
        <f>AVERAGE(D34:O34)</f>
        <v>0.90989233846279194</v>
      </c>
      <c r="L8" s="242"/>
      <c r="M8" s="241">
        <f>AVERAGE(P34:X34)</f>
        <v>0.90688359513628969</v>
      </c>
      <c r="N8" s="242"/>
      <c r="O8" s="251"/>
      <c r="P8" s="251"/>
      <c r="Q8" s="251"/>
      <c r="R8" s="25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9" t="s">
        <v>26</v>
      </c>
      <c r="C11" s="220"/>
      <c r="D11" s="243" t="s">
        <v>27</v>
      </c>
      <c r="E11" s="244"/>
      <c r="F11" s="244"/>
      <c r="G11" s="244"/>
      <c r="H11" s="244"/>
      <c r="I11" s="244"/>
      <c r="J11" s="244"/>
      <c r="K11" s="244"/>
      <c r="L11" s="245" t="s">
        <v>28</v>
      </c>
      <c r="M11" s="246"/>
      <c r="N11" s="246"/>
      <c r="O11" s="247"/>
    </row>
    <row r="12" spans="2:34" ht="17.25" customHeight="1">
      <c r="B12" s="235" t="s">
        <v>29</v>
      </c>
      <c r="C12" s="23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5"/>
      <c r="C13" s="23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U13" s="205"/>
      <c r="AB13" s="25"/>
      <c r="AC13" s="25"/>
      <c r="AD13" s="25"/>
      <c r="AE13" s="25"/>
    </row>
    <row r="14" spans="2:34" ht="40.15" customHeight="1">
      <c r="B14" s="248" t="s">
        <v>40</v>
      </c>
      <c r="C14" s="26" t="s">
        <v>41</v>
      </c>
      <c r="D14" s="27" t="s">
        <v>42</v>
      </c>
      <c r="E14" s="28">
        <v>85.245901639344268</v>
      </c>
      <c r="F14" s="28">
        <v>114.50980392156863</v>
      </c>
      <c r="G14" s="28">
        <v>86.206896551724142</v>
      </c>
      <c r="H14" s="28">
        <v>173.63636363636363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8"/>
      <c r="C15" s="33" t="s">
        <v>43</v>
      </c>
      <c r="D15" s="34" t="s">
        <v>42</v>
      </c>
      <c r="E15" s="35">
        <v>76.956595061315667</v>
      </c>
      <c r="F15" s="35">
        <v>103.39187137689757</v>
      </c>
      <c r="G15" s="35">
        <v>77.844620479775529</v>
      </c>
      <c r="H15" s="35">
        <v>155.65307119790788</v>
      </c>
      <c r="I15" s="35">
        <v>440.71979212637666</v>
      </c>
      <c r="J15" s="35">
        <v>633.3112812963318</v>
      </c>
      <c r="K15" s="36" t="s">
        <v>42</v>
      </c>
      <c r="L15" s="34" t="s">
        <v>42</v>
      </c>
      <c r="M15" s="204">
        <v>96.767857142857139</v>
      </c>
      <c r="N15" s="35">
        <v>78.455996965291817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8"/>
      <c r="C16" s="40" t="s">
        <v>44</v>
      </c>
      <c r="D16" s="41" t="s">
        <v>42</v>
      </c>
      <c r="E16" s="42">
        <f t="shared" ref="E16:J16" si="0">E15/E14</f>
        <v>0.90276005745004906</v>
      </c>
      <c r="F16" s="42">
        <f t="shared" si="0"/>
        <v>0.90290846579139994</v>
      </c>
      <c r="G16" s="42">
        <f t="shared" si="0"/>
        <v>0.9029975975653961</v>
      </c>
      <c r="H16" s="42">
        <f t="shared" si="0"/>
        <v>0.89643130009266325</v>
      </c>
      <c r="I16" s="42">
        <f t="shared" si="0"/>
        <v>0.90562510167392773</v>
      </c>
      <c r="J16" s="42">
        <f t="shared" si="0"/>
        <v>0.90473040185190257</v>
      </c>
      <c r="K16" s="43" t="s">
        <v>42</v>
      </c>
      <c r="L16" s="41" t="s">
        <v>42</v>
      </c>
      <c r="M16" s="44">
        <f>M15/M14</f>
        <v>0.95155059523809515</v>
      </c>
      <c r="N16" s="42">
        <f>N15/N14</f>
        <v>0.90224396510085592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34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5"/>
      <c r="C18" s="13" t="s">
        <v>47</v>
      </c>
      <c r="D18" s="46" t="s">
        <v>42</v>
      </c>
      <c r="E18" s="47">
        <v>0.65636574074074072</v>
      </c>
      <c r="F18" s="47">
        <v>0.57032407407407404</v>
      </c>
      <c r="G18" s="47">
        <v>0.54390046296296291</v>
      </c>
      <c r="H18" s="47">
        <v>0.42303240740740738</v>
      </c>
      <c r="I18" s="47">
        <v>0.47968749999999988</v>
      </c>
      <c r="J18" s="47">
        <v>0.30581018518518521</v>
      </c>
      <c r="K18" s="47" t="s">
        <v>42</v>
      </c>
      <c r="L18" s="46" t="s">
        <v>42</v>
      </c>
      <c r="M18" s="48">
        <v>0.83636574074074066</v>
      </c>
      <c r="N18" s="47">
        <v>0.87991898148148151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6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7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6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7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5" t="s">
        <v>53</v>
      </c>
      <c r="C23" s="238"/>
      <c r="D23" s="56" t="s">
        <v>42</v>
      </c>
      <c r="E23" s="57">
        <v>20.333333333333332</v>
      </c>
      <c r="F23" s="57">
        <v>20.8</v>
      </c>
      <c r="G23" s="57">
        <v>23.2</v>
      </c>
      <c r="H23" s="57">
        <v>19.8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9" t="s">
        <v>54</v>
      </c>
      <c r="C24" s="240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9" t="s">
        <v>59</v>
      </c>
      <c r="C25" s="240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7" t="s">
        <v>60</v>
      </c>
      <c r="C26" s="218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9" t="s">
        <v>26</v>
      </c>
      <c r="C29" s="220"/>
      <c r="D29" s="221" t="s">
        <v>64</v>
      </c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3"/>
      <c r="P29" s="224" t="s">
        <v>65</v>
      </c>
      <c r="Q29" s="225"/>
      <c r="R29" s="225"/>
      <c r="S29" s="225"/>
      <c r="T29" s="225"/>
      <c r="U29" s="225"/>
      <c r="V29" s="225"/>
      <c r="W29" s="225"/>
      <c r="X29" s="226"/>
    </row>
    <row r="30" spans="2:44" ht="17.25" customHeight="1">
      <c r="B30" s="227" t="s">
        <v>29</v>
      </c>
      <c r="C30" s="22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9"/>
      <c r="C31" s="230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3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322.38805970149258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750</v>
      </c>
      <c r="N32" s="28">
        <v>920</v>
      </c>
      <c r="O32" s="28">
        <v>872.72727272727275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750</v>
      </c>
      <c r="W32" s="28">
        <v>923.07692307692298</v>
      </c>
      <c r="X32" s="31">
        <v>900</v>
      </c>
    </row>
    <row r="33" spans="2:24" ht="39.6" customHeight="1">
      <c r="B33" s="232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283.02229428560088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698.39109410906508</v>
      </c>
      <c r="N33" s="35">
        <v>845.19083696243831</v>
      </c>
      <c r="O33" s="35">
        <v>795.75474185610517</v>
      </c>
      <c r="P33" s="34">
        <v>260.07177158529618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699.16876465005009</v>
      </c>
      <c r="W33" s="35">
        <v>846.52703573757037</v>
      </c>
      <c r="X33" s="37">
        <v>820.19925031056289</v>
      </c>
    </row>
    <row r="34" spans="2:24" ht="40.15" customHeight="1">
      <c r="B34" s="233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0.87789322764515076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0.9311881254787534</v>
      </c>
      <c r="N34" s="42">
        <f>N33/N32</f>
        <v>0.91868569235047648</v>
      </c>
      <c r="O34" s="42">
        <f>O33/O32</f>
        <v>0.91180230837678711</v>
      </c>
      <c r="P34" s="41">
        <f>P33/P32</f>
        <v>0.86690590528432054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0.93222501953340009</v>
      </c>
      <c r="W34" s="42">
        <f>W33/W32</f>
        <v>0.91707095538236805</v>
      </c>
      <c r="X34" s="45">
        <f>X33/X32</f>
        <v>0.91133250034506985</v>
      </c>
    </row>
    <row r="35" spans="2:24" ht="17.25" customHeight="1">
      <c r="B35" s="211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0.32430555555555557</v>
      </c>
      <c r="N35" s="47">
        <v>0.25</v>
      </c>
      <c r="O35" s="47">
        <v>0.25</v>
      </c>
      <c r="P35" s="46">
        <v>0.74097222222222214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0.73333333333333328</v>
      </c>
      <c r="X35" s="49">
        <v>0.73333333333333328</v>
      </c>
    </row>
    <row r="36" spans="2:24" ht="17.25" customHeight="1">
      <c r="B36" s="212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0.47968749999999988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0.40546296296296297</v>
      </c>
      <c r="N36" s="47">
        <v>0.50101851851851875</v>
      </c>
      <c r="O36" s="47">
        <v>0.48752314814814834</v>
      </c>
      <c r="P36" s="46">
        <v>0.75510416666666658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0.72226851851851859</v>
      </c>
      <c r="W36" s="47">
        <v>1.1452083333333325</v>
      </c>
      <c r="X36" s="49">
        <v>1.1247685185185179</v>
      </c>
    </row>
    <row r="37" spans="2:24" ht="17.25" customHeight="1">
      <c r="B37" s="213" t="s">
        <v>53</v>
      </c>
      <c r="C37" s="214"/>
      <c r="D37" s="57" t="s">
        <v>42</v>
      </c>
      <c r="E37" s="57" t="s">
        <v>42</v>
      </c>
      <c r="F37" s="57" t="s">
        <v>42</v>
      </c>
      <c r="G37" s="57">
        <v>11.166666666666666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3.75</v>
      </c>
      <c r="O37" s="57">
        <v>4.125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</v>
      </c>
      <c r="W37" s="57">
        <v>3.7142857142857144</v>
      </c>
      <c r="X37" s="59">
        <v>4</v>
      </c>
    </row>
    <row r="38" spans="2:24" ht="17.25" customHeight="1">
      <c r="B38" s="213" t="s">
        <v>54</v>
      </c>
      <c r="C38" s="214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13" t="s">
        <v>59</v>
      </c>
      <c r="C39" s="21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5" t="s">
        <v>60</v>
      </c>
      <c r="C40" s="21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EA96B-9341-4CD6-A7E4-B4C9ACB49E6E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N50" sqref="N50"/>
      <selection pane="bottomLeft" activeCell="N50" sqref="N50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86646</v>
      </c>
      <c r="E1" s="86" t="s">
        <v>3</v>
      </c>
      <c r="F1" s="87">
        <f>SUM(G5:G140)</f>
        <v>1721657.5999999999</v>
      </c>
      <c r="G1" s="88" t="s">
        <v>84</v>
      </c>
      <c r="H1" s="89">
        <f>L21+L38+L55+L72+L89+L106+L123+L140</f>
        <v>46.75595238095238</v>
      </c>
      <c r="I1" s="359" t="s">
        <v>85</v>
      </c>
      <c r="J1" s="360"/>
      <c r="K1" s="361"/>
      <c r="L1" s="365" t="s">
        <v>86</v>
      </c>
      <c r="M1" s="366"/>
      <c r="N1" s="367"/>
      <c r="O1" s="360" t="s">
        <v>87</v>
      </c>
      <c r="P1" s="360"/>
      <c r="Q1" s="360"/>
      <c r="R1" s="371"/>
      <c r="S1" s="359" t="s">
        <v>88</v>
      </c>
      <c r="T1" s="360"/>
      <c r="U1" s="360"/>
      <c r="V1" s="360"/>
      <c r="W1" s="360"/>
      <c r="X1" s="371"/>
      <c r="Y1" s="190" t="s">
        <v>183</v>
      </c>
      <c r="Z1" s="190" t="s">
        <v>184</v>
      </c>
      <c r="AA1" s="391" t="s">
        <v>161</v>
      </c>
      <c r="AB1" s="392"/>
      <c r="AC1" s="174" t="s">
        <v>19</v>
      </c>
      <c r="AD1" s="175" t="s">
        <v>160</v>
      </c>
      <c r="AE1" s="359" t="s">
        <v>90</v>
      </c>
      <c r="AF1" s="374"/>
      <c r="AG1" s="375"/>
    </row>
    <row r="2" spans="1:33" ht="26.25" customHeight="1" thickBot="1">
      <c r="A2" s="352">
        <v>46299</v>
      </c>
      <c r="B2" s="353"/>
      <c r="C2" s="90" t="s">
        <v>40</v>
      </c>
      <c r="D2" s="91">
        <f>AVERAGE(N21,N38,N55,N72,N89,N106,N123,N140)</f>
        <v>656.04072368708614</v>
      </c>
      <c r="E2" s="91" t="s">
        <v>91</v>
      </c>
      <c r="F2" s="92">
        <f>F1/D1</f>
        <v>19.870018235117602</v>
      </c>
      <c r="G2" s="93" t="s">
        <v>92</v>
      </c>
      <c r="H2" s="94">
        <f>COUNT(H5:H140)</f>
        <v>14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1">
        <f>SUM(Y21,Y38,Y55,Y72,Y89,Y106,Y123,Y140)</f>
        <v>0</v>
      </c>
      <c r="Z2" s="191">
        <f>SUM(Z21,Z38,Z55,Z72,Z89,Z106,Z123,Z140)</f>
        <v>0</v>
      </c>
      <c r="AA2" s="393"/>
      <c r="AB2" s="394"/>
      <c r="AC2" s="199">
        <f>SUM(AC21,AC38,AC55,AC72,AC89,AC106,AC123,AC140)</f>
        <v>0</v>
      </c>
      <c r="AD2" s="200">
        <f>SUM(AD21,AD38,AD55,AD72,AD89,AD106,AD123,AD140)</f>
        <v>0</v>
      </c>
      <c r="AE2" s="376"/>
      <c r="AF2" s="377"/>
      <c r="AG2" s="378"/>
    </row>
    <row r="3" spans="1:33" ht="23.25" customHeight="1">
      <c r="A3" s="354" t="s">
        <v>93</v>
      </c>
      <c r="B3" s="356" t="s">
        <v>94</v>
      </c>
      <c r="C3" s="326" t="s">
        <v>95</v>
      </c>
      <c r="D3" s="326"/>
      <c r="E3" s="346" t="s">
        <v>96</v>
      </c>
      <c r="F3" s="326" t="s">
        <v>97</v>
      </c>
      <c r="G3" s="346" t="s">
        <v>98</v>
      </c>
      <c r="H3" s="348" t="s">
        <v>99</v>
      </c>
      <c r="I3" s="338" t="s">
        <v>100</v>
      </c>
      <c r="J3" s="334" t="s">
        <v>101</v>
      </c>
      <c r="K3" s="336" t="s">
        <v>40</v>
      </c>
      <c r="L3" s="350" t="s">
        <v>100</v>
      </c>
      <c r="M3" s="334" t="s">
        <v>101</v>
      </c>
      <c r="N3" s="336" t="s">
        <v>40</v>
      </c>
      <c r="O3" s="338" t="s">
        <v>100</v>
      </c>
      <c r="P3" s="340" t="s">
        <v>40</v>
      </c>
      <c r="Q3" s="342" t="s">
        <v>102</v>
      </c>
      <c r="R3" s="344" t="s">
        <v>103</v>
      </c>
      <c r="S3" s="322" t="s">
        <v>104</v>
      </c>
      <c r="T3" s="323"/>
      <c r="U3" s="324" t="s">
        <v>105</v>
      </c>
      <c r="V3" s="324" t="s">
        <v>106</v>
      </c>
      <c r="W3" s="326" t="s">
        <v>107</v>
      </c>
      <c r="X3" s="327"/>
      <c r="Y3" s="383" t="s">
        <v>185</v>
      </c>
      <c r="Z3" s="384"/>
      <c r="AA3" s="387" t="s">
        <v>108</v>
      </c>
      <c r="AB3" s="388"/>
      <c r="AC3" s="383" t="s">
        <v>186</v>
      </c>
      <c r="AD3" s="384"/>
      <c r="AE3" s="332" t="s">
        <v>101</v>
      </c>
      <c r="AF3" s="318" t="s">
        <v>102</v>
      </c>
      <c r="AG3" s="320" t="s">
        <v>109</v>
      </c>
    </row>
    <row r="4" spans="1:33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201" t="s">
        <v>110</v>
      </c>
      <c r="T4" s="202" t="s">
        <v>111</v>
      </c>
      <c r="U4" s="325"/>
      <c r="V4" s="325"/>
      <c r="W4" s="97" t="s">
        <v>112</v>
      </c>
      <c r="X4" s="67" t="s">
        <v>113</v>
      </c>
      <c r="Y4" s="192" t="s">
        <v>49</v>
      </c>
      <c r="Z4" s="193" t="s">
        <v>50</v>
      </c>
      <c r="AA4" s="389"/>
      <c r="AB4" s="390"/>
      <c r="AC4" s="192" t="s">
        <v>162</v>
      </c>
      <c r="AD4" s="193" t="s">
        <v>163</v>
      </c>
      <c r="AE4" s="333"/>
      <c r="AF4" s="319"/>
      <c r="AG4" s="321"/>
    </row>
    <row r="5" spans="1:33" ht="15.75" customHeight="1">
      <c r="A5" s="315" t="s">
        <v>116</v>
      </c>
      <c r="B5" s="144" t="s">
        <v>114</v>
      </c>
      <c r="C5" s="305" t="s">
        <v>117</v>
      </c>
      <c r="D5" s="306"/>
      <c r="E5" s="145">
        <v>25.64</v>
      </c>
      <c r="F5" s="95">
        <v>1244</v>
      </c>
      <c r="G5" s="146">
        <f t="shared" ref="G5:G10" si="0">E5*F5</f>
        <v>31896.16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 t="shared" ref="M5:M10" si="1">F5/V5*60</f>
        <v>3214.7295511531829</v>
      </c>
      <c r="N5" s="150">
        <f t="shared" ref="N5:N10" si="2">M5/L5</f>
        <v>321.47295511531831</v>
      </c>
      <c r="O5" s="152">
        <f t="shared" ref="O5:O10" si="3">L5-I5</f>
        <v>0</v>
      </c>
      <c r="P5" s="153">
        <f t="shared" ref="P5:P10" si="4">N5-K5</f>
        <v>-38.527044884681686</v>
      </c>
      <c r="Q5" s="154">
        <f t="shared" ref="Q5:Q10" si="5">N5/K5</f>
        <v>0.89298043087588419</v>
      </c>
      <c r="R5" s="307">
        <f>Q21</f>
        <v>0.87789322764515076</v>
      </c>
      <c r="S5" s="155">
        <v>0.25</v>
      </c>
      <c r="T5" s="156">
        <v>0.26612268518518517</v>
      </c>
      <c r="U5" s="157"/>
      <c r="V5" s="158">
        <v>23.218127314388003</v>
      </c>
      <c r="W5" s="159"/>
      <c r="X5" s="160"/>
      <c r="Y5" s="12"/>
      <c r="Z5" s="196"/>
      <c r="AA5" s="310"/>
      <c r="AB5" s="311"/>
      <c r="AC5" s="12"/>
      <c r="AD5" s="196"/>
      <c r="AE5" s="113">
        <f t="shared" ref="AE5:AE10" si="6">M5-J5</f>
        <v>-385.27044884681709</v>
      </c>
      <c r="AF5" s="154">
        <f t="shared" ref="AF5:AF10" si="7">M5/J5</f>
        <v>0.89298043087588419</v>
      </c>
      <c r="AG5" s="312">
        <f>AF21</f>
        <v>0.87789322764515076</v>
      </c>
    </row>
    <row r="6" spans="1:33" ht="15.75" customHeight="1">
      <c r="A6" s="316"/>
      <c r="B6" s="98" t="s">
        <v>114</v>
      </c>
      <c r="C6" s="297" t="s">
        <v>191</v>
      </c>
      <c r="D6" s="298"/>
      <c r="E6" s="99">
        <v>29.52</v>
      </c>
      <c r="F6" s="100">
        <v>2165</v>
      </c>
      <c r="G6" s="101">
        <f t="shared" si="0"/>
        <v>63910.799999999996</v>
      </c>
      <c r="H6" s="26"/>
      <c r="I6" s="102">
        <v>11</v>
      </c>
      <c r="J6" s="103">
        <v>3600</v>
      </c>
      <c r="K6" s="104">
        <f t="shared" ref="K6:K10" si="8">J6/I6</f>
        <v>327.27272727272725</v>
      </c>
      <c r="L6" s="105">
        <v>11</v>
      </c>
      <c r="M6" s="103">
        <f t="shared" si="1"/>
        <v>3155.7699606089882</v>
      </c>
      <c r="N6" s="104">
        <f t="shared" si="2"/>
        <v>286.88817823718074</v>
      </c>
      <c r="O6" s="106">
        <f t="shared" si="3"/>
        <v>0</v>
      </c>
      <c r="P6" s="107">
        <f t="shared" si="4"/>
        <v>-40.384549035546513</v>
      </c>
      <c r="Q6" s="108">
        <f t="shared" si="5"/>
        <v>0.87660276683583005</v>
      </c>
      <c r="R6" s="308"/>
      <c r="S6" s="46">
        <v>0.26944444444444443</v>
      </c>
      <c r="T6" s="47">
        <v>0.29802083333333329</v>
      </c>
      <c r="U6" s="109">
        <v>4.783333333333335</v>
      </c>
      <c r="V6" s="110">
        <v>41.162696147513998</v>
      </c>
      <c r="W6" s="111"/>
      <c r="X6" s="114"/>
      <c r="Y6" s="12"/>
      <c r="Z6" s="196"/>
      <c r="AA6" s="299"/>
      <c r="AB6" s="300"/>
      <c r="AC6" s="12"/>
      <c r="AD6" s="196"/>
      <c r="AE6" s="115">
        <f t="shared" si="6"/>
        <v>-444.23003939101181</v>
      </c>
      <c r="AF6" s="108">
        <f t="shared" si="7"/>
        <v>0.87660276683583005</v>
      </c>
      <c r="AG6" s="313"/>
    </row>
    <row r="7" spans="1:33" ht="15.75" customHeight="1">
      <c r="A7" s="316"/>
      <c r="B7" s="98" t="s">
        <v>114</v>
      </c>
      <c r="C7" s="297" t="s">
        <v>192</v>
      </c>
      <c r="D7" s="298"/>
      <c r="E7" s="99">
        <v>29.85</v>
      </c>
      <c r="F7" s="100">
        <v>2477</v>
      </c>
      <c r="G7" s="101">
        <f t="shared" si="0"/>
        <v>73938.45</v>
      </c>
      <c r="H7" s="26"/>
      <c r="I7" s="102">
        <v>11</v>
      </c>
      <c r="J7" s="103">
        <v>3600</v>
      </c>
      <c r="K7" s="104">
        <f t="shared" si="8"/>
        <v>327.27272727272725</v>
      </c>
      <c r="L7" s="105">
        <v>11</v>
      </c>
      <c r="M7" s="103">
        <f t="shared" si="1"/>
        <v>3156.5704513590135</v>
      </c>
      <c r="N7" s="104">
        <f t="shared" si="2"/>
        <v>286.9609501235467</v>
      </c>
      <c r="O7" s="106">
        <f t="shared" si="3"/>
        <v>0</v>
      </c>
      <c r="P7" s="107">
        <f t="shared" si="4"/>
        <v>-40.311777149180557</v>
      </c>
      <c r="Q7" s="108">
        <f t="shared" si="5"/>
        <v>0.8768251253775039</v>
      </c>
      <c r="R7" s="308"/>
      <c r="S7" s="46">
        <v>0.30208333333333331</v>
      </c>
      <c r="T7" s="47">
        <v>0.33476851851851852</v>
      </c>
      <c r="U7" s="109">
        <v>5.8500000000000352</v>
      </c>
      <c r="V7" s="110">
        <v>47.082744481756748</v>
      </c>
      <c r="W7" s="111"/>
      <c r="X7" s="114"/>
      <c r="Y7" s="12"/>
      <c r="Z7" s="196"/>
      <c r="AA7" s="299"/>
      <c r="AB7" s="300"/>
      <c r="AC7" s="12"/>
      <c r="AD7" s="196"/>
      <c r="AE7" s="115">
        <f t="shared" si="6"/>
        <v>-443.42954864098647</v>
      </c>
      <c r="AF7" s="108">
        <f t="shared" si="7"/>
        <v>0.87682512537750379</v>
      </c>
      <c r="AG7" s="313"/>
    </row>
    <row r="8" spans="1:33" ht="15.75" customHeight="1">
      <c r="A8" s="316"/>
      <c r="B8" s="98" t="s">
        <v>114</v>
      </c>
      <c r="C8" s="297" t="s">
        <v>208</v>
      </c>
      <c r="D8" s="298"/>
      <c r="E8" s="99">
        <v>30</v>
      </c>
      <c r="F8" s="100">
        <v>175</v>
      </c>
      <c r="G8" s="101">
        <f t="shared" si="0"/>
        <v>5250</v>
      </c>
      <c r="H8" s="26"/>
      <c r="I8" s="102">
        <v>11</v>
      </c>
      <c r="J8" s="103">
        <v>3600</v>
      </c>
      <c r="K8" s="104">
        <f t="shared" si="8"/>
        <v>327.27272727272725</v>
      </c>
      <c r="L8" s="105">
        <v>11</v>
      </c>
      <c r="M8" s="103">
        <f t="shared" si="1"/>
        <v>3158.0672902507613</v>
      </c>
      <c r="N8" s="104">
        <f t="shared" si="2"/>
        <v>287.09702638643284</v>
      </c>
      <c r="O8" s="106">
        <f t="shared" si="3"/>
        <v>0</v>
      </c>
      <c r="P8" s="107">
        <f t="shared" si="4"/>
        <v>-40.175700886294408</v>
      </c>
      <c r="Q8" s="108">
        <f t="shared" si="5"/>
        <v>0.87724091395854487</v>
      </c>
      <c r="R8" s="308"/>
      <c r="S8" s="46">
        <v>0.33819444444444441</v>
      </c>
      <c r="T8" s="47">
        <v>0.34049768518518514</v>
      </c>
      <c r="U8" s="109">
        <v>4.9333333333332785</v>
      </c>
      <c r="V8" s="110">
        <v>3.3248183255671742</v>
      </c>
      <c r="W8" s="111"/>
      <c r="X8" s="114"/>
      <c r="Y8" s="12"/>
      <c r="Z8" s="196"/>
      <c r="AA8" s="299"/>
      <c r="AB8" s="300"/>
      <c r="AC8" s="12"/>
      <c r="AD8" s="196"/>
      <c r="AE8" s="115">
        <f t="shared" si="6"/>
        <v>-441.93270974923871</v>
      </c>
      <c r="AF8" s="108">
        <f t="shared" si="7"/>
        <v>0.87724091395854475</v>
      </c>
      <c r="AG8" s="313"/>
    </row>
    <row r="9" spans="1:33" ht="15.75" customHeight="1">
      <c r="A9" s="316"/>
      <c r="B9" s="98" t="s">
        <v>114</v>
      </c>
      <c r="C9" s="297" t="s">
        <v>224</v>
      </c>
      <c r="D9" s="298"/>
      <c r="E9" s="99">
        <v>30.95</v>
      </c>
      <c r="F9" s="100">
        <v>2830</v>
      </c>
      <c r="G9" s="101">
        <f t="shared" si="0"/>
        <v>87588.5</v>
      </c>
      <c r="H9" s="13"/>
      <c r="I9" s="102">
        <v>12</v>
      </c>
      <c r="J9" s="103">
        <v>3600</v>
      </c>
      <c r="K9" s="104">
        <f t="shared" si="8"/>
        <v>300</v>
      </c>
      <c r="L9" s="105">
        <v>12</v>
      </c>
      <c r="M9" s="103">
        <f t="shared" si="1"/>
        <v>3155.649008064478</v>
      </c>
      <c r="N9" s="104">
        <f t="shared" si="2"/>
        <v>262.97075067203986</v>
      </c>
      <c r="O9" s="106">
        <f t="shared" si="3"/>
        <v>0</v>
      </c>
      <c r="P9" s="107">
        <f t="shared" si="4"/>
        <v>-37.029249327960144</v>
      </c>
      <c r="Q9" s="108">
        <f t="shared" si="5"/>
        <v>0.87656916890679948</v>
      </c>
      <c r="R9" s="308"/>
      <c r="S9" s="46">
        <v>0.34374999999999994</v>
      </c>
      <c r="T9" s="47">
        <v>0.38111111111111107</v>
      </c>
      <c r="U9" s="109">
        <v>4.6833333333333194</v>
      </c>
      <c r="V9" s="110">
        <v>53.808265610676102</v>
      </c>
      <c r="W9" s="111"/>
      <c r="X9" s="114"/>
      <c r="Y9" s="12"/>
      <c r="Z9" s="196"/>
      <c r="AA9" s="299"/>
      <c r="AB9" s="300"/>
      <c r="AC9" s="12"/>
      <c r="AD9" s="196"/>
      <c r="AE9" s="115">
        <f t="shared" si="6"/>
        <v>-444.35099193552196</v>
      </c>
      <c r="AF9" s="108">
        <f t="shared" si="7"/>
        <v>0.87656916890679948</v>
      </c>
      <c r="AG9" s="313"/>
    </row>
    <row r="10" spans="1:33" ht="15.75" customHeight="1">
      <c r="A10" s="316"/>
      <c r="B10" s="98" t="s">
        <v>118</v>
      </c>
      <c r="C10" s="297" t="s">
        <v>119</v>
      </c>
      <c r="D10" s="298"/>
      <c r="E10" s="99">
        <v>28.57</v>
      </c>
      <c r="F10" s="100">
        <v>791</v>
      </c>
      <c r="G10" s="119">
        <f t="shared" si="0"/>
        <v>22598.87</v>
      </c>
      <c r="H10" s="120"/>
      <c r="I10" s="102">
        <v>12</v>
      </c>
      <c r="J10" s="103">
        <v>3600</v>
      </c>
      <c r="K10" s="104">
        <f t="shared" si="8"/>
        <v>300</v>
      </c>
      <c r="L10" s="105">
        <v>12</v>
      </c>
      <c r="M10" s="103">
        <f t="shared" si="1"/>
        <v>3121.7074556988346</v>
      </c>
      <c r="N10" s="104">
        <f t="shared" si="2"/>
        <v>260.1422879749029</v>
      </c>
      <c r="O10" s="106">
        <f t="shared" si="3"/>
        <v>0</v>
      </c>
      <c r="P10" s="107">
        <f t="shared" si="4"/>
        <v>-39.857712025097101</v>
      </c>
      <c r="Q10" s="108">
        <f t="shared" si="5"/>
        <v>0.86714095991634299</v>
      </c>
      <c r="R10" s="308"/>
      <c r="S10" s="46">
        <v>0.38402777777777769</v>
      </c>
      <c r="T10" s="118">
        <v>0.39458333333333323</v>
      </c>
      <c r="U10" s="109">
        <v>5</v>
      </c>
      <c r="V10" s="110">
        <v>15.203218326355142</v>
      </c>
      <c r="W10" s="111"/>
      <c r="X10" s="114"/>
      <c r="Y10" s="12"/>
      <c r="Z10" s="196"/>
      <c r="AA10" s="299"/>
      <c r="AB10" s="300"/>
      <c r="AC10" s="12"/>
      <c r="AD10" s="196"/>
      <c r="AE10" s="115">
        <f t="shared" si="6"/>
        <v>-478.29254430116544</v>
      </c>
      <c r="AF10" s="108">
        <f t="shared" si="7"/>
        <v>0.86714095991634288</v>
      </c>
      <c r="AG10" s="313"/>
    </row>
    <row r="11" spans="1:33" ht="15.75" customHeight="1">
      <c r="A11" s="316"/>
      <c r="B11" s="98"/>
      <c r="C11" s="297"/>
      <c r="D11" s="298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8"/>
      <c r="S11" s="46"/>
      <c r="T11" s="118"/>
      <c r="U11" s="109"/>
      <c r="V11" s="110"/>
      <c r="W11" s="111"/>
      <c r="X11" s="114"/>
      <c r="Y11" s="12"/>
      <c r="Z11" s="196"/>
      <c r="AA11" s="299"/>
      <c r="AB11" s="300"/>
      <c r="AC11" s="12"/>
      <c r="AD11" s="196"/>
      <c r="AE11" s="115"/>
      <c r="AF11" s="108"/>
      <c r="AG11" s="313"/>
    </row>
    <row r="12" spans="1:33" ht="15.75" customHeight="1">
      <c r="A12" s="316"/>
      <c r="B12" s="98"/>
      <c r="C12" s="297"/>
      <c r="D12" s="298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8"/>
      <c r="S12" s="46"/>
      <c r="T12" s="118"/>
      <c r="U12" s="109"/>
      <c r="V12" s="110"/>
      <c r="W12" s="111"/>
      <c r="X12" s="114"/>
      <c r="Y12" s="12"/>
      <c r="Z12" s="196"/>
      <c r="AA12" s="299"/>
      <c r="AB12" s="300"/>
      <c r="AC12" s="12"/>
      <c r="AD12" s="196"/>
      <c r="AE12" s="115"/>
      <c r="AF12" s="108"/>
      <c r="AG12" s="313"/>
    </row>
    <row r="13" spans="1:33" ht="15.75" customHeight="1">
      <c r="A13" s="316"/>
      <c r="B13" s="98"/>
      <c r="C13" s="297"/>
      <c r="D13" s="298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8"/>
      <c r="S13" s="46"/>
      <c r="T13" s="118"/>
      <c r="U13" s="109"/>
      <c r="V13" s="110"/>
      <c r="W13" s="111"/>
      <c r="X13" s="125"/>
      <c r="Y13" s="12"/>
      <c r="Z13" s="196"/>
      <c r="AA13" s="299"/>
      <c r="AB13" s="300"/>
      <c r="AC13" s="12"/>
      <c r="AD13" s="196"/>
      <c r="AE13" s="115"/>
      <c r="AF13" s="108"/>
      <c r="AG13" s="313"/>
    </row>
    <row r="14" spans="1:33" ht="15.75" customHeight="1">
      <c r="A14" s="316"/>
      <c r="B14" s="98"/>
      <c r="C14" s="297"/>
      <c r="D14" s="298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8"/>
      <c r="S14" s="46"/>
      <c r="T14" s="118"/>
      <c r="U14" s="109"/>
      <c r="V14" s="110"/>
      <c r="W14" s="111"/>
      <c r="X14" s="125"/>
      <c r="Y14" s="12"/>
      <c r="Z14" s="196"/>
      <c r="AA14" s="299"/>
      <c r="AB14" s="300"/>
      <c r="AC14" s="12"/>
      <c r="AD14" s="196"/>
      <c r="AE14" s="115"/>
      <c r="AF14" s="108"/>
      <c r="AG14" s="313"/>
    </row>
    <row r="15" spans="1:33" ht="15.75" customHeight="1">
      <c r="A15" s="316"/>
      <c r="B15" s="98"/>
      <c r="C15" s="297"/>
      <c r="D15" s="298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8"/>
      <c r="S15" s="46"/>
      <c r="T15" s="118"/>
      <c r="U15" s="109"/>
      <c r="V15" s="110"/>
      <c r="W15" s="111"/>
      <c r="X15" s="125"/>
      <c r="Y15" s="12"/>
      <c r="Z15" s="196"/>
      <c r="AA15" s="299"/>
      <c r="AB15" s="300"/>
      <c r="AC15" s="12"/>
      <c r="AD15" s="196"/>
      <c r="AE15" s="115"/>
      <c r="AF15" s="108"/>
      <c r="AG15" s="313"/>
    </row>
    <row r="16" spans="1:33" ht="15.75" customHeight="1">
      <c r="A16" s="316"/>
      <c r="B16" s="98"/>
      <c r="C16" s="297"/>
      <c r="D16" s="298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8"/>
      <c r="S16" s="46"/>
      <c r="T16" s="118"/>
      <c r="U16" s="109"/>
      <c r="V16" s="110"/>
      <c r="W16" s="111"/>
      <c r="X16" s="125"/>
      <c r="Y16" s="12"/>
      <c r="Z16" s="196"/>
      <c r="AA16" s="299"/>
      <c r="AB16" s="300"/>
      <c r="AC16" s="12"/>
      <c r="AD16" s="196"/>
      <c r="AE16" s="115"/>
      <c r="AF16" s="108"/>
      <c r="AG16" s="313"/>
    </row>
    <row r="17" spans="1:33" ht="15.75" customHeight="1">
      <c r="A17" s="316"/>
      <c r="B17" s="98"/>
      <c r="C17" s="297"/>
      <c r="D17" s="298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8"/>
      <c r="S17" s="46"/>
      <c r="T17" s="118"/>
      <c r="U17" s="109"/>
      <c r="V17" s="110"/>
      <c r="W17" s="111"/>
      <c r="X17" s="125"/>
      <c r="Y17" s="12"/>
      <c r="Z17" s="196"/>
      <c r="AA17" s="299"/>
      <c r="AB17" s="300"/>
      <c r="AC17" s="12"/>
      <c r="AD17" s="196"/>
      <c r="AE17" s="115"/>
      <c r="AF17" s="108"/>
      <c r="AG17" s="313"/>
    </row>
    <row r="18" spans="1:33" ht="15.75" customHeight="1">
      <c r="A18" s="316"/>
      <c r="B18" s="98"/>
      <c r="C18" s="297"/>
      <c r="D18" s="298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8"/>
      <c r="S18" s="46"/>
      <c r="T18" s="118"/>
      <c r="U18" s="109"/>
      <c r="V18" s="110"/>
      <c r="W18" s="111"/>
      <c r="X18" s="125"/>
      <c r="Y18" s="12"/>
      <c r="Z18" s="196"/>
      <c r="AA18" s="299"/>
      <c r="AB18" s="300"/>
      <c r="AC18" s="12"/>
      <c r="AD18" s="196"/>
      <c r="AE18" s="115"/>
      <c r="AF18" s="108"/>
      <c r="AG18" s="313"/>
    </row>
    <row r="19" spans="1:33" ht="15.75" customHeight="1">
      <c r="A19" s="316"/>
      <c r="B19" s="98"/>
      <c r="C19" s="297"/>
      <c r="D19" s="298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8"/>
      <c r="S19" s="46"/>
      <c r="T19" s="118"/>
      <c r="U19" s="109"/>
      <c r="V19" s="110"/>
      <c r="W19" s="111"/>
      <c r="X19" s="125"/>
      <c r="Y19" s="12"/>
      <c r="Z19" s="196"/>
      <c r="AA19" s="299"/>
      <c r="AB19" s="300"/>
      <c r="AC19" s="12"/>
      <c r="AD19" s="196"/>
      <c r="AE19" s="115"/>
      <c r="AF19" s="108"/>
      <c r="AG19" s="313"/>
    </row>
    <row r="20" spans="1:33" ht="15.75" customHeight="1">
      <c r="A20" s="316"/>
      <c r="B20" s="161"/>
      <c r="C20" s="297"/>
      <c r="D20" s="298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8"/>
      <c r="S20" s="117"/>
      <c r="T20" s="118"/>
      <c r="U20" s="128"/>
      <c r="V20" s="129"/>
      <c r="W20" s="124"/>
      <c r="X20" s="125"/>
      <c r="Y20" s="12"/>
      <c r="Z20" s="196"/>
      <c r="AA20" s="299"/>
      <c r="AB20" s="300"/>
      <c r="AC20" s="12"/>
      <c r="AD20" s="196"/>
      <c r="AE20" s="163"/>
      <c r="AF20" s="123"/>
      <c r="AG20" s="313"/>
    </row>
    <row r="21" spans="1:33" ht="15.75" customHeight="1" thickBot="1">
      <c r="A21" s="317"/>
      <c r="B21" s="131" t="s">
        <v>115</v>
      </c>
      <c r="C21" s="294"/>
      <c r="D21" s="294"/>
      <c r="E21" s="132"/>
      <c r="F21" s="165"/>
      <c r="G21" s="133"/>
      <c r="H21" s="67"/>
      <c r="I21" s="134">
        <f t="shared" ref="I21:J21" si="9">AVERAGE(I5:I20)</f>
        <v>11.166666666666666</v>
      </c>
      <c r="J21" s="135">
        <f t="shared" si="9"/>
        <v>3600</v>
      </c>
      <c r="K21" s="136">
        <f t="shared" ref="K21" si="10">J21/I21</f>
        <v>322.38805970149258</v>
      </c>
      <c r="L21" s="134">
        <f t="shared" ref="L21:M21" si="11">AVERAGE(L5:L20)</f>
        <v>11.166666666666666</v>
      </c>
      <c r="M21" s="135">
        <f t="shared" si="11"/>
        <v>3160.4156195225428</v>
      </c>
      <c r="N21" s="136">
        <f>M21/L21</f>
        <v>283.02229428560088</v>
      </c>
      <c r="O21" s="137">
        <f>L21-I21</f>
        <v>0</v>
      </c>
      <c r="P21" s="138">
        <f>N21-K21</f>
        <v>-39.365765415891701</v>
      </c>
      <c r="Q21" s="139">
        <f>N21/K21</f>
        <v>0.87789322764515076</v>
      </c>
      <c r="R21" s="309"/>
      <c r="S21" s="140">
        <v>0.25</v>
      </c>
      <c r="T21" s="141">
        <v>0.47968749999999988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5"/>
      <c r="AB21" s="296"/>
      <c r="AC21" s="177">
        <f>SUM(AC5:AC20)</f>
        <v>0</v>
      </c>
      <c r="AD21" s="189">
        <f>SUM(AD5:AD20)</f>
        <v>0</v>
      </c>
      <c r="AE21" s="166">
        <f>M21-J21</f>
        <v>-439.58438047745722</v>
      </c>
      <c r="AF21" s="139">
        <f>M21/J21</f>
        <v>0.87789322764515076</v>
      </c>
      <c r="AG21" s="314"/>
    </row>
    <row r="22" spans="1:33" ht="15.75" customHeight="1">
      <c r="A22" s="301" t="s">
        <v>121</v>
      </c>
      <c r="B22" s="112" t="s">
        <v>118</v>
      </c>
      <c r="C22" s="305" t="s">
        <v>182</v>
      </c>
      <c r="D22" s="306"/>
      <c r="E22" s="145">
        <v>18.53</v>
      </c>
      <c r="F22" s="95">
        <v>1586</v>
      </c>
      <c r="G22" s="146">
        <f t="shared" ref="G22:G23" si="12">E22*F22</f>
        <v>29388.58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3075.223210516659</v>
      </c>
      <c r="N22" s="150">
        <f>M22/L22</f>
        <v>1025.0744035055529</v>
      </c>
      <c r="O22" s="152">
        <f>L22-I22</f>
        <v>0</v>
      </c>
      <c r="P22" s="153">
        <f>N22-K22</f>
        <v>-74.925596494447063</v>
      </c>
      <c r="Q22" s="154">
        <f>N22/K22</f>
        <v>0.93188582136868447</v>
      </c>
      <c r="R22" s="307">
        <f>Q38</f>
        <v>0.9311881254787534</v>
      </c>
      <c r="S22" s="155">
        <v>0.32430555555555557</v>
      </c>
      <c r="T22" s="156">
        <v>0.34578703703703706</v>
      </c>
      <c r="U22" s="157"/>
      <c r="V22" s="110">
        <v>30.944095269108111</v>
      </c>
      <c r="W22" s="159"/>
      <c r="X22" s="160"/>
      <c r="Y22" s="194"/>
      <c r="Z22" s="195"/>
      <c r="AA22" s="310"/>
      <c r="AB22" s="311"/>
      <c r="AC22" s="194"/>
      <c r="AD22" s="195"/>
      <c r="AE22" s="113">
        <f>M22-J22</f>
        <v>-224.77678948334096</v>
      </c>
      <c r="AF22" s="154">
        <f>M22/J22</f>
        <v>0.93188582136868459</v>
      </c>
      <c r="AG22" s="312">
        <f>AF38</f>
        <v>0.9311881254787534</v>
      </c>
    </row>
    <row r="23" spans="1:33" ht="15.75" customHeight="1">
      <c r="A23" s="302"/>
      <c r="B23" s="98" t="s">
        <v>118</v>
      </c>
      <c r="C23" s="297" t="s">
        <v>225</v>
      </c>
      <c r="D23" s="298"/>
      <c r="E23" s="99">
        <v>22.95</v>
      </c>
      <c r="F23" s="100">
        <v>3428</v>
      </c>
      <c r="G23" s="101">
        <f t="shared" si="12"/>
        <v>78672.599999999991</v>
      </c>
      <c r="H23" s="26"/>
      <c r="I23" s="102">
        <v>5</v>
      </c>
      <c r="J23" s="103">
        <v>2700</v>
      </c>
      <c r="K23" s="104">
        <f t="shared" ref="K23" si="13">J23/I23</f>
        <v>540</v>
      </c>
      <c r="L23" s="105">
        <v>5</v>
      </c>
      <c r="M23" s="103">
        <f>F23/V23*60</f>
        <v>2511.9055423558621</v>
      </c>
      <c r="N23" s="104">
        <f>M23/L23</f>
        <v>502.38110847117241</v>
      </c>
      <c r="O23" s="106">
        <f>L23-I23</f>
        <v>0</v>
      </c>
      <c r="P23" s="107">
        <f>N23-K23</f>
        <v>-37.618891528827589</v>
      </c>
      <c r="Q23" s="108">
        <f>N23/K23</f>
        <v>0.9303353860577267</v>
      </c>
      <c r="R23" s="308"/>
      <c r="S23" s="46">
        <v>0.34861111111111109</v>
      </c>
      <c r="T23" s="47">
        <v>0.40546296296296297</v>
      </c>
      <c r="U23" s="109">
        <v>5</v>
      </c>
      <c r="V23" s="110">
        <v>81.882059867226204</v>
      </c>
      <c r="W23" s="111"/>
      <c r="X23" s="114"/>
      <c r="Y23" s="12"/>
      <c r="Z23" s="196"/>
      <c r="AA23" s="299"/>
      <c r="AB23" s="300"/>
      <c r="AC23" s="12"/>
      <c r="AD23" s="196"/>
      <c r="AE23" s="115">
        <f>M23-J23</f>
        <v>-188.09445764413795</v>
      </c>
      <c r="AF23" s="108">
        <f>M23/J23</f>
        <v>0.9303353860577267</v>
      </c>
      <c r="AG23" s="313"/>
    </row>
    <row r="24" spans="1:33" ht="15.75" customHeight="1">
      <c r="A24" s="302"/>
      <c r="B24" s="98"/>
      <c r="C24" s="297"/>
      <c r="D24" s="298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08"/>
      <c r="S24" s="46"/>
      <c r="T24" s="47"/>
      <c r="U24" s="109"/>
      <c r="V24" s="110"/>
      <c r="W24" s="111"/>
      <c r="X24" s="114"/>
      <c r="Y24" s="12"/>
      <c r="Z24" s="196"/>
      <c r="AA24" s="299"/>
      <c r="AB24" s="300"/>
      <c r="AC24" s="12"/>
      <c r="AD24" s="196"/>
      <c r="AE24" s="115"/>
      <c r="AF24" s="108"/>
      <c r="AG24" s="313"/>
    </row>
    <row r="25" spans="1:33" ht="15.75" customHeight="1">
      <c r="A25" s="302"/>
      <c r="B25" s="98"/>
      <c r="C25" s="297"/>
      <c r="D25" s="298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8"/>
      <c r="S25" s="46"/>
      <c r="T25" s="47"/>
      <c r="U25" s="109"/>
      <c r="V25" s="110"/>
      <c r="W25" s="111"/>
      <c r="X25" s="114"/>
      <c r="Y25" s="12"/>
      <c r="Z25" s="196"/>
      <c r="AA25" s="299"/>
      <c r="AB25" s="300"/>
      <c r="AC25" s="12"/>
      <c r="AD25" s="196"/>
      <c r="AE25" s="115"/>
      <c r="AF25" s="108"/>
      <c r="AG25" s="313"/>
    </row>
    <row r="26" spans="1:33" ht="15.75" customHeight="1">
      <c r="A26" s="303"/>
      <c r="B26" s="98"/>
      <c r="C26" s="297"/>
      <c r="D26" s="298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8"/>
      <c r="S26" s="46"/>
      <c r="T26" s="47"/>
      <c r="U26" s="109"/>
      <c r="V26" s="110"/>
      <c r="W26" s="111"/>
      <c r="X26" s="114"/>
      <c r="Y26" s="12"/>
      <c r="Z26" s="196"/>
      <c r="AA26" s="299"/>
      <c r="AB26" s="300"/>
      <c r="AC26" s="12"/>
      <c r="AD26" s="196"/>
      <c r="AE26" s="115"/>
      <c r="AF26" s="108"/>
      <c r="AG26" s="313"/>
    </row>
    <row r="27" spans="1:33" ht="15.75" customHeight="1">
      <c r="A27" s="303"/>
      <c r="B27" s="98"/>
      <c r="C27" s="297"/>
      <c r="D27" s="298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8"/>
      <c r="S27" s="46"/>
      <c r="T27" s="118"/>
      <c r="U27" s="109"/>
      <c r="V27" s="110"/>
      <c r="W27" s="111"/>
      <c r="X27" s="114"/>
      <c r="Y27" s="12"/>
      <c r="Z27" s="196"/>
      <c r="AA27" s="299"/>
      <c r="AB27" s="300"/>
      <c r="AC27" s="12"/>
      <c r="AD27" s="196"/>
      <c r="AE27" s="115"/>
      <c r="AF27" s="108"/>
      <c r="AG27" s="313"/>
    </row>
    <row r="28" spans="1:33" ht="15.75" customHeight="1">
      <c r="A28" s="303"/>
      <c r="B28" s="98"/>
      <c r="C28" s="297"/>
      <c r="D28" s="298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8"/>
      <c r="S28" s="46"/>
      <c r="T28" s="118"/>
      <c r="U28" s="109"/>
      <c r="V28" s="110"/>
      <c r="W28" s="111"/>
      <c r="X28" s="114"/>
      <c r="Y28" s="12"/>
      <c r="Z28" s="196"/>
      <c r="AA28" s="299"/>
      <c r="AB28" s="300"/>
      <c r="AC28" s="12"/>
      <c r="AD28" s="196"/>
      <c r="AE28" s="115"/>
      <c r="AF28" s="108"/>
      <c r="AG28" s="313"/>
    </row>
    <row r="29" spans="1:33" ht="15.75" customHeight="1">
      <c r="A29" s="303"/>
      <c r="B29" s="98"/>
      <c r="C29" s="297"/>
      <c r="D29" s="298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8"/>
      <c r="S29" s="46"/>
      <c r="T29" s="118"/>
      <c r="U29" s="109"/>
      <c r="V29" s="110"/>
      <c r="W29" s="111"/>
      <c r="X29" s="114"/>
      <c r="Y29" s="12"/>
      <c r="Z29" s="196"/>
      <c r="AA29" s="299"/>
      <c r="AB29" s="300"/>
      <c r="AC29" s="12"/>
      <c r="AD29" s="196"/>
      <c r="AE29" s="115"/>
      <c r="AF29" s="108"/>
      <c r="AG29" s="313"/>
    </row>
    <row r="30" spans="1:33" ht="15.75" customHeight="1">
      <c r="A30" s="303"/>
      <c r="B30" s="98"/>
      <c r="C30" s="297"/>
      <c r="D30" s="298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8"/>
      <c r="S30" s="46"/>
      <c r="T30" s="118"/>
      <c r="U30" s="109"/>
      <c r="V30" s="110"/>
      <c r="W30" s="111"/>
      <c r="X30" s="114"/>
      <c r="Y30" s="12"/>
      <c r="Z30" s="196"/>
      <c r="AA30" s="299"/>
      <c r="AB30" s="300"/>
      <c r="AC30" s="12"/>
      <c r="AD30" s="196"/>
      <c r="AE30" s="115"/>
      <c r="AF30" s="108"/>
      <c r="AG30" s="313"/>
    </row>
    <row r="31" spans="1:33" ht="15.75" customHeight="1">
      <c r="A31" s="303"/>
      <c r="B31" s="98"/>
      <c r="C31" s="297"/>
      <c r="D31" s="298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8"/>
      <c r="S31" s="46"/>
      <c r="T31" s="118"/>
      <c r="U31" s="109"/>
      <c r="V31" s="110"/>
      <c r="W31" s="111"/>
      <c r="X31" s="114"/>
      <c r="Y31" s="12"/>
      <c r="Z31" s="196"/>
      <c r="AA31" s="299"/>
      <c r="AB31" s="300"/>
      <c r="AC31" s="12"/>
      <c r="AD31" s="196"/>
      <c r="AE31" s="115"/>
      <c r="AF31" s="108"/>
      <c r="AG31" s="313"/>
    </row>
    <row r="32" spans="1:33" ht="15.75" customHeight="1">
      <c r="A32" s="303"/>
      <c r="B32" s="98"/>
      <c r="C32" s="297"/>
      <c r="D32" s="298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8"/>
      <c r="S32" s="46"/>
      <c r="T32" s="118"/>
      <c r="U32" s="109"/>
      <c r="V32" s="110"/>
      <c r="W32" s="111"/>
      <c r="X32" s="114"/>
      <c r="Y32" s="12"/>
      <c r="Z32" s="196"/>
      <c r="AA32" s="299"/>
      <c r="AB32" s="300"/>
      <c r="AC32" s="12"/>
      <c r="AD32" s="196"/>
      <c r="AE32" s="115"/>
      <c r="AF32" s="108"/>
      <c r="AG32" s="313"/>
    </row>
    <row r="33" spans="1:33" ht="15.75" customHeight="1">
      <c r="A33" s="303"/>
      <c r="B33" s="98"/>
      <c r="C33" s="297"/>
      <c r="D33" s="298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8"/>
      <c r="S33" s="46"/>
      <c r="T33" s="118"/>
      <c r="U33" s="109"/>
      <c r="V33" s="110"/>
      <c r="W33" s="111"/>
      <c r="X33" s="114"/>
      <c r="Y33" s="12"/>
      <c r="Z33" s="196"/>
      <c r="AA33" s="299"/>
      <c r="AB33" s="300"/>
      <c r="AC33" s="12"/>
      <c r="AD33" s="196"/>
      <c r="AE33" s="115"/>
      <c r="AF33" s="108"/>
      <c r="AG33" s="313"/>
    </row>
    <row r="34" spans="1:33" ht="15.75" customHeight="1">
      <c r="A34" s="303"/>
      <c r="B34" s="98"/>
      <c r="C34" s="297"/>
      <c r="D34" s="298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8"/>
      <c r="S34" s="46"/>
      <c r="T34" s="118"/>
      <c r="U34" s="109"/>
      <c r="V34" s="110"/>
      <c r="W34" s="111"/>
      <c r="X34" s="114"/>
      <c r="Y34" s="12"/>
      <c r="Z34" s="196"/>
      <c r="AA34" s="299"/>
      <c r="AB34" s="300"/>
      <c r="AC34" s="12"/>
      <c r="AD34" s="196"/>
      <c r="AE34" s="115"/>
      <c r="AF34" s="108"/>
      <c r="AG34" s="313"/>
    </row>
    <row r="35" spans="1:33" ht="15.75" customHeight="1">
      <c r="A35" s="303"/>
      <c r="B35" s="98"/>
      <c r="C35" s="297"/>
      <c r="D35" s="298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8"/>
      <c r="S35" s="46"/>
      <c r="T35" s="118"/>
      <c r="U35" s="109"/>
      <c r="V35" s="110"/>
      <c r="W35" s="111"/>
      <c r="X35" s="114"/>
      <c r="Y35" s="12"/>
      <c r="Z35" s="196"/>
      <c r="AA35" s="299"/>
      <c r="AB35" s="300"/>
      <c r="AC35" s="12"/>
      <c r="AD35" s="196"/>
      <c r="AE35" s="115"/>
      <c r="AF35" s="108"/>
      <c r="AG35" s="313"/>
    </row>
    <row r="36" spans="1:33" ht="15.75" customHeight="1">
      <c r="A36" s="303"/>
      <c r="B36" s="98"/>
      <c r="C36" s="297"/>
      <c r="D36" s="298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8"/>
      <c r="S36" s="46"/>
      <c r="T36" s="118"/>
      <c r="U36" s="109"/>
      <c r="V36" s="110"/>
      <c r="W36" s="111"/>
      <c r="X36" s="114"/>
      <c r="Y36" s="12"/>
      <c r="Z36" s="196"/>
      <c r="AA36" s="299"/>
      <c r="AB36" s="300"/>
      <c r="AC36" s="12"/>
      <c r="AD36" s="196"/>
      <c r="AE36" s="115"/>
      <c r="AF36" s="108"/>
      <c r="AG36" s="313"/>
    </row>
    <row r="37" spans="1:33" ht="15.75" customHeight="1">
      <c r="A37" s="303"/>
      <c r="B37" s="98"/>
      <c r="C37" s="297"/>
      <c r="D37" s="298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8"/>
      <c r="S37" s="117"/>
      <c r="T37" s="118"/>
      <c r="U37" s="128"/>
      <c r="V37" s="129"/>
      <c r="W37" s="124"/>
      <c r="X37" s="125"/>
      <c r="Y37" s="12"/>
      <c r="Z37" s="196"/>
      <c r="AA37" s="299"/>
      <c r="AB37" s="300"/>
      <c r="AC37" s="12"/>
      <c r="AD37" s="196"/>
      <c r="AE37" s="163"/>
      <c r="AF37" s="123"/>
      <c r="AG37" s="313"/>
    </row>
    <row r="38" spans="1:33" ht="15.75" customHeight="1" thickBot="1">
      <c r="A38" s="304"/>
      <c r="B38" s="131" t="s">
        <v>115</v>
      </c>
      <c r="C38" s="294"/>
      <c r="D38" s="294"/>
      <c r="E38" s="132"/>
      <c r="F38" s="97"/>
      <c r="G38" s="133"/>
      <c r="H38" s="67"/>
      <c r="I38" s="134">
        <f t="shared" ref="I38:J38" si="14">AVERAGE(I22:I37)</f>
        <v>4</v>
      </c>
      <c r="J38" s="135">
        <f t="shared" si="14"/>
        <v>3000</v>
      </c>
      <c r="K38" s="136">
        <f t="shared" ref="K38" si="15">J38/I38</f>
        <v>750</v>
      </c>
      <c r="L38" s="134">
        <f t="shared" ref="L38:M38" si="16">AVERAGE(L22:L37)</f>
        <v>4</v>
      </c>
      <c r="M38" s="135">
        <f t="shared" si="16"/>
        <v>2793.5643764362603</v>
      </c>
      <c r="N38" s="136">
        <f t="shared" ref="N38:N46" si="17">M38/L38</f>
        <v>698.39109410906508</v>
      </c>
      <c r="O38" s="137">
        <f t="shared" ref="O38:O46" si="18">L38-I38</f>
        <v>0</v>
      </c>
      <c r="P38" s="138">
        <f t="shared" ref="P38:P46" si="19">N38-K38</f>
        <v>-51.608905890934921</v>
      </c>
      <c r="Q38" s="139">
        <f t="shared" ref="Q38:Q46" si="20">N38/K38</f>
        <v>0.9311881254787534</v>
      </c>
      <c r="R38" s="309"/>
      <c r="S38" s="140">
        <v>0.32430555555555557</v>
      </c>
      <c r="T38" s="141">
        <v>0.40546296296296297</v>
      </c>
      <c r="U38" s="142"/>
      <c r="V38" s="164"/>
      <c r="W38" s="97"/>
      <c r="X38" s="67"/>
      <c r="Y38" s="177">
        <f t="shared" ref="Y38:Z38" si="21">SUM(Y22:Y37)</f>
        <v>0</v>
      </c>
      <c r="Z38" s="178">
        <f t="shared" si="21"/>
        <v>0</v>
      </c>
      <c r="AA38" s="295"/>
      <c r="AB38" s="296"/>
      <c r="AC38" s="177">
        <f t="shared" ref="AC38:AD38" si="22">SUM(AC22:AC37)</f>
        <v>0</v>
      </c>
      <c r="AD38" s="178">
        <f t="shared" si="22"/>
        <v>0</v>
      </c>
      <c r="AE38" s="166">
        <f t="shared" ref="AE38:AE46" si="23">M38-J38</f>
        <v>-206.43562356373968</v>
      </c>
      <c r="AF38" s="139">
        <f t="shared" ref="AF38:AF46" si="24">M38/J38</f>
        <v>0.9311881254787534</v>
      </c>
      <c r="AG38" s="314"/>
    </row>
    <row r="39" spans="1:33" ht="15.75" customHeight="1">
      <c r="A39" s="315" t="s">
        <v>71</v>
      </c>
      <c r="B39" s="112" t="s">
        <v>118</v>
      </c>
      <c r="C39" s="305" t="s">
        <v>129</v>
      </c>
      <c r="D39" s="306"/>
      <c r="E39" s="145">
        <v>24.82</v>
      </c>
      <c r="F39" s="95">
        <v>790</v>
      </c>
      <c r="G39" s="146">
        <f t="shared" ref="G39:G46" si="25">E39*F39</f>
        <v>19607.8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6" si="26">F39/V39*60</f>
        <v>3281.3907094272427</v>
      </c>
      <c r="N39" s="150">
        <f t="shared" si="17"/>
        <v>656.27814188544858</v>
      </c>
      <c r="O39" s="152">
        <f t="shared" si="18"/>
        <v>0</v>
      </c>
      <c r="P39" s="153">
        <f t="shared" si="19"/>
        <v>-63.721858114551424</v>
      </c>
      <c r="Q39" s="154">
        <f t="shared" si="20"/>
        <v>0.91149741928534522</v>
      </c>
      <c r="R39" s="307">
        <f>Q55</f>
        <v>0.91868569235047648</v>
      </c>
      <c r="S39" s="155">
        <v>0.25</v>
      </c>
      <c r="T39" s="156">
        <v>0.26002314814814814</v>
      </c>
      <c r="U39" s="157"/>
      <c r="V39" s="158">
        <v>14.44509483854592</v>
      </c>
      <c r="W39" s="159"/>
      <c r="X39" s="160"/>
      <c r="Y39" s="194"/>
      <c r="Z39" s="195"/>
      <c r="AA39" s="310"/>
      <c r="AB39" s="311"/>
      <c r="AC39" s="194"/>
      <c r="AD39" s="195"/>
      <c r="AE39" s="113">
        <f t="shared" si="23"/>
        <v>-318.60929057275735</v>
      </c>
      <c r="AF39" s="154">
        <f t="shared" si="24"/>
        <v>0.91149741928534522</v>
      </c>
      <c r="AG39" s="312">
        <f>AF55</f>
        <v>0.91868569235047648</v>
      </c>
    </row>
    <row r="40" spans="1:33" ht="15.75" customHeight="1">
      <c r="A40" s="316"/>
      <c r="B40" s="98" t="s">
        <v>118</v>
      </c>
      <c r="C40" s="297" t="s">
        <v>128</v>
      </c>
      <c r="D40" s="298"/>
      <c r="E40" s="99">
        <v>25.03</v>
      </c>
      <c r="F40" s="100">
        <v>704</v>
      </c>
      <c r="G40" s="101">
        <f t="shared" si="25"/>
        <v>17621.120000000003</v>
      </c>
      <c r="H40" s="26"/>
      <c r="I40" s="102">
        <v>5</v>
      </c>
      <c r="J40" s="103">
        <v>3600</v>
      </c>
      <c r="K40" s="104">
        <f t="shared" ref="K40:K63" si="27">J40/I40</f>
        <v>720</v>
      </c>
      <c r="L40" s="105">
        <v>5</v>
      </c>
      <c r="M40" s="103">
        <f t="shared" si="26"/>
        <v>3283.6308303088499</v>
      </c>
      <c r="N40" s="104">
        <f t="shared" si="17"/>
        <v>656.72616606176996</v>
      </c>
      <c r="O40" s="106">
        <f t="shared" si="18"/>
        <v>0</v>
      </c>
      <c r="P40" s="107">
        <f t="shared" si="19"/>
        <v>-63.273833938230041</v>
      </c>
      <c r="Q40" s="108">
        <f t="shared" si="20"/>
        <v>0.91211967508579161</v>
      </c>
      <c r="R40" s="308"/>
      <c r="S40" s="46">
        <v>0.26944444444444449</v>
      </c>
      <c r="T40" s="47">
        <v>0.2783680555555556</v>
      </c>
      <c r="U40" s="109">
        <v>13.566666666666736</v>
      </c>
      <c r="V40" s="110">
        <v>12.8638090525015</v>
      </c>
      <c r="W40" s="111"/>
      <c r="X40" s="114"/>
      <c r="Y40" s="12"/>
      <c r="Z40" s="196"/>
      <c r="AA40" s="299"/>
      <c r="AB40" s="300"/>
      <c r="AC40" s="12"/>
      <c r="AD40" s="196"/>
      <c r="AE40" s="115">
        <f t="shared" si="23"/>
        <v>-316.36916969115009</v>
      </c>
      <c r="AF40" s="108">
        <f t="shared" si="24"/>
        <v>0.91211967508579161</v>
      </c>
      <c r="AG40" s="313"/>
    </row>
    <row r="41" spans="1:33" ht="15.75" customHeight="1">
      <c r="A41" s="316"/>
      <c r="B41" s="98" t="s">
        <v>118</v>
      </c>
      <c r="C41" s="297" t="s">
        <v>219</v>
      </c>
      <c r="D41" s="298"/>
      <c r="E41" s="99">
        <v>23.8</v>
      </c>
      <c r="F41" s="100">
        <v>617</v>
      </c>
      <c r="G41" s="101">
        <f t="shared" si="25"/>
        <v>14684.6</v>
      </c>
      <c r="H41" s="26"/>
      <c r="I41" s="102">
        <v>4</v>
      </c>
      <c r="J41" s="103">
        <v>3600</v>
      </c>
      <c r="K41" s="104">
        <f t="shared" si="27"/>
        <v>900</v>
      </c>
      <c r="L41" s="105">
        <v>4</v>
      </c>
      <c r="M41" s="103">
        <f t="shared" si="26"/>
        <v>3278.8137273714501</v>
      </c>
      <c r="N41" s="104">
        <f t="shared" si="17"/>
        <v>819.70343184286253</v>
      </c>
      <c r="O41" s="106">
        <f t="shared" si="18"/>
        <v>0</v>
      </c>
      <c r="P41" s="107">
        <f t="shared" si="19"/>
        <v>-80.296568157137472</v>
      </c>
      <c r="Q41" s="108">
        <f t="shared" si="20"/>
        <v>0.9107815909365139</v>
      </c>
      <c r="R41" s="308"/>
      <c r="S41" s="46">
        <v>0.28750000000000009</v>
      </c>
      <c r="T41" s="47">
        <v>0.29533564814814822</v>
      </c>
      <c r="U41" s="109">
        <v>13.150000000000057</v>
      </c>
      <c r="V41" s="110">
        <v>11.290668844941701</v>
      </c>
      <c r="W41" s="111"/>
      <c r="X41" s="114"/>
      <c r="Y41" s="12"/>
      <c r="Z41" s="196"/>
      <c r="AA41" s="299"/>
      <c r="AB41" s="300"/>
      <c r="AC41" s="12"/>
      <c r="AD41" s="196"/>
      <c r="AE41" s="115">
        <f t="shared" si="23"/>
        <v>-321.18627262854989</v>
      </c>
      <c r="AF41" s="108">
        <f t="shared" si="24"/>
        <v>0.9107815909365139</v>
      </c>
      <c r="AG41" s="313"/>
    </row>
    <row r="42" spans="1:33" ht="15.75" customHeight="1">
      <c r="A42" s="316"/>
      <c r="B42" s="98" t="s">
        <v>118</v>
      </c>
      <c r="C42" s="297" t="s">
        <v>207</v>
      </c>
      <c r="D42" s="298"/>
      <c r="E42" s="99">
        <v>30</v>
      </c>
      <c r="F42" s="100">
        <v>647</v>
      </c>
      <c r="G42" s="101">
        <f t="shared" si="25"/>
        <v>19410</v>
      </c>
      <c r="H42" s="26"/>
      <c r="I42" s="102">
        <v>4</v>
      </c>
      <c r="J42" s="103">
        <v>3300</v>
      </c>
      <c r="K42" s="104">
        <f t="shared" si="27"/>
        <v>825</v>
      </c>
      <c r="L42" s="105">
        <v>4</v>
      </c>
      <c r="M42" s="103">
        <f t="shared" si="26"/>
        <v>3077.6712781355441</v>
      </c>
      <c r="N42" s="104">
        <f t="shared" si="17"/>
        <v>769.41781953388602</v>
      </c>
      <c r="O42" s="106">
        <f t="shared" si="18"/>
        <v>0</v>
      </c>
      <c r="P42" s="107">
        <f t="shared" si="19"/>
        <v>-55.582180466113982</v>
      </c>
      <c r="Q42" s="108">
        <f t="shared" si="20"/>
        <v>0.932627660041074</v>
      </c>
      <c r="R42" s="308"/>
      <c r="S42" s="46">
        <v>0.30486111111111119</v>
      </c>
      <c r="T42" s="47">
        <v>0.31361111111111117</v>
      </c>
      <c r="U42" s="109">
        <v>13.716666666666679</v>
      </c>
      <c r="V42" s="110">
        <v>12.613432849630772</v>
      </c>
      <c r="W42" s="111"/>
      <c r="X42" s="114"/>
      <c r="Y42" s="12"/>
      <c r="Z42" s="196"/>
      <c r="AA42" s="299"/>
      <c r="AB42" s="300"/>
      <c r="AC42" s="12"/>
      <c r="AD42" s="196"/>
      <c r="AE42" s="115">
        <f t="shared" si="23"/>
        <v>-222.32872186445593</v>
      </c>
      <c r="AF42" s="108">
        <f t="shared" si="24"/>
        <v>0.932627660041074</v>
      </c>
      <c r="AG42" s="313"/>
    </row>
    <row r="43" spans="1:33" ht="15.75" customHeight="1">
      <c r="A43" s="316"/>
      <c r="B43" s="98" t="s">
        <v>118</v>
      </c>
      <c r="C43" s="297" t="s">
        <v>124</v>
      </c>
      <c r="D43" s="298"/>
      <c r="E43" s="99">
        <v>18.18</v>
      </c>
      <c r="F43" s="100">
        <v>1174</v>
      </c>
      <c r="G43" s="101">
        <f t="shared" si="25"/>
        <v>21343.32</v>
      </c>
      <c r="H43" s="13"/>
      <c r="I43" s="102">
        <v>3</v>
      </c>
      <c r="J43" s="103">
        <v>3600</v>
      </c>
      <c r="K43" s="104">
        <f t="shared" si="27"/>
        <v>1200</v>
      </c>
      <c r="L43" s="105">
        <v>3</v>
      </c>
      <c r="M43" s="103">
        <f t="shared" si="26"/>
        <v>3278.9222842617428</v>
      </c>
      <c r="N43" s="104">
        <f t="shared" si="17"/>
        <v>1092.9740947539142</v>
      </c>
      <c r="O43" s="106">
        <f t="shared" si="18"/>
        <v>0</v>
      </c>
      <c r="P43" s="107">
        <f t="shared" si="19"/>
        <v>-107.02590524608581</v>
      </c>
      <c r="Q43" s="108">
        <f t="shared" si="20"/>
        <v>0.91081174562826184</v>
      </c>
      <c r="R43" s="308"/>
      <c r="S43" s="46">
        <v>0.3229166666666668</v>
      </c>
      <c r="T43" s="47">
        <v>0.33782407407407422</v>
      </c>
      <c r="U43" s="109">
        <v>13.400000000000096</v>
      </c>
      <c r="V43" s="110">
        <v>21.482668356642598</v>
      </c>
      <c r="W43" s="111"/>
      <c r="X43" s="114"/>
      <c r="Y43" s="12"/>
      <c r="Z43" s="196"/>
      <c r="AA43" s="299"/>
      <c r="AB43" s="300"/>
      <c r="AC43" s="12"/>
      <c r="AD43" s="196"/>
      <c r="AE43" s="115">
        <f t="shared" si="23"/>
        <v>-321.07771573825721</v>
      </c>
      <c r="AF43" s="108">
        <f t="shared" si="24"/>
        <v>0.91081174562826184</v>
      </c>
      <c r="AG43" s="313"/>
    </row>
    <row r="44" spans="1:33" ht="15.75" customHeight="1">
      <c r="A44" s="316"/>
      <c r="B44" s="98" t="s">
        <v>118</v>
      </c>
      <c r="C44" s="297" t="s">
        <v>199</v>
      </c>
      <c r="D44" s="298"/>
      <c r="E44" s="99">
        <v>17.07</v>
      </c>
      <c r="F44" s="100">
        <v>1273</v>
      </c>
      <c r="G44" s="119">
        <f t="shared" si="25"/>
        <v>21730.11</v>
      </c>
      <c r="H44" s="120"/>
      <c r="I44" s="102">
        <v>3</v>
      </c>
      <c r="J44" s="103">
        <v>3300</v>
      </c>
      <c r="K44" s="104">
        <f t="shared" si="27"/>
        <v>1100</v>
      </c>
      <c r="L44" s="105">
        <v>3</v>
      </c>
      <c r="M44" s="103">
        <f t="shared" si="26"/>
        <v>3074.1825808972671</v>
      </c>
      <c r="N44" s="104">
        <f t="shared" si="17"/>
        <v>1024.7275269657557</v>
      </c>
      <c r="O44" s="106">
        <f t="shared" si="18"/>
        <v>0</v>
      </c>
      <c r="P44" s="107">
        <f t="shared" si="19"/>
        <v>-75.272473034244285</v>
      </c>
      <c r="Q44" s="108">
        <f t="shared" si="20"/>
        <v>0.93157047905977797</v>
      </c>
      <c r="R44" s="308"/>
      <c r="S44" s="46">
        <v>0.34722222222222238</v>
      </c>
      <c r="T44" s="118">
        <v>0.36446759259259276</v>
      </c>
      <c r="U44" s="109">
        <v>13.533333333333344</v>
      </c>
      <c r="V44" s="110">
        <v>24.845629037982135</v>
      </c>
      <c r="W44" s="111"/>
      <c r="X44" s="114"/>
      <c r="Y44" s="12"/>
      <c r="Z44" s="196"/>
      <c r="AA44" s="299"/>
      <c r="AB44" s="300"/>
      <c r="AC44" s="12"/>
      <c r="AD44" s="196"/>
      <c r="AE44" s="115">
        <f t="shared" si="23"/>
        <v>-225.81741910273286</v>
      </c>
      <c r="AF44" s="108">
        <f t="shared" si="24"/>
        <v>0.93157047905977797</v>
      </c>
      <c r="AG44" s="313"/>
    </row>
    <row r="45" spans="1:33" ht="15.75" customHeight="1">
      <c r="A45" s="316"/>
      <c r="B45" s="98" t="s">
        <v>118</v>
      </c>
      <c r="C45" s="297" t="s">
        <v>125</v>
      </c>
      <c r="D45" s="298"/>
      <c r="E45" s="99">
        <v>14.03</v>
      </c>
      <c r="F45" s="100">
        <v>3491</v>
      </c>
      <c r="G45" s="119">
        <f t="shared" si="25"/>
        <v>48978.729999999996</v>
      </c>
      <c r="H45" s="60"/>
      <c r="I45" s="102">
        <v>3</v>
      </c>
      <c r="J45" s="103">
        <v>3000</v>
      </c>
      <c r="K45" s="104">
        <f t="shared" si="27"/>
        <v>1000</v>
      </c>
      <c r="L45" s="105">
        <v>3</v>
      </c>
      <c r="M45" s="103">
        <f t="shared" si="26"/>
        <v>2799.2555878084167</v>
      </c>
      <c r="N45" s="104">
        <f t="shared" si="17"/>
        <v>933.08519593613892</v>
      </c>
      <c r="O45" s="121">
        <f t="shared" si="18"/>
        <v>0</v>
      </c>
      <c r="P45" s="122">
        <f t="shared" si="19"/>
        <v>-66.914804063861084</v>
      </c>
      <c r="Q45" s="123">
        <f t="shared" si="20"/>
        <v>0.93308519593613892</v>
      </c>
      <c r="R45" s="308"/>
      <c r="S45" s="46">
        <v>0.37361111111111128</v>
      </c>
      <c r="T45" s="118">
        <v>0.42556712962962978</v>
      </c>
      <c r="U45" s="109">
        <v>13.166666666666673</v>
      </c>
      <c r="V45" s="110">
        <v>74.827036485078409</v>
      </c>
      <c r="W45" s="111"/>
      <c r="X45" s="114"/>
      <c r="Y45" s="12"/>
      <c r="Z45" s="196"/>
      <c r="AA45" s="299"/>
      <c r="AB45" s="300"/>
      <c r="AC45" s="12"/>
      <c r="AD45" s="196"/>
      <c r="AE45" s="115">
        <f t="shared" si="23"/>
        <v>-200.74441219158325</v>
      </c>
      <c r="AF45" s="108">
        <f t="shared" si="24"/>
        <v>0.93308519593613892</v>
      </c>
      <c r="AG45" s="313"/>
    </row>
    <row r="46" spans="1:33" ht="15.75" customHeight="1">
      <c r="A46" s="316"/>
      <c r="B46" s="98" t="s">
        <v>118</v>
      </c>
      <c r="C46" s="297" t="s">
        <v>127</v>
      </c>
      <c r="D46" s="298"/>
      <c r="E46" s="99">
        <v>14.28</v>
      </c>
      <c r="F46" s="100">
        <v>5222</v>
      </c>
      <c r="G46" s="119">
        <f t="shared" si="25"/>
        <v>74570.16</v>
      </c>
      <c r="H46" s="60"/>
      <c r="I46" s="102">
        <v>3</v>
      </c>
      <c r="J46" s="103">
        <v>3600</v>
      </c>
      <c r="K46" s="104">
        <f t="shared" si="27"/>
        <v>1200</v>
      </c>
      <c r="L46" s="116">
        <v>3</v>
      </c>
      <c r="M46" s="103">
        <f t="shared" si="26"/>
        <v>3281.8581106626357</v>
      </c>
      <c r="N46" s="104">
        <f t="shared" si="17"/>
        <v>1093.9527035542119</v>
      </c>
      <c r="O46" s="121">
        <f t="shared" si="18"/>
        <v>0</v>
      </c>
      <c r="P46" s="122">
        <f t="shared" si="19"/>
        <v>-106.04729644578811</v>
      </c>
      <c r="Q46" s="123">
        <f t="shared" si="20"/>
        <v>0.91162725296184322</v>
      </c>
      <c r="R46" s="308"/>
      <c r="S46" s="46">
        <v>0.4347222222222224</v>
      </c>
      <c r="T46" s="118">
        <v>0.50101851851851875</v>
      </c>
      <c r="U46" s="109">
        <v>13.183333333333369</v>
      </c>
      <c r="V46" s="110">
        <v>95.470306587001701</v>
      </c>
      <c r="W46" s="111"/>
      <c r="X46" s="114"/>
      <c r="Y46" s="12"/>
      <c r="Z46" s="196"/>
      <c r="AA46" s="299"/>
      <c r="AB46" s="300"/>
      <c r="AC46" s="12"/>
      <c r="AD46" s="196"/>
      <c r="AE46" s="115">
        <f t="shared" si="23"/>
        <v>-318.14188933736432</v>
      </c>
      <c r="AF46" s="108">
        <f t="shared" si="24"/>
        <v>0.91162725296184322</v>
      </c>
      <c r="AG46" s="313"/>
    </row>
    <row r="47" spans="1:33" ht="15.75" customHeight="1">
      <c r="A47" s="316"/>
      <c r="B47" s="98"/>
      <c r="C47" s="297"/>
      <c r="D47" s="298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8"/>
      <c r="S47" s="46"/>
      <c r="T47" s="118"/>
      <c r="U47" s="109"/>
      <c r="V47" s="110"/>
      <c r="W47" s="111"/>
      <c r="X47" s="114"/>
      <c r="Y47" s="12"/>
      <c r="Z47" s="196"/>
      <c r="AA47" s="299"/>
      <c r="AB47" s="300"/>
      <c r="AC47" s="12"/>
      <c r="AD47" s="196"/>
      <c r="AE47" s="115"/>
      <c r="AF47" s="108"/>
      <c r="AG47" s="313"/>
    </row>
    <row r="48" spans="1:33" ht="15.75" customHeight="1">
      <c r="A48" s="316"/>
      <c r="B48" s="98"/>
      <c r="C48" s="297"/>
      <c r="D48" s="298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8"/>
      <c r="S48" s="46"/>
      <c r="T48" s="118"/>
      <c r="U48" s="109"/>
      <c r="V48" s="110"/>
      <c r="W48" s="111"/>
      <c r="X48" s="114"/>
      <c r="Y48" s="12"/>
      <c r="Z48" s="196"/>
      <c r="AA48" s="299"/>
      <c r="AB48" s="300"/>
      <c r="AC48" s="12"/>
      <c r="AD48" s="196"/>
      <c r="AE48" s="115"/>
      <c r="AF48" s="108"/>
      <c r="AG48" s="313"/>
    </row>
    <row r="49" spans="1:33" ht="15.75" customHeight="1">
      <c r="A49" s="316"/>
      <c r="B49" s="98"/>
      <c r="C49" s="297"/>
      <c r="D49" s="298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8"/>
      <c r="S49" s="46"/>
      <c r="T49" s="118"/>
      <c r="U49" s="109"/>
      <c r="V49" s="110"/>
      <c r="W49" s="124"/>
      <c r="X49" s="125"/>
      <c r="Y49" s="12"/>
      <c r="Z49" s="196"/>
      <c r="AA49" s="299"/>
      <c r="AB49" s="300"/>
      <c r="AC49" s="12"/>
      <c r="AD49" s="196"/>
      <c r="AE49" s="115"/>
      <c r="AF49" s="108"/>
      <c r="AG49" s="313"/>
    </row>
    <row r="50" spans="1:33" ht="15.75" customHeight="1">
      <c r="A50" s="316"/>
      <c r="B50" s="98"/>
      <c r="C50" s="297"/>
      <c r="D50" s="298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8"/>
      <c r="S50" s="46"/>
      <c r="T50" s="118"/>
      <c r="U50" s="109"/>
      <c r="V50" s="110"/>
      <c r="W50" s="124"/>
      <c r="X50" s="125"/>
      <c r="Y50" s="12"/>
      <c r="Z50" s="196"/>
      <c r="AA50" s="299"/>
      <c r="AB50" s="300"/>
      <c r="AC50" s="12"/>
      <c r="AD50" s="196"/>
      <c r="AE50" s="115"/>
      <c r="AF50" s="108"/>
      <c r="AG50" s="313"/>
    </row>
    <row r="51" spans="1:33" ht="15.75" customHeight="1">
      <c r="A51" s="316"/>
      <c r="B51" s="98"/>
      <c r="C51" s="297"/>
      <c r="D51" s="298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8"/>
      <c r="S51" s="46"/>
      <c r="T51" s="118"/>
      <c r="U51" s="109"/>
      <c r="V51" s="110"/>
      <c r="W51" s="124"/>
      <c r="X51" s="125"/>
      <c r="Y51" s="12"/>
      <c r="Z51" s="196"/>
      <c r="AA51" s="299"/>
      <c r="AB51" s="300"/>
      <c r="AC51" s="12"/>
      <c r="AD51" s="196"/>
      <c r="AE51" s="115"/>
      <c r="AF51" s="108"/>
      <c r="AG51" s="313"/>
    </row>
    <row r="52" spans="1:33" ht="15.75" customHeight="1">
      <c r="A52" s="316"/>
      <c r="B52" s="98"/>
      <c r="C52" s="297"/>
      <c r="D52" s="298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8"/>
      <c r="S52" s="46"/>
      <c r="T52" s="118"/>
      <c r="U52" s="109"/>
      <c r="V52" s="110"/>
      <c r="W52" s="124"/>
      <c r="X52" s="125"/>
      <c r="Y52" s="12"/>
      <c r="Z52" s="196"/>
      <c r="AA52" s="299"/>
      <c r="AB52" s="300"/>
      <c r="AC52" s="12"/>
      <c r="AD52" s="196"/>
      <c r="AE52" s="115"/>
      <c r="AF52" s="108"/>
      <c r="AG52" s="313"/>
    </row>
    <row r="53" spans="1:33" ht="15.75" customHeight="1">
      <c r="A53" s="316"/>
      <c r="B53" s="98"/>
      <c r="C53" s="297"/>
      <c r="D53" s="298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8"/>
      <c r="S53" s="46"/>
      <c r="T53" s="118"/>
      <c r="U53" s="109"/>
      <c r="V53" s="110"/>
      <c r="W53" s="124"/>
      <c r="X53" s="125"/>
      <c r="Y53" s="12"/>
      <c r="Z53" s="196"/>
      <c r="AA53" s="299"/>
      <c r="AB53" s="300"/>
      <c r="AC53" s="12"/>
      <c r="AD53" s="196"/>
      <c r="AE53" s="115"/>
      <c r="AF53" s="108"/>
      <c r="AG53" s="313"/>
    </row>
    <row r="54" spans="1:33" ht="15.75" customHeight="1">
      <c r="A54" s="316"/>
      <c r="B54" s="98"/>
      <c r="C54" s="297"/>
      <c r="D54" s="298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8"/>
      <c r="S54" s="117"/>
      <c r="T54" s="118"/>
      <c r="U54" s="128"/>
      <c r="V54" s="129"/>
      <c r="W54" s="124"/>
      <c r="X54" s="125"/>
      <c r="Y54" s="12"/>
      <c r="Z54" s="196"/>
      <c r="AA54" s="299"/>
      <c r="AB54" s="300"/>
      <c r="AC54" s="12"/>
      <c r="AD54" s="196"/>
      <c r="AE54" s="163"/>
      <c r="AF54" s="123"/>
      <c r="AG54" s="313"/>
    </row>
    <row r="55" spans="1:33" ht="15.75" customHeight="1" thickBot="1">
      <c r="A55" s="317"/>
      <c r="B55" s="131" t="s">
        <v>115</v>
      </c>
      <c r="C55" s="294"/>
      <c r="D55" s="294"/>
      <c r="E55" s="132"/>
      <c r="F55" s="97"/>
      <c r="G55" s="133"/>
      <c r="H55" s="67"/>
      <c r="I55" s="134">
        <f t="shared" ref="I55:J55" si="28">AVERAGE(I39:I54)</f>
        <v>3.75</v>
      </c>
      <c r="J55" s="135">
        <f t="shared" si="28"/>
        <v>3450</v>
      </c>
      <c r="K55" s="136">
        <f t="shared" ref="K55" si="29">J55/I55</f>
        <v>920</v>
      </c>
      <c r="L55" s="134">
        <f t="shared" ref="L55:M55" si="30">AVERAGE(L39:L54)</f>
        <v>3.75</v>
      </c>
      <c r="M55" s="135">
        <f t="shared" si="30"/>
        <v>3169.4656386091438</v>
      </c>
      <c r="N55" s="136">
        <f t="shared" ref="N55:N63" si="31">M55/L55</f>
        <v>845.19083696243831</v>
      </c>
      <c r="O55" s="137">
        <f t="shared" ref="O55:O63" si="32">L55-I55</f>
        <v>0</v>
      </c>
      <c r="P55" s="138">
        <f t="shared" ref="P55:P63" si="33">N55-K55</f>
        <v>-74.809163037561689</v>
      </c>
      <c r="Q55" s="139">
        <f t="shared" ref="Q55:Q63" si="34">N55/K55</f>
        <v>0.91868569235047648</v>
      </c>
      <c r="R55" s="309"/>
      <c r="S55" s="140">
        <v>0.25</v>
      </c>
      <c r="T55" s="141">
        <v>0.50101851851851875</v>
      </c>
      <c r="U55" s="142"/>
      <c r="V55" s="164"/>
      <c r="W55" s="97"/>
      <c r="X55" s="67"/>
      <c r="Y55" s="177">
        <f t="shared" ref="Y55:Z55" si="35">SUM(Y39:Y54)</f>
        <v>0</v>
      </c>
      <c r="Z55" s="178">
        <f t="shared" si="35"/>
        <v>0</v>
      </c>
      <c r="AA55" s="295"/>
      <c r="AB55" s="296"/>
      <c r="AC55" s="177">
        <f t="shared" ref="AC55:AD55" si="36">SUM(AC39:AC54)</f>
        <v>0</v>
      </c>
      <c r="AD55" s="178">
        <f t="shared" si="36"/>
        <v>0</v>
      </c>
      <c r="AE55" s="166">
        <f t="shared" ref="AE55:AE63" si="37">M55-J55</f>
        <v>-280.53436139085625</v>
      </c>
      <c r="AF55" s="139">
        <f t="shared" ref="AF55:AF63" si="38">M55/J55</f>
        <v>0.91868569235047648</v>
      </c>
      <c r="AG55" s="314"/>
    </row>
    <row r="56" spans="1:33" ht="15.75" customHeight="1">
      <c r="A56" s="301" t="s">
        <v>78</v>
      </c>
      <c r="B56" s="112" t="s">
        <v>118</v>
      </c>
      <c r="C56" s="305" t="s">
        <v>126</v>
      </c>
      <c r="D56" s="306"/>
      <c r="E56" s="145">
        <v>18.18</v>
      </c>
      <c r="F56" s="95">
        <v>1442</v>
      </c>
      <c r="G56" s="146">
        <f t="shared" ref="G56:G63" si="39">E56*F56</f>
        <v>26215.56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40">F56/V56*60</f>
        <v>3280.7799201024072</v>
      </c>
      <c r="N56" s="150">
        <f t="shared" si="31"/>
        <v>1093.5933067008025</v>
      </c>
      <c r="O56" s="152">
        <f t="shared" si="32"/>
        <v>0</v>
      </c>
      <c r="P56" s="153">
        <f t="shared" si="33"/>
        <v>-106.40669329919751</v>
      </c>
      <c r="Q56" s="154">
        <f t="shared" si="34"/>
        <v>0.91132775558400203</v>
      </c>
      <c r="R56" s="307">
        <f>Q72</f>
        <v>0.91180230837678711</v>
      </c>
      <c r="S56" s="155">
        <v>0.25</v>
      </c>
      <c r="T56" s="156">
        <v>0.26831018518518518</v>
      </c>
      <c r="U56" s="157"/>
      <c r="V56" s="158">
        <v>26.371778085407001</v>
      </c>
      <c r="W56" s="156"/>
      <c r="X56" s="167"/>
      <c r="Y56" s="194"/>
      <c r="Z56" s="195"/>
      <c r="AA56" s="310"/>
      <c r="AB56" s="311"/>
      <c r="AC56" s="194"/>
      <c r="AD56" s="195"/>
      <c r="AE56" s="113">
        <f t="shared" si="37"/>
        <v>-319.22007989759277</v>
      </c>
      <c r="AF56" s="154">
        <f t="shared" si="38"/>
        <v>0.91132775558400203</v>
      </c>
      <c r="AG56" s="312">
        <f>AF72</f>
        <v>0.91180230837678711</v>
      </c>
    </row>
    <row r="57" spans="1:33" ht="15.75" customHeight="1">
      <c r="A57" s="302"/>
      <c r="B57" s="98" t="s">
        <v>118</v>
      </c>
      <c r="C57" s="297" t="s">
        <v>203</v>
      </c>
      <c r="D57" s="298"/>
      <c r="E57" s="99">
        <v>20.72</v>
      </c>
      <c r="F57" s="100">
        <v>743</v>
      </c>
      <c r="G57" s="101">
        <f t="shared" si="39"/>
        <v>15394.96</v>
      </c>
      <c r="H57" s="26"/>
      <c r="I57" s="102">
        <v>3</v>
      </c>
      <c r="J57" s="103">
        <v>3600</v>
      </c>
      <c r="K57" s="104">
        <f t="shared" si="27"/>
        <v>1200</v>
      </c>
      <c r="L57" s="105">
        <v>3</v>
      </c>
      <c r="M57" s="103">
        <f t="shared" si="40"/>
        <v>3283.6673810841239</v>
      </c>
      <c r="N57" s="104">
        <f t="shared" si="31"/>
        <v>1094.555793694708</v>
      </c>
      <c r="O57" s="106">
        <f t="shared" si="32"/>
        <v>0</v>
      </c>
      <c r="P57" s="107">
        <f t="shared" si="33"/>
        <v>-105.44420630529203</v>
      </c>
      <c r="Q57" s="108">
        <f t="shared" si="34"/>
        <v>0.91212982807892329</v>
      </c>
      <c r="R57" s="308"/>
      <c r="S57" s="46">
        <v>0.27777777777777779</v>
      </c>
      <c r="T57" s="47">
        <v>0.28719907407407408</v>
      </c>
      <c r="U57" s="109">
        <v>13.63333333333336</v>
      </c>
      <c r="V57" s="110">
        <v>13.5762837176528</v>
      </c>
      <c r="W57" s="111"/>
      <c r="X57" s="13"/>
      <c r="Y57" s="12"/>
      <c r="Z57" s="196"/>
      <c r="AA57" s="299"/>
      <c r="AB57" s="300"/>
      <c r="AC57" s="12"/>
      <c r="AD57" s="196"/>
      <c r="AE57" s="115">
        <f t="shared" si="37"/>
        <v>-316.33261891587608</v>
      </c>
      <c r="AF57" s="108">
        <f t="shared" si="38"/>
        <v>0.91212982807892329</v>
      </c>
      <c r="AG57" s="313"/>
    </row>
    <row r="58" spans="1:33" ht="15.75" customHeight="1">
      <c r="A58" s="302"/>
      <c r="B58" s="98" t="s">
        <v>118</v>
      </c>
      <c r="C58" s="297" t="s">
        <v>130</v>
      </c>
      <c r="D58" s="298"/>
      <c r="E58" s="99">
        <v>30</v>
      </c>
      <c r="F58" s="100">
        <v>1067</v>
      </c>
      <c r="G58" s="101">
        <f t="shared" si="39"/>
        <v>32010</v>
      </c>
      <c r="H58" s="26"/>
      <c r="I58" s="102">
        <v>4</v>
      </c>
      <c r="J58" s="103">
        <v>3600</v>
      </c>
      <c r="K58" s="104">
        <f t="shared" si="27"/>
        <v>900</v>
      </c>
      <c r="L58" s="105">
        <v>4</v>
      </c>
      <c r="M58" s="103">
        <f t="shared" si="40"/>
        <v>3284.5818628225629</v>
      </c>
      <c r="N58" s="104">
        <f t="shared" si="31"/>
        <v>821.14546570564073</v>
      </c>
      <c r="O58" s="106">
        <f t="shared" si="32"/>
        <v>0</v>
      </c>
      <c r="P58" s="107">
        <f t="shared" si="33"/>
        <v>-78.854534294359269</v>
      </c>
      <c r="Q58" s="108">
        <f t="shared" si="34"/>
        <v>0.91238385078404527</v>
      </c>
      <c r="R58" s="308"/>
      <c r="S58" s="46">
        <v>0.29652777777777783</v>
      </c>
      <c r="T58" s="47">
        <v>0.31005787037037041</v>
      </c>
      <c r="U58" s="109">
        <v>13.433333333333408</v>
      </c>
      <c r="V58" s="110">
        <v>19.491065430467074</v>
      </c>
      <c r="W58" s="111"/>
      <c r="X58" s="13"/>
      <c r="Y58" s="12"/>
      <c r="Z58" s="196"/>
      <c r="AA58" s="299"/>
      <c r="AB58" s="300"/>
      <c r="AC58" s="12"/>
      <c r="AD58" s="196"/>
      <c r="AE58" s="115">
        <f t="shared" si="37"/>
        <v>-315.41813717743707</v>
      </c>
      <c r="AF58" s="108">
        <f t="shared" si="38"/>
        <v>0.91238385078404527</v>
      </c>
      <c r="AG58" s="313"/>
    </row>
    <row r="59" spans="1:33" ht="15.75" customHeight="1">
      <c r="A59" s="302"/>
      <c r="B59" s="98" t="s">
        <v>118</v>
      </c>
      <c r="C59" s="297" t="s">
        <v>218</v>
      </c>
      <c r="D59" s="298"/>
      <c r="E59" s="99">
        <v>24.76</v>
      </c>
      <c r="F59" s="100">
        <v>1119</v>
      </c>
      <c r="G59" s="101">
        <f t="shared" si="39"/>
        <v>27706.440000000002</v>
      </c>
      <c r="H59" s="26"/>
      <c r="I59" s="102">
        <v>4</v>
      </c>
      <c r="J59" s="103">
        <v>3600</v>
      </c>
      <c r="K59" s="104">
        <f t="shared" si="27"/>
        <v>900</v>
      </c>
      <c r="L59" s="105">
        <v>4</v>
      </c>
      <c r="M59" s="103">
        <f t="shared" si="40"/>
        <v>3279.7033810557855</v>
      </c>
      <c r="N59" s="104">
        <f t="shared" si="31"/>
        <v>819.92584526394637</v>
      </c>
      <c r="O59" s="106">
        <f t="shared" si="32"/>
        <v>0</v>
      </c>
      <c r="P59" s="107">
        <f t="shared" si="33"/>
        <v>-80.074154736053629</v>
      </c>
      <c r="Q59" s="108">
        <f t="shared" si="34"/>
        <v>0.91102871695994037</v>
      </c>
      <c r="R59" s="308"/>
      <c r="S59" s="46">
        <v>0.31944444444444453</v>
      </c>
      <c r="T59" s="47">
        <v>0.33365740740740751</v>
      </c>
      <c r="U59" s="109">
        <v>13.516666666666728</v>
      </c>
      <c r="V59" s="110">
        <v>20.471363473847635</v>
      </c>
      <c r="W59" s="111"/>
      <c r="X59" s="114"/>
      <c r="Y59" s="12"/>
      <c r="Z59" s="196"/>
      <c r="AA59" s="299"/>
      <c r="AB59" s="300"/>
      <c r="AC59" s="12"/>
      <c r="AD59" s="196"/>
      <c r="AE59" s="115">
        <f t="shared" si="37"/>
        <v>-320.29661894421452</v>
      </c>
      <c r="AF59" s="108">
        <f t="shared" si="38"/>
        <v>0.91102871695994037</v>
      </c>
      <c r="AG59" s="313"/>
    </row>
    <row r="60" spans="1:33" ht="15.75" customHeight="1">
      <c r="A60" s="303"/>
      <c r="B60" s="98" t="s">
        <v>118</v>
      </c>
      <c r="C60" s="297" t="s">
        <v>122</v>
      </c>
      <c r="D60" s="298"/>
      <c r="E60" s="99">
        <v>17.89</v>
      </c>
      <c r="F60" s="100">
        <v>2227</v>
      </c>
      <c r="G60" s="101">
        <f t="shared" si="39"/>
        <v>39841.03</v>
      </c>
      <c r="H60" s="13"/>
      <c r="I60" s="102">
        <v>4</v>
      </c>
      <c r="J60" s="103">
        <v>3600</v>
      </c>
      <c r="K60" s="104">
        <f t="shared" si="27"/>
        <v>900</v>
      </c>
      <c r="L60" s="105">
        <v>4</v>
      </c>
      <c r="M60" s="103">
        <f t="shared" si="40"/>
        <v>3280.1765710001987</v>
      </c>
      <c r="N60" s="104">
        <f t="shared" si="31"/>
        <v>820.04414275004967</v>
      </c>
      <c r="O60" s="106">
        <f t="shared" si="32"/>
        <v>0</v>
      </c>
      <c r="P60" s="107">
        <f t="shared" si="33"/>
        <v>-79.955857249950327</v>
      </c>
      <c r="Q60" s="108">
        <f t="shared" si="34"/>
        <v>0.91116015861116628</v>
      </c>
      <c r="R60" s="308"/>
      <c r="S60" s="46">
        <v>0.34305555555555567</v>
      </c>
      <c r="T60" s="47">
        <v>0.37134259259259272</v>
      </c>
      <c r="U60" s="109">
        <v>13.533333333333344</v>
      </c>
      <c r="V60" s="110">
        <v>40.735611973247003</v>
      </c>
      <c r="W60" s="111"/>
      <c r="X60" s="114"/>
      <c r="Y60" s="12"/>
      <c r="Z60" s="196"/>
      <c r="AA60" s="299"/>
      <c r="AB60" s="300"/>
      <c r="AC60" s="12"/>
      <c r="AD60" s="196"/>
      <c r="AE60" s="115">
        <f t="shared" si="37"/>
        <v>-319.82342899980131</v>
      </c>
      <c r="AF60" s="108">
        <f t="shared" si="38"/>
        <v>0.91116015861116628</v>
      </c>
      <c r="AG60" s="313"/>
    </row>
    <row r="61" spans="1:33" ht="15.75" customHeight="1">
      <c r="A61" s="303"/>
      <c r="B61" s="98" t="s">
        <v>118</v>
      </c>
      <c r="C61" s="297" t="s">
        <v>213</v>
      </c>
      <c r="D61" s="298"/>
      <c r="E61" s="99">
        <v>22.32</v>
      </c>
      <c r="F61" s="100">
        <v>1525</v>
      </c>
      <c r="G61" s="119">
        <f t="shared" si="39"/>
        <v>34038</v>
      </c>
      <c r="H61" s="120"/>
      <c r="I61" s="102">
        <v>5</v>
      </c>
      <c r="J61" s="103">
        <v>3600</v>
      </c>
      <c r="K61" s="104">
        <f t="shared" si="27"/>
        <v>720</v>
      </c>
      <c r="L61" s="105">
        <v>5</v>
      </c>
      <c r="M61" s="103">
        <f t="shared" si="40"/>
        <v>3282.7635480119338</v>
      </c>
      <c r="N61" s="104">
        <f t="shared" si="31"/>
        <v>656.55270960238681</v>
      </c>
      <c r="O61" s="106">
        <f t="shared" si="32"/>
        <v>0</v>
      </c>
      <c r="P61" s="107">
        <f t="shared" si="33"/>
        <v>-63.447290397613187</v>
      </c>
      <c r="Q61" s="108">
        <f t="shared" si="34"/>
        <v>0.9118787633366483</v>
      </c>
      <c r="R61" s="308"/>
      <c r="S61" s="46">
        <v>0.3805555555555557</v>
      </c>
      <c r="T61" s="118">
        <v>0.39990740740740754</v>
      </c>
      <c r="U61" s="109">
        <v>13.266666666666689</v>
      </c>
      <c r="V61" s="110">
        <v>27.8728573233406</v>
      </c>
      <c r="W61" s="111"/>
      <c r="X61" s="49"/>
      <c r="Y61" s="12"/>
      <c r="Z61" s="196"/>
      <c r="AA61" s="299"/>
      <c r="AB61" s="300"/>
      <c r="AC61" s="12"/>
      <c r="AD61" s="196"/>
      <c r="AE61" s="115">
        <f t="shared" si="37"/>
        <v>-317.23645198806616</v>
      </c>
      <c r="AF61" s="108">
        <f t="shared" si="38"/>
        <v>0.9118787633366483</v>
      </c>
      <c r="AG61" s="313"/>
    </row>
    <row r="62" spans="1:33" ht="15.75" customHeight="1">
      <c r="A62" s="303"/>
      <c r="B62" s="98" t="s">
        <v>118</v>
      </c>
      <c r="C62" s="297" t="s">
        <v>209</v>
      </c>
      <c r="D62" s="298"/>
      <c r="E62" s="99">
        <v>27.48</v>
      </c>
      <c r="F62" s="100">
        <v>1196</v>
      </c>
      <c r="G62" s="119">
        <f t="shared" si="39"/>
        <v>32866.080000000002</v>
      </c>
      <c r="H62" s="60"/>
      <c r="I62" s="102">
        <v>5</v>
      </c>
      <c r="J62" s="103">
        <v>3600</v>
      </c>
      <c r="K62" s="104">
        <f t="shared" si="27"/>
        <v>720</v>
      </c>
      <c r="L62" s="105">
        <v>5</v>
      </c>
      <c r="M62" s="103">
        <f t="shared" si="40"/>
        <v>3284.3500713408866</v>
      </c>
      <c r="N62" s="104">
        <f t="shared" si="31"/>
        <v>656.87001426817733</v>
      </c>
      <c r="O62" s="121">
        <f t="shared" si="32"/>
        <v>0</v>
      </c>
      <c r="P62" s="122">
        <f t="shared" si="33"/>
        <v>-63.129985731822671</v>
      </c>
      <c r="Q62" s="123">
        <f t="shared" si="34"/>
        <v>0.91231946426135735</v>
      </c>
      <c r="R62" s="308"/>
      <c r="S62" s="46">
        <v>0.40902777777777793</v>
      </c>
      <c r="T62" s="118">
        <v>0.42418981481481499</v>
      </c>
      <c r="U62" s="109">
        <v>13.133333333333361</v>
      </c>
      <c r="V62" s="110">
        <v>21.849071640132099</v>
      </c>
      <c r="W62" s="111"/>
      <c r="X62" s="114"/>
      <c r="Y62" s="12"/>
      <c r="Z62" s="196"/>
      <c r="AA62" s="299"/>
      <c r="AB62" s="300"/>
      <c r="AC62" s="12"/>
      <c r="AD62" s="196"/>
      <c r="AE62" s="115">
        <f t="shared" si="37"/>
        <v>-315.64992865911336</v>
      </c>
      <c r="AF62" s="108">
        <f t="shared" si="38"/>
        <v>0.91231946426135735</v>
      </c>
      <c r="AG62" s="313"/>
    </row>
    <row r="63" spans="1:33" ht="15.75" customHeight="1">
      <c r="A63" s="303"/>
      <c r="B63" s="98" t="s">
        <v>118</v>
      </c>
      <c r="C63" s="297" t="s">
        <v>123</v>
      </c>
      <c r="D63" s="298"/>
      <c r="E63" s="99">
        <v>16.66</v>
      </c>
      <c r="F63" s="100">
        <v>4271</v>
      </c>
      <c r="G63" s="119">
        <f t="shared" si="39"/>
        <v>71154.86</v>
      </c>
      <c r="H63" s="60"/>
      <c r="I63" s="102">
        <v>5</v>
      </c>
      <c r="J63" s="103">
        <v>3600</v>
      </c>
      <c r="K63" s="104">
        <f t="shared" si="27"/>
        <v>720</v>
      </c>
      <c r="L63" s="116">
        <v>5</v>
      </c>
      <c r="M63" s="103">
        <f t="shared" si="40"/>
        <v>3283.8837458335702</v>
      </c>
      <c r="N63" s="104">
        <f t="shared" si="31"/>
        <v>656.77674916671401</v>
      </c>
      <c r="O63" s="121">
        <f t="shared" si="32"/>
        <v>0</v>
      </c>
      <c r="P63" s="122">
        <f t="shared" si="33"/>
        <v>-63.223250833285988</v>
      </c>
      <c r="Q63" s="123">
        <f t="shared" si="34"/>
        <v>0.91218992939821386</v>
      </c>
      <c r="R63" s="308"/>
      <c r="S63" s="46">
        <v>0.43333333333333351</v>
      </c>
      <c r="T63" s="118">
        <v>0.48752314814814834</v>
      </c>
      <c r="U63" s="109">
        <v>13.166666666666673</v>
      </c>
      <c r="V63" s="110">
        <v>78.035649198949287</v>
      </c>
      <c r="W63" s="111"/>
      <c r="X63" s="114"/>
      <c r="Y63" s="12"/>
      <c r="Z63" s="196"/>
      <c r="AA63" s="299"/>
      <c r="AB63" s="300"/>
      <c r="AC63" s="12"/>
      <c r="AD63" s="196"/>
      <c r="AE63" s="115">
        <f t="shared" si="37"/>
        <v>-316.11625416642983</v>
      </c>
      <c r="AF63" s="108">
        <f t="shared" si="38"/>
        <v>0.91218992939821397</v>
      </c>
      <c r="AG63" s="313"/>
    </row>
    <row r="64" spans="1:33" ht="15.75" customHeight="1">
      <c r="A64" s="303"/>
      <c r="B64" s="98"/>
      <c r="C64" s="297"/>
      <c r="D64" s="298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8"/>
      <c r="S64" s="46"/>
      <c r="T64" s="118"/>
      <c r="U64" s="109"/>
      <c r="V64" s="110"/>
      <c r="W64" s="124"/>
      <c r="X64" s="125"/>
      <c r="Y64" s="12"/>
      <c r="Z64" s="196"/>
      <c r="AA64" s="299"/>
      <c r="AB64" s="300"/>
      <c r="AC64" s="12"/>
      <c r="AD64" s="196"/>
      <c r="AE64" s="115"/>
      <c r="AF64" s="108"/>
      <c r="AG64" s="313"/>
    </row>
    <row r="65" spans="1:33" ht="15.75" customHeight="1">
      <c r="A65" s="303"/>
      <c r="B65" s="98"/>
      <c r="C65" s="297"/>
      <c r="D65" s="298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8"/>
      <c r="S65" s="46"/>
      <c r="T65" s="118"/>
      <c r="U65" s="109"/>
      <c r="V65" s="110"/>
      <c r="W65" s="124"/>
      <c r="X65" s="125"/>
      <c r="Y65" s="12"/>
      <c r="Z65" s="196"/>
      <c r="AA65" s="299"/>
      <c r="AB65" s="300"/>
      <c r="AC65" s="12"/>
      <c r="AD65" s="196"/>
      <c r="AE65" s="115"/>
      <c r="AF65" s="108"/>
      <c r="AG65" s="313"/>
    </row>
    <row r="66" spans="1:33" ht="15.75" customHeight="1">
      <c r="A66" s="303"/>
      <c r="B66" s="98"/>
      <c r="C66" s="297"/>
      <c r="D66" s="298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8"/>
      <c r="S66" s="46"/>
      <c r="T66" s="118"/>
      <c r="U66" s="109"/>
      <c r="V66" s="110"/>
      <c r="W66" s="124"/>
      <c r="X66" s="125"/>
      <c r="Y66" s="12"/>
      <c r="Z66" s="196"/>
      <c r="AA66" s="299"/>
      <c r="AB66" s="300"/>
      <c r="AC66" s="12"/>
      <c r="AD66" s="196"/>
      <c r="AE66" s="115"/>
      <c r="AF66" s="108"/>
      <c r="AG66" s="313"/>
    </row>
    <row r="67" spans="1:33" ht="15.75" customHeight="1">
      <c r="A67" s="303"/>
      <c r="B67" s="98"/>
      <c r="C67" s="297"/>
      <c r="D67" s="298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8"/>
      <c r="S67" s="46"/>
      <c r="T67" s="118"/>
      <c r="U67" s="109"/>
      <c r="V67" s="110"/>
      <c r="W67" s="124"/>
      <c r="X67" s="125"/>
      <c r="Y67" s="12"/>
      <c r="Z67" s="196"/>
      <c r="AA67" s="299"/>
      <c r="AB67" s="300"/>
      <c r="AC67" s="12"/>
      <c r="AD67" s="196"/>
      <c r="AE67" s="115"/>
      <c r="AF67" s="108"/>
      <c r="AG67" s="313"/>
    </row>
    <row r="68" spans="1:33" ht="15.75" customHeight="1">
      <c r="A68" s="303"/>
      <c r="B68" s="98"/>
      <c r="C68" s="297"/>
      <c r="D68" s="298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8"/>
      <c r="S68" s="46"/>
      <c r="T68" s="118"/>
      <c r="U68" s="109"/>
      <c r="V68" s="110"/>
      <c r="W68" s="124"/>
      <c r="X68" s="125"/>
      <c r="Y68" s="12"/>
      <c r="Z68" s="196"/>
      <c r="AA68" s="299"/>
      <c r="AB68" s="300"/>
      <c r="AC68" s="12"/>
      <c r="AD68" s="196"/>
      <c r="AE68" s="115"/>
      <c r="AF68" s="108"/>
      <c r="AG68" s="313"/>
    </row>
    <row r="69" spans="1:33" ht="15.75" customHeight="1">
      <c r="A69" s="303"/>
      <c r="B69" s="98"/>
      <c r="C69" s="297"/>
      <c r="D69" s="298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8"/>
      <c r="S69" s="46"/>
      <c r="T69" s="118"/>
      <c r="U69" s="109"/>
      <c r="V69" s="110"/>
      <c r="W69" s="124"/>
      <c r="X69" s="125"/>
      <c r="Y69" s="12"/>
      <c r="Z69" s="196"/>
      <c r="AA69" s="299"/>
      <c r="AB69" s="300"/>
      <c r="AC69" s="12"/>
      <c r="AD69" s="196"/>
      <c r="AE69" s="115"/>
      <c r="AF69" s="108"/>
      <c r="AG69" s="313"/>
    </row>
    <row r="70" spans="1:33" ht="15.75" customHeight="1">
      <c r="A70" s="303"/>
      <c r="B70" s="98"/>
      <c r="C70" s="297"/>
      <c r="D70" s="298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8"/>
      <c r="S70" s="46"/>
      <c r="T70" s="118"/>
      <c r="U70" s="109"/>
      <c r="V70" s="110"/>
      <c r="W70" s="124"/>
      <c r="X70" s="125"/>
      <c r="Y70" s="12"/>
      <c r="Z70" s="196"/>
      <c r="AA70" s="299"/>
      <c r="AB70" s="300"/>
      <c r="AC70" s="12"/>
      <c r="AD70" s="196"/>
      <c r="AE70" s="115"/>
      <c r="AF70" s="108"/>
      <c r="AG70" s="313"/>
    </row>
    <row r="71" spans="1:33" ht="15.75" customHeight="1">
      <c r="A71" s="303"/>
      <c r="B71" s="98"/>
      <c r="C71" s="297"/>
      <c r="D71" s="298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8"/>
      <c r="S71" s="117"/>
      <c r="T71" s="118"/>
      <c r="U71" s="128"/>
      <c r="V71" s="129"/>
      <c r="W71" s="124"/>
      <c r="X71" s="125"/>
      <c r="Y71" s="12"/>
      <c r="Z71" s="196"/>
      <c r="AA71" s="299"/>
      <c r="AB71" s="300"/>
      <c r="AC71" s="12"/>
      <c r="AD71" s="196"/>
      <c r="AE71" s="163"/>
      <c r="AF71" s="123"/>
      <c r="AG71" s="313"/>
    </row>
    <row r="72" spans="1:33" ht="15.75" customHeight="1" thickBot="1">
      <c r="A72" s="304"/>
      <c r="B72" s="131" t="s">
        <v>115</v>
      </c>
      <c r="C72" s="294"/>
      <c r="D72" s="294"/>
      <c r="E72" s="132"/>
      <c r="F72" s="165"/>
      <c r="G72" s="133"/>
      <c r="H72" s="67"/>
      <c r="I72" s="134">
        <f t="shared" ref="I72:J72" si="41">AVERAGE(I56:I71)</f>
        <v>4.125</v>
      </c>
      <c r="J72" s="135">
        <f t="shared" si="41"/>
        <v>3600</v>
      </c>
      <c r="K72" s="136">
        <f t="shared" ref="K72" si="42">J72/I72</f>
        <v>872.72727272727275</v>
      </c>
      <c r="L72" s="134">
        <f t="shared" ref="L72:M72" si="43">AVERAGE(L56:L71)</f>
        <v>4.125</v>
      </c>
      <c r="M72" s="135">
        <f t="shared" si="43"/>
        <v>3282.4883101564337</v>
      </c>
      <c r="N72" s="136">
        <f>M72/L72</f>
        <v>795.75474185610517</v>
      </c>
      <c r="O72" s="137">
        <f>L72-I72</f>
        <v>0</v>
      </c>
      <c r="P72" s="138">
        <f>N72-K72</f>
        <v>-76.972530871167578</v>
      </c>
      <c r="Q72" s="139">
        <f>N72/K72</f>
        <v>0.91180230837678711</v>
      </c>
      <c r="R72" s="309"/>
      <c r="S72" s="140">
        <v>0.25</v>
      </c>
      <c r="T72" s="141">
        <v>0.48752314814814834</v>
      </c>
      <c r="U72" s="142"/>
      <c r="V72" s="164"/>
      <c r="W72" s="165"/>
      <c r="X72" s="136"/>
      <c r="Y72" s="177">
        <f t="shared" ref="Y72:Z72" si="44">SUM(Y56:Y71)</f>
        <v>0</v>
      </c>
      <c r="Z72" s="178">
        <f t="shared" si="44"/>
        <v>0</v>
      </c>
      <c r="AA72" s="295"/>
      <c r="AB72" s="296"/>
      <c r="AC72" s="177">
        <f t="shared" ref="AC72:AD72" si="45">SUM(AC56:AC71)</f>
        <v>0</v>
      </c>
      <c r="AD72" s="178">
        <f t="shared" si="45"/>
        <v>0</v>
      </c>
      <c r="AE72" s="166">
        <f>M72-J72</f>
        <v>-317.51168984356627</v>
      </c>
      <c r="AF72" s="139">
        <f>M72/J72</f>
        <v>0.91180230837678711</v>
      </c>
      <c r="AG72" s="314"/>
    </row>
    <row r="73" spans="1:33" ht="15.75" customHeight="1">
      <c r="A73" s="315" t="s">
        <v>131</v>
      </c>
      <c r="B73" s="112" t="s">
        <v>118</v>
      </c>
      <c r="C73" s="305" t="s">
        <v>132</v>
      </c>
      <c r="D73" s="306"/>
      <c r="E73" s="145">
        <v>28.57</v>
      </c>
      <c r="F73" s="95">
        <v>1059</v>
      </c>
      <c r="G73" s="146">
        <f t="shared" ref="G73" si="46">E73*F73</f>
        <v>30255.63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3120.8612590235543</v>
      </c>
      <c r="N73" s="150">
        <f>M73/L73</f>
        <v>260.07177158529618</v>
      </c>
      <c r="O73" s="152">
        <f>L73-I73</f>
        <v>0</v>
      </c>
      <c r="P73" s="153">
        <f>N73-K73</f>
        <v>-39.928228414703824</v>
      </c>
      <c r="Q73" s="154">
        <f>N73/K73</f>
        <v>0.86690590528432054</v>
      </c>
      <c r="R73" s="307">
        <f>Q89</f>
        <v>0.86690590528432054</v>
      </c>
      <c r="S73" s="155">
        <v>0.74097222222222214</v>
      </c>
      <c r="T73" s="156">
        <v>0.75510416666666658</v>
      </c>
      <c r="U73" s="157"/>
      <c r="V73" s="158">
        <v>20.359764413199262</v>
      </c>
      <c r="W73" s="156"/>
      <c r="X73" s="167"/>
      <c r="Y73" s="194"/>
      <c r="Z73" s="195"/>
      <c r="AA73" s="310"/>
      <c r="AB73" s="311"/>
      <c r="AC73" s="194"/>
      <c r="AD73" s="195"/>
      <c r="AE73" s="113">
        <f>M73-J73</f>
        <v>-479.13874097644566</v>
      </c>
      <c r="AF73" s="154">
        <f>M73/J73</f>
        <v>0.86690590528432065</v>
      </c>
      <c r="AG73" s="312">
        <f>AF89</f>
        <v>0.86690590528432065</v>
      </c>
    </row>
    <row r="74" spans="1:33" ht="15.75" customHeight="1">
      <c r="A74" s="316"/>
      <c r="B74" s="98"/>
      <c r="C74" s="297"/>
      <c r="D74" s="298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8"/>
      <c r="S74" s="46"/>
      <c r="T74" s="47"/>
      <c r="U74" s="109"/>
      <c r="V74" s="110"/>
      <c r="W74" s="111"/>
      <c r="X74" s="13"/>
      <c r="Y74" s="12"/>
      <c r="Z74" s="196"/>
      <c r="AA74" s="299"/>
      <c r="AB74" s="300"/>
      <c r="AC74" s="12"/>
      <c r="AD74" s="196"/>
      <c r="AE74" s="115"/>
      <c r="AF74" s="108"/>
      <c r="AG74" s="313"/>
    </row>
    <row r="75" spans="1:33" ht="15.75" customHeight="1">
      <c r="A75" s="316"/>
      <c r="B75" s="98"/>
      <c r="C75" s="297"/>
      <c r="D75" s="298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8"/>
      <c r="S75" s="46"/>
      <c r="T75" s="47"/>
      <c r="U75" s="109"/>
      <c r="V75" s="110"/>
      <c r="W75" s="111"/>
      <c r="X75" s="13"/>
      <c r="Y75" s="12"/>
      <c r="Z75" s="196"/>
      <c r="AA75" s="299"/>
      <c r="AB75" s="300"/>
      <c r="AC75" s="12"/>
      <c r="AD75" s="196"/>
      <c r="AE75" s="115"/>
      <c r="AF75" s="108"/>
      <c r="AG75" s="313"/>
    </row>
    <row r="76" spans="1:33" ht="15.75" customHeight="1">
      <c r="A76" s="316"/>
      <c r="B76" s="98"/>
      <c r="C76" s="297"/>
      <c r="D76" s="298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8"/>
      <c r="S76" s="46"/>
      <c r="T76" s="47"/>
      <c r="U76" s="109"/>
      <c r="V76" s="110"/>
      <c r="W76" s="111"/>
      <c r="X76" s="114"/>
      <c r="Y76" s="12"/>
      <c r="Z76" s="196"/>
      <c r="AA76" s="299"/>
      <c r="AB76" s="300"/>
      <c r="AC76" s="12"/>
      <c r="AD76" s="196"/>
      <c r="AE76" s="115"/>
      <c r="AF76" s="108"/>
      <c r="AG76" s="313"/>
    </row>
    <row r="77" spans="1:33" ht="15.75" customHeight="1">
      <c r="A77" s="316"/>
      <c r="B77" s="98"/>
      <c r="C77" s="297"/>
      <c r="D77" s="298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8"/>
      <c r="S77" s="46"/>
      <c r="T77" s="47"/>
      <c r="U77" s="109"/>
      <c r="V77" s="110"/>
      <c r="W77" s="111"/>
      <c r="X77" s="114"/>
      <c r="Y77" s="12"/>
      <c r="Z77" s="196"/>
      <c r="AA77" s="299"/>
      <c r="AB77" s="300"/>
      <c r="AC77" s="12"/>
      <c r="AD77" s="196"/>
      <c r="AE77" s="115"/>
      <c r="AF77" s="108"/>
      <c r="AG77" s="313"/>
    </row>
    <row r="78" spans="1:33" ht="15.75" customHeight="1">
      <c r="A78" s="316"/>
      <c r="B78" s="98"/>
      <c r="C78" s="297"/>
      <c r="D78" s="298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8"/>
      <c r="S78" s="46"/>
      <c r="T78" s="118"/>
      <c r="U78" s="109"/>
      <c r="V78" s="110"/>
      <c r="W78" s="111"/>
      <c r="X78" s="49"/>
      <c r="Y78" s="12"/>
      <c r="Z78" s="196"/>
      <c r="AA78" s="299"/>
      <c r="AB78" s="300"/>
      <c r="AC78" s="12"/>
      <c r="AD78" s="196"/>
      <c r="AE78" s="115"/>
      <c r="AF78" s="108"/>
      <c r="AG78" s="313"/>
    </row>
    <row r="79" spans="1:33" ht="15.75" customHeight="1">
      <c r="A79" s="316"/>
      <c r="B79" s="98"/>
      <c r="C79" s="297"/>
      <c r="D79" s="298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8"/>
      <c r="S79" s="46"/>
      <c r="T79" s="118"/>
      <c r="U79" s="109"/>
      <c r="V79" s="110"/>
      <c r="W79" s="111"/>
      <c r="X79" s="114"/>
      <c r="Y79" s="12"/>
      <c r="Z79" s="196"/>
      <c r="AA79" s="299"/>
      <c r="AB79" s="300"/>
      <c r="AC79" s="12"/>
      <c r="AD79" s="196"/>
      <c r="AE79" s="115"/>
      <c r="AF79" s="108"/>
      <c r="AG79" s="313"/>
    </row>
    <row r="80" spans="1:33" ht="15.75" customHeight="1">
      <c r="A80" s="316"/>
      <c r="B80" s="98"/>
      <c r="C80" s="297"/>
      <c r="D80" s="298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8"/>
      <c r="S80" s="46"/>
      <c r="T80" s="118"/>
      <c r="U80" s="109"/>
      <c r="V80" s="110"/>
      <c r="W80" s="111"/>
      <c r="X80" s="114"/>
      <c r="Y80" s="12"/>
      <c r="Z80" s="196"/>
      <c r="AA80" s="299"/>
      <c r="AB80" s="300"/>
      <c r="AC80" s="12"/>
      <c r="AD80" s="196"/>
      <c r="AE80" s="115"/>
      <c r="AF80" s="108"/>
      <c r="AG80" s="313"/>
    </row>
    <row r="81" spans="1:33" ht="15.75" customHeight="1">
      <c r="A81" s="316"/>
      <c r="B81" s="98"/>
      <c r="C81" s="297"/>
      <c r="D81" s="298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8"/>
      <c r="S81" s="46"/>
      <c r="T81" s="118"/>
      <c r="U81" s="109"/>
      <c r="V81" s="110"/>
      <c r="W81" s="124"/>
      <c r="X81" s="125"/>
      <c r="Y81" s="12"/>
      <c r="Z81" s="196"/>
      <c r="AA81" s="299"/>
      <c r="AB81" s="300"/>
      <c r="AC81" s="12"/>
      <c r="AD81" s="196"/>
      <c r="AE81" s="115"/>
      <c r="AF81" s="108"/>
      <c r="AG81" s="313"/>
    </row>
    <row r="82" spans="1:33" ht="15.75" customHeight="1">
      <c r="A82" s="316"/>
      <c r="B82" s="98"/>
      <c r="C82" s="297"/>
      <c r="D82" s="298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8"/>
      <c r="S82" s="46"/>
      <c r="T82" s="118"/>
      <c r="U82" s="109"/>
      <c r="V82" s="110"/>
      <c r="W82" s="124"/>
      <c r="X82" s="125"/>
      <c r="Y82" s="12"/>
      <c r="Z82" s="196"/>
      <c r="AA82" s="299"/>
      <c r="AB82" s="300"/>
      <c r="AC82" s="12"/>
      <c r="AD82" s="196"/>
      <c r="AE82" s="115"/>
      <c r="AF82" s="108"/>
      <c r="AG82" s="313"/>
    </row>
    <row r="83" spans="1:33" ht="15.75" customHeight="1">
      <c r="A83" s="316"/>
      <c r="B83" s="98"/>
      <c r="C83" s="297"/>
      <c r="D83" s="298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8"/>
      <c r="S83" s="46"/>
      <c r="T83" s="118"/>
      <c r="U83" s="109"/>
      <c r="V83" s="110"/>
      <c r="W83" s="124"/>
      <c r="X83" s="125"/>
      <c r="Y83" s="12"/>
      <c r="Z83" s="196"/>
      <c r="AA83" s="299"/>
      <c r="AB83" s="300"/>
      <c r="AC83" s="12"/>
      <c r="AD83" s="196"/>
      <c r="AE83" s="115"/>
      <c r="AF83" s="108"/>
      <c r="AG83" s="313"/>
    </row>
    <row r="84" spans="1:33" ht="15.75" customHeight="1">
      <c r="A84" s="316"/>
      <c r="B84" s="98"/>
      <c r="C84" s="297"/>
      <c r="D84" s="298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8"/>
      <c r="S84" s="46"/>
      <c r="T84" s="118"/>
      <c r="U84" s="109"/>
      <c r="V84" s="110"/>
      <c r="W84" s="124"/>
      <c r="X84" s="125"/>
      <c r="Y84" s="12"/>
      <c r="Z84" s="196"/>
      <c r="AA84" s="299"/>
      <c r="AB84" s="300"/>
      <c r="AC84" s="12"/>
      <c r="AD84" s="196"/>
      <c r="AE84" s="115"/>
      <c r="AF84" s="108"/>
      <c r="AG84" s="313"/>
    </row>
    <row r="85" spans="1:33" ht="15.75" customHeight="1">
      <c r="A85" s="316"/>
      <c r="B85" s="98"/>
      <c r="C85" s="297"/>
      <c r="D85" s="298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8"/>
      <c r="S85" s="46"/>
      <c r="T85" s="118"/>
      <c r="U85" s="109"/>
      <c r="V85" s="110"/>
      <c r="W85" s="124"/>
      <c r="X85" s="125"/>
      <c r="Y85" s="12"/>
      <c r="Z85" s="196"/>
      <c r="AA85" s="299"/>
      <c r="AB85" s="300"/>
      <c r="AC85" s="12"/>
      <c r="AD85" s="196"/>
      <c r="AE85" s="115"/>
      <c r="AF85" s="108"/>
      <c r="AG85" s="313"/>
    </row>
    <row r="86" spans="1:33" ht="15.75" customHeight="1">
      <c r="A86" s="316"/>
      <c r="B86" s="98"/>
      <c r="C86" s="297"/>
      <c r="D86" s="298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8"/>
      <c r="S86" s="46"/>
      <c r="T86" s="118"/>
      <c r="U86" s="109"/>
      <c r="V86" s="110"/>
      <c r="W86" s="124"/>
      <c r="X86" s="125"/>
      <c r="Y86" s="12"/>
      <c r="Z86" s="196"/>
      <c r="AA86" s="299"/>
      <c r="AB86" s="300"/>
      <c r="AC86" s="12"/>
      <c r="AD86" s="196"/>
      <c r="AE86" s="115"/>
      <c r="AF86" s="108"/>
      <c r="AG86" s="313"/>
    </row>
    <row r="87" spans="1:33" ht="15.75" customHeight="1">
      <c r="A87" s="316"/>
      <c r="B87" s="98"/>
      <c r="C87" s="297"/>
      <c r="D87" s="298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8"/>
      <c r="S87" s="46"/>
      <c r="T87" s="118"/>
      <c r="U87" s="109"/>
      <c r="V87" s="110"/>
      <c r="W87" s="124"/>
      <c r="X87" s="125"/>
      <c r="Y87" s="12"/>
      <c r="Z87" s="196"/>
      <c r="AA87" s="299"/>
      <c r="AB87" s="300"/>
      <c r="AC87" s="12"/>
      <c r="AD87" s="196"/>
      <c r="AE87" s="115"/>
      <c r="AF87" s="108"/>
      <c r="AG87" s="313"/>
    </row>
    <row r="88" spans="1:33" ht="15.75" customHeight="1">
      <c r="A88" s="316"/>
      <c r="B88" s="98"/>
      <c r="C88" s="297"/>
      <c r="D88" s="298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8"/>
      <c r="S88" s="117"/>
      <c r="T88" s="118"/>
      <c r="U88" s="128"/>
      <c r="V88" s="129"/>
      <c r="W88" s="124"/>
      <c r="X88" s="125"/>
      <c r="Y88" s="12"/>
      <c r="Z88" s="196"/>
      <c r="AA88" s="299"/>
      <c r="AB88" s="300"/>
      <c r="AC88" s="12"/>
      <c r="AD88" s="196"/>
      <c r="AE88" s="163"/>
      <c r="AF88" s="123"/>
      <c r="AG88" s="313"/>
    </row>
    <row r="89" spans="1:33" ht="15.75" customHeight="1" thickBot="1">
      <c r="A89" s="317"/>
      <c r="B89" s="131" t="s">
        <v>115</v>
      </c>
      <c r="C89" s="294"/>
      <c r="D89" s="294"/>
      <c r="E89" s="132"/>
      <c r="F89" s="165"/>
      <c r="G89" s="133"/>
      <c r="H89" s="67"/>
      <c r="I89" s="134">
        <f t="shared" ref="I89:J89" si="47">AVERAGE(I73:I88)</f>
        <v>12</v>
      </c>
      <c r="J89" s="135">
        <f t="shared" si="47"/>
        <v>3600</v>
      </c>
      <c r="K89" s="136">
        <f t="shared" ref="K89" si="48">J89/I89</f>
        <v>300</v>
      </c>
      <c r="L89" s="134">
        <f t="shared" ref="L89:M89" si="49">AVERAGE(L73:L88)</f>
        <v>12</v>
      </c>
      <c r="M89" s="135">
        <f t="shared" si="49"/>
        <v>3120.8612590235543</v>
      </c>
      <c r="N89" s="136">
        <f>M89/L89</f>
        <v>260.07177158529618</v>
      </c>
      <c r="O89" s="137">
        <f>L89-I89</f>
        <v>0</v>
      </c>
      <c r="P89" s="138">
        <f>N89-K89</f>
        <v>-39.928228414703824</v>
      </c>
      <c r="Q89" s="139">
        <f>N89/K89</f>
        <v>0.86690590528432054</v>
      </c>
      <c r="R89" s="309"/>
      <c r="S89" s="140">
        <v>0.74097222222222214</v>
      </c>
      <c r="T89" s="141">
        <v>0.75510416666666658</v>
      </c>
      <c r="U89" s="142"/>
      <c r="V89" s="164"/>
      <c r="W89" s="165"/>
      <c r="X89" s="136"/>
      <c r="Y89" s="177">
        <f t="shared" ref="Y89:Z89" si="50">SUM(Y73:Y88)</f>
        <v>0</v>
      </c>
      <c r="Z89" s="178">
        <f t="shared" si="50"/>
        <v>0</v>
      </c>
      <c r="AA89" s="295"/>
      <c r="AB89" s="296"/>
      <c r="AC89" s="177">
        <f t="shared" ref="AC89:AD89" si="51">SUM(AC73:AC88)</f>
        <v>0</v>
      </c>
      <c r="AD89" s="178">
        <f t="shared" si="51"/>
        <v>0</v>
      </c>
      <c r="AE89" s="166">
        <f>M89-J89</f>
        <v>-479.13874097644566</v>
      </c>
      <c r="AF89" s="139">
        <f>M89/J89</f>
        <v>0.86690590528432065</v>
      </c>
      <c r="AG89" s="314"/>
    </row>
    <row r="90" spans="1:33" ht="15.75" customHeight="1">
      <c r="A90" s="301" t="s">
        <v>135</v>
      </c>
      <c r="B90" s="112" t="s">
        <v>118</v>
      </c>
      <c r="C90" s="305" t="s">
        <v>134</v>
      </c>
      <c r="D90" s="306"/>
      <c r="E90" s="145">
        <v>24.54</v>
      </c>
      <c r="F90" s="95">
        <v>936</v>
      </c>
      <c r="G90" s="146">
        <f t="shared" ref="G90" si="52">E90*F90</f>
        <v>22969.439999999999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2796.6750586002004</v>
      </c>
      <c r="N90" s="150">
        <f>M90/L90</f>
        <v>699.16876465005009</v>
      </c>
      <c r="O90" s="152">
        <f>L90-I90</f>
        <v>0</v>
      </c>
      <c r="P90" s="153">
        <f>N90-K90</f>
        <v>-50.831235349949907</v>
      </c>
      <c r="Q90" s="154">
        <f>N90/K90</f>
        <v>0.93222501953340009</v>
      </c>
      <c r="R90" s="307">
        <f>Q106</f>
        <v>0.93222501953340009</v>
      </c>
      <c r="S90" s="155">
        <v>0.70833333333333337</v>
      </c>
      <c r="T90" s="156">
        <v>0.72226851851851859</v>
      </c>
      <c r="U90" s="157"/>
      <c r="V90" s="158">
        <v>20.080988610850401</v>
      </c>
      <c r="W90" s="159"/>
      <c r="X90" s="160"/>
      <c r="Y90" s="194"/>
      <c r="Z90" s="195"/>
      <c r="AA90" s="310"/>
      <c r="AB90" s="311"/>
      <c r="AC90" s="194"/>
      <c r="AD90" s="195"/>
      <c r="AE90" s="113">
        <f>M90-J90</f>
        <v>-203.32494139979963</v>
      </c>
      <c r="AF90" s="154">
        <f>M90/J90</f>
        <v>0.93222501953340009</v>
      </c>
      <c r="AG90" s="312">
        <f>AF106</f>
        <v>0.93222501953340009</v>
      </c>
    </row>
    <row r="91" spans="1:33" ht="15.75" customHeight="1">
      <c r="A91" s="302"/>
      <c r="B91" s="98"/>
      <c r="C91" s="297"/>
      <c r="D91" s="298"/>
      <c r="E91" s="99"/>
      <c r="F91" s="100"/>
      <c r="G91" s="101"/>
      <c r="H91" s="26"/>
      <c r="I91" s="102"/>
      <c r="J91" s="103"/>
      <c r="K91" s="104"/>
      <c r="L91" s="105"/>
      <c r="M91" s="103"/>
      <c r="N91" s="104"/>
      <c r="O91" s="106"/>
      <c r="P91" s="107"/>
      <c r="Q91" s="108"/>
      <c r="R91" s="308"/>
      <c r="S91" s="46"/>
      <c r="T91" s="47"/>
      <c r="U91" s="109"/>
      <c r="V91" s="110"/>
      <c r="W91" s="111"/>
      <c r="X91" s="114"/>
      <c r="Y91" s="12"/>
      <c r="Z91" s="196"/>
      <c r="AA91" s="299"/>
      <c r="AB91" s="300"/>
      <c r="AC91" s="12"/>
      <c r="AD91" s="196"/>
      <c r="AE91" s="115"/>
      <c r="AF91" s="108"/>
      <c r="AG91" s="313"/>
    </row>
    <row r="92" spans="1:33" ht="15.75" customHeight="1">
      <c r="A92" s="302"/>
      <c r="B92" s="98"/>
      <c r="C92" s="297"/>
      <c r="D92" s="298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8"/>
      <c r="S92" s="46"/>
      <c r="T92" s="47"/>
      <c r="U92" s="109"/>
      <c r="V92" s="110"/>
      <c r="W92" s="111"/>
      <c r="X92" s="114"/>
      <c r="Y92" s="12"/>
      <c r="Z92" s="196"/>
      <c r="AA92" s="299"/>
      <c r="AB92" s="300"/>
      <c r="AC92" s="12"/>
      <c r="AD92" s="196"/>
      <c r="AE92" s="115"/>
      <c r="AF92" s="108"/>
      <c r="AG92" s="313"/>
    </row>
    <row r="93" spans="1:33" ht="15.75" customHeight="1">
      <c r="A93" s="302"/>
      <c r="B93" s="98"/>
      <c r="C93" s="297"/>
      <c r="D93" s="298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8"/>
      <c r="S93" s="46"/>
      <c r="T93" s="47"/>
      <c r="U93" s="109"/>
      <c r="V93" s="110"/>
      <c r="W93" s="111"/>
      <c r="X93" s="114"/>
      <c r="Y93" s="12"/>
      <c r="Z93" s="196"/>
      <c r="AA93" s="299"/>
      <c r="AB93" s="300"/>
      <c r="AC93" s="12"/>
      <c r="AD93" s="196"/>
      <c r="AE93" s="115"/>
      <c r="AF93" s="108"/>
      <c r="AG93" s="313"/>
    </row>
    <row r="94" spans="1:33" ht="15.75" customHeight="1">
      <c r="A94" s="303"/>
      <c r="B94" s="98"/>
      <c r="C94" s="297"/>
      <c r="D94" s="298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8"/>
      <c r="S94" s="46"/>
      <c r="T94" s="47"/>
      <c r="U94" s="109"/>
      <c r="V94" s="110"/>
      <c r="W94" s="111"/>
      <c r="X94" s="114"/>
      <c r="Y94" s="12"/>
      <c r="Z94" s="196"/>
      <c r="AA94" s="299"/>
      <c r="AB94" s="300"/>
      <c r="AC94" s="12"/>
      <c r="AD94" s="196"/>
      <c r="AE94" s="115"/>
      <c r="AF94" s="108"/>
      <c r="AG94" s="313"/>
    </row>
    <row r="95" spans="1:33" ht="15.75" customHeight="1">
      <c r="A95" s="303"/>
      <c r="B95" s="98"/>
      <c r="C95" s="297"/>
      <c r="D95" s="298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8"/>
      <c r="S95" s="46"/>
      <c r="T95" s="118"/>
      <c r="U95" s="109"/>
      <c r="V95" s="110"/>
      <c r="W95" s="111"/>
      <c r="X95" s="114"/>
      <c r="Y95" s="12"/>
      <c r="Z95" s="196"/>
      <c r="AA95" s="299"/>
      <c r="AB95" s="300"/>
      <c r="AC95" s="12"/>
      <c r="AD95" s="196"/>
      <c r="AE95" s="115"/>
      <c r="AF95" s="108"/>
      <c r="AG95" s="313"/>
    </row>
    <row r="96" spans="1:33" ht="15.75" customHeight="1">
      <c r="A96" s="303"/>
      <c r="B96" s="98"/>
      <c r="C96" s="297"/>
      <c r="D96" s="298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8"/>
      <c r="S96" s="46"/>
      <c r="T96" s="118"/>
      <c r="U96" s="109"/>
      <c r="V96" s="110"/>
      <c r="W96" s="111"/>
      <c r="X96" s="114"/>
      <c r="Y96" s="12"/>
      <c r="Z96" s="196"/>
      <c r="AA96" s="299"/>
      <c r="AB96" s="300"/>
      <c r="AC96" s="12"/>
      <c r="AD96" s="196"/>
      <c r="AE96" s="115"/>
      <c r="AF96" s="108"/>
      <c r="AG96" s="313"/>
    </row>
    <row r="97" spans="1:33" ht="15.75" customHeight="1">
      <c r="A97" s="303"/>
      <c r="B97" s="98"/>
      <c r="C97" s="297"/>
      <c r="D97" s="298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8"/>
      <c r="S97" s="46"/>
      <c r="T97" s="118"/>
      <c r="U97" s="109"/>
      <c r="V97" s="110"/>
      <c r="W97" s="111"/>
      <c r="X97" s="114"/>
      <c r="Y97" s="12"/>
      <c r="Z97" s="196"/>
      <c r="AA97" s="299"/>
      <c r="AB97" s="300"/>
      <c r="AC97" s="12"/>
      <c r="AD97" s="196"/>
      <c r="AE97" s="115"/>
      <c r="AF97" s="108"/>
      <c r="AG97" s="313"/>
    </row>
    <row r="98" spans="1:33" ht="15.75" customHeight="1">
      <c r="A98" s="303"/>
      <c r="B98" s="98"/>
      <c r="C98" s="297"/>
      <c r="D98" s="298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8"/>
      <c r="S98" s="46"/>
      <c r="T98" s="118"/>
      <c r="U98" s="109"/>
      <c r="V98" s="110"/>
      <c r="W98" s="111"/>
      <c r="X98" s="114"/>
      <c r="Y98" s="12"/>
      <c r="Z98" s="196"/>
      <c r="AA98" s="299"/>
      <c r="AB98" s="300"/>
      <c r="AC98" s="12"/>
      <c r="AD98" s="196"/>
      <c r="AE98" s="115"/>
      <c r="AF98" s="108"/>
      <c r="AG98" s="313"/>
    </row>
    <row r="99" spans="1:33" ht="15.75" customHeight="1">
      <c r="A99" s="303"/>
      <c r="B99" s="98"/>
      <c r="C99" s="297"/>
      <c r="D99" s="298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8"/>
      <c r="S99" s="46"/>
      <c r="T99" s="118"/>
      <c r="U99" s="109"/>
      <c r="V99" s="110"/>
      <c r="W99" s="111"/>
      <c r="X99" s="114"/>
      <c r="Y99" s="12"/>
      <c r="Z99" s="196"/>
      <c r="AA99" s="299"/>
      <c r="AB99" s="300"/>
      <c r="AC99" s="12"/>
      <c r="AD99" s="196"/>
      <c r="AE99" s="115"/>
      <c r="AF99" s="108"/>
      <c r="AG99" s="313"/>
    </row>
    <row r="100" spans="1:33" ht="15.75" customHeight="1">
      <c r="A100" s="303"/>
      <c r="B100" s="98"/>
      <c r="C100" s="297"/>
      <c r="D100" s="298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8"/>
      <c r="S100" s="46"/>
      <c r="T100" s="118"/>
      <c r="U100" s="109"/>
      <c r="V100" s="110"/>
      <c r="W100" s="124"/>
      <c r="X100" s="125"/>
      <c r="Y100" s="12"/>
      <c r="Z100" s="196"/>
      <c r="AA100" s="299"/>
      <c r="AB100" s="300"/>
      <c r="AC100" s="12"/>
      <c r="AD100" s="196"/>
      <c r="AE100" s="115"/>
      <c r="AF100" s="108"/>
      <c r="AG100" s="313"/>
    </row>
    <row r="101" spans="1:33" ht="15.75" customHeight="1">
      <c r="A101" s="303"/>
      <c r="B101" s="98"/>
      <c r="C101" s="297"/>
      <c r="D101" s="298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8"/>
      <c r="S101" s="46"/>
      <c r="T101" s="118"/>
      <c r="U101" s="109"/>
      <c r="V101" s="110"/>
      <c r="W101" s="124"/>
      <c r="X101" s="125"/>
      <c r="Y101" s="12"/>
      <c r="Z101" s="196"/>
      <c r="AA101" s="299"/>
      <c r="AB101" s="300"/>
      <c r="AC101" s="12"/>
      <c r="AD101" s="196"/>
      <c r="AE101" s="115"/>
      <c r="AF101" s="108"/>
      <c r="AG101" s="313"/>
    </row>
    <row r="102" spans="1:33" ht="15.75" customHeight="1">
      <c r="A102" s="303"/>
      <c r="B102" s="98"/>
      <c r="C102" s="297"/>
      <c r="D102" s="298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8"/>
      <c r="S102" s="46"/>
      <c r="T102" s="118"/>
      <c r="U102" s="109"/>
      <c r="V102" s="110"/>
      <c r="W102" s="124"/>
      <c r="X102" s="125"/>
      <c r="Y102" s="12"/>
      <c r="Z102" s="196"/>
      <c r="AA102" s="299"/>
      <c r="AB102" s="300"/>
      <c r="AC102" s="12"/>
      <c r="AD102" s="196"/>
      <c r="AE102" s="115"/>
      <c r="AF102" s="108"/>
      <c r="AG102" s="313"/>
    </row>
    <row r="103" spans="1:33" ht="15.75" customHeight="1">
      <c r="A103" s="303"/>
      <c r="B103" s="98"/>
      <c r="C103" s="297"/>
      <c r="D103" s="298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8"/>
      <c r="S103" s="46"/>
      <c r="T103" s="118"/>
      <c r="U103" s="109"/>
      <c r="V103" s="110"/>
      <c r="W103" s="124"/>
      <c r="X103" s="125"/>
      <c r="Y103" s="12"/>
      <c r="Z103" s="196"/>
      <c r="AA103" s="299"/>
      <c r="AB103" s="300"/>
      <c r="AC103" s="12"/>
      <c r="AD103" s="196"/>
      <c r="AE103" s="115"/>
      <c r="AF103" s="108"/>
      <c r="AG103" s="313"/>
    </row>
    <row r="104" spans="1:33" ht="15.75" customHeight="1">
      <c r="A104" s="303"/>
      <c r="B104" s="98"/>
      <c r="C104" s="297"/>
      <c r="D104" s="298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8"/>
      <c r="S104" s="46"/>
      <c r="T104" s="118"/>
      <c r="U104" s="109"/>
      <c r="V104" s="110"/>
      <c r="W104" s="124"/>
      <c r="X104" s="125"/>
      <c r="Y104" s="12"/>
      <c r="Z104" s="196"/>
      <c r="AA104" s="299"/>
      <c r="AB104" s="300"/>
      <c r="AC104" s="12"/>
      <c r="AD104" s="196"/>
      <c r="AE104" s="115"/>
      <c r="AF104" s="108"/>
      <c r="AG104" s="313"/>
    </row>
    <row r="105" spans="1:33" ht="15.75" customHeight="1">
      <c r="A105" s="303"/>
      <c r="B105" s="98"/>
      <c r="C105" s="297"/>
      <c r="D105" s="298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8"/>
      <c r="S105" s="117"/>
      <c r="T105" s="118"/>
      <c r="U105" s="128"/>
      <c r="V105" s="129"/>
      <c r="W105" s="124"/>
      <c r="X105" s="125"/>
      <c r="Y105" s="12"/>
      <c r="Z105" s="196"/>
      <c r="AA105" s="299"/>
      <c r="AB105" s="300"/>
      <c r="AC105" s="12"/>
      <c r="AD105" s="196"/>
      <c r="AE105" s="163"/>
      <c r="AF105" s="123"/>
      <c r="AG105" s="313"/>
    </row>
    <row r="106" spans="1:33" ht="15.75" customHeight="1" thickBot="1">
      <c r="A106" s="304"/>
      <c r="B106" s="131" t="s">
        <v>115</v>
      </c>
      <c r="C106" s="294"/>
      <c r="D106" s="294"/>
      <c r="E106" s="132"/>
      <c r="F106" s="97"/>
      <c r="G106" s="133"/>
      <c r="H106" s="67"/>
      <c r="I106" s="134">
        <f t="shared" ref="I106:J106" si="53">AVERAGE(I90:I105)</f>
        <v>4</v>
      </c>
      <c r="J106" s="135">
        <f t="shared" si="53"/>
        <v>3000</v>
      </c>
      <c r="K106" s="136">
        <f t="shared" ref="K106" si="54">J106/I106</f>
        <v>750</v>
      </c>
      <c r="L106" s="134">
        <f t="shared" ref="L106:M106" si="55">AVERAGE(L90:L105)</f>
        <v>4</v>
      </c>
      <c r="M106" s="135">
        <f t="shared" si="55"/>
        <v>2796.6750586002004</v>
      </c>
      <c r="N106" s="136">
        <f t="shared" ref="N106:N120" si="56">M106/L106</f>
        <v>699.16876465005009</v>
      </c>
      <c r="O106" s="137">
        <f t="shared" ref="O106:O120" si="57">L106-I106</f>
        <v>0</v>
      </c>
      <c r="P106" s="138">
        <f t="shared" ref="P106:P120" si="58">N106-K106</f>
        <v>-50.831235349949907</v>
      </c>
      <c r="Q106" s="139">
        <f t="shared" ref="Q106:Q120" si="59">N106/K106</f>
        <v>0.93222501953340009</v>
      </c>
      <c r="R106" s="309"/>
      <c r="S106" s="140">
        <v>0.70833333333333337</v>
      </c>
      <c r="T106" s="141">
        <v>0.72226851851851859</v>
      </c>
      <c r="U106" s="142"/>
      <c r="V106" s="164"/>
      <c r="W106" s="97"/>
      <c r="X106" s="67"/>
      <c r="Y106" s="177">
        <f t="shared" ref="Y106:Z106" si="60">SUM(Y90:Y105)</f>
        <v>0</v>
      </c>
      <c r="Z106" s="178">
        <f t="shared" si="60"/>
        <v>0</v>
      </c>
      <c r="AA106" s="295"/>
      <c r="AB106" s="296"/>
      <c r="AC106" s="177">
        <f t="shared" ref="AC106:AD106" si="61">SUM(AC90:AC105)</f>
        <v>0</v>
      </c>
      <c r="AD106" s="178">
        <f t="shared" si="61"/>
        <v>0</v>
      </c>
      <c r="AE106" s="166">
        <f t="shared" ref="AE106:AE120" si="62">M106-J106</f>
        <v>-203.32494139979963</v>
      </c>
      <c r="AF106" s="139">
        <f t="shared" ref="AF106:AF120" si="63">M106/J106</f>
        <v>0.93222501953340009</v>
      </c>
      <c r="AG106" s="314"/>
    </row>
    <row r="107" spans="1:33" ht="15.75" customHeight="1">
      <c r="A107" s="315" t="s">
        <v>138</v>
      </c>
      <c r="B107" s="112" t="s">
        <v>118</v>
      </c>
      <c r="C107" s="305" t="s">
        <v>139</v>
      </c>
      <c r="D107" s="306"/>
      <c r="E107" s="145">
        <v>14.03</v>
      </c>
      <c r="F107" s="95">
        <v>331</v>
      </c>
      <c r="G107" s="146">
        <f t="shared" ref="G107:G120" si="64">E107*F107</f>
        <v>4643.9299999999994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65">F107/V107*60</f>
        <v>2800.6382829214331</v>
      </c>
      <c r="N107" s="150">
        <f t="shared" si="56"/>
        <v>933.54609430714436</v>
      </c>
      <c r="O107" s="152">
        <f t="shared" si="57"/>
        <v>0</v>
      </c>
      <c r="P107" s="153">
        <f t="shared" si="58"/>
        <v>-66.453905692855642</v>
      </c>
      <c r="Q107" s="154">
        <f t="shared" si="59"/>
        <v>0.9335460943071443</v>
      </c>
      <c r="R107" s="307">
        <f>Q123</f>
        <v>0.91707095538236805</v>
      </c>
      <c r="S107" s="155">
        <v>0.73333333333333328</v>
      </c>
      <c r="T107" s="156">
        <v>0.73825231481481479</v>
      </c>
      <c r="U107" s="157"/>
      <c r="V107" s="158">
        <v>7.091240636503553</v>
      </c>
      <c r="W107" s="159"/>
      <c r="X107" s="160"/>
      <c r="Y107" s="194"/>
      <c r="Z107" s="195"/>
      <c r="AA107" s="310"/>
      <c r="AB107" s="311"/>
      <c r="AC107" s="194"/>
      <c r="AD107" s="195"/>
      <c r="AE107" s="113">
        <f t="shared" si="62"/>
        <v>-199.36171707856693</v>
      </c>
      <c r="AF107" s="154">
        <f t="shared" si="63"/>
        <v>0.9335460943071443</v>
      </c>
      <c r="AG107" s="312">
        <f>AF123</f>
        <v>0.91707095538236805</v>
      </c>
    </row>
    <row r="108" spans="1:33" ht="15.75" customHeight="1">
      <c r="A108" s="316"/>
      <c r="B108" s="98" t="s">
        <v>118</v>
      </c>
      <c r="C108" s="297" t="s">
        <v>140</v>
      </c>
      <c r="D108" s="298"/>
      <c r="E108" s="99">
        <v>18.18</v>
      </c>
      <c r="F108" s="100">
        <v>697</v>
      </c>
      <c r="G108" s="101">
        <f t="shared" si="64"/>
        <v>12671.46</v>
      </c>
      <c r="H108" s="26">
        <v>2</v>
      </c>
      <c r="I108" s="102">
        <v>3</v>
      </c>
      <c r="J108" s="103">
        <v>3000</v>
      </c>
      <c r="K108" s="104">
        <f t="shared" ref="K108:K137" si="66">J108/I108</f>
        <v>1000</v>
      </c>
      <c r="L108" s="105">
        <v>3</v>
      </c>
      <c r="M108" s="103">
        <f t="shared" si="65"/>
        <v>2795.0963593984502</v>
      </c>
      <c r="N108" s="104">
        <f t="shared" si="56"/>
        <v>931.69878646615007</v>
      </c>
      <c r="O108" s="106">
        <f t="shared" si="57"/>
        <v>0</v>
      </c>
      <c r="P108" s="107">
        <f t="shared" si="58"/>
        <v>-68.301213533849932</v>
      </c>
      <c r="Q108" s="108">
        <f t="shared" si="59"/>
        <v>0.93169878646615012</v>
      </c>
      <c r="R108" s="308"/>
      <c r="S108" s="46">
        <v>0.74791666666666656</v>
      </c>
      <c r="T108" s="47">
        <v>0.75829861111111097</v>
      </c>
      <c r="U108" s="109">
        <v>13.916666666666551</v>
      </c>
      <c r="V108" s="110">
        <v>14.961917094336004</v>
      </c>
      <c r="W108" s="111"/>
      <c r="X108" s="114"/>
      <c r="Y108" s="12"/>
      <c r="Z108" s="196"/>
      <c r="AA108" s="299"/>
      <c r="AB108" s="300"/>
      <c r="AC108" s="12"/>
      <c r="AD108" s="196"/>
      <c r="AE108" s="115">
        <f t="shared" si="62"/>
        <v>-204.9036406015498</v>
      </c>
      <c r="AF108" s="108">
        <f t="shared" si="63"/>
        <v>0.93169878646615012</v>
      </c>
      <c r="AG108" s="313"/>
    </row>
    <row r="109" spans="1:33" ht="15.75" customHeight="1">
      <c r="A109" s="316"/>
      <c r="B109" s="98" t="s">
        <v>118</v>
      </c>
      <c r="C109" s="297" t="s">
        <v>144</v>
      </c>
      <c r="D109" s="298"/>
      <c r="E109" s="99">
        <v>18.18</v>
      </c>
      <c r="F109" s="100">
        <v>409</v>
      </c>
      <c r="G109" s="101">
        <f t="shared" si="64"/>
        <v>7435.62</v>
      </c>
      <c r="H109" s="26">
        <v>2</v>
      </c>
      <c r="I109" s="102">
        <v>3</v>
      </c>
      <c r="J109" s="103">
        <v>3600</v>
      </c>
      <c r="K109" s="104">
        <f t="shared" si="66"/>
        <v>1200</v>
      </c>
      <c r="L109" s="105">
        <v>3</v>
      </c>
      <c r="M109" s="103">
        <f t="shared" si="65"/>
        <v>3283.905345001459</v>
      </c>
      <c r="N109" s="104">
        <f t="shared" si="56"/>
        <v>1094.6351150004864</v>
      </c>
      <c r="O109" s="106">
        <f t="shared" si="57"/>
        <v>0</v>
      </c>
      <c r="P109" s="107">
        <f t="shared" si="58"/>
        <v>-105.36488499951361</v>
      </c>
      <c r="Q109" s="108">
        <f t="shared" si="59"/>
        <v>0.91219592916707204</v>
      </c>
      <c r="R109" s="308"/>
      <c r="S109" s="46">
        <v>0.76736111111111094</v>
      </c>
      <c r="T109" s="47">
        <v>0.77254629629629612</v>
      </c>
      <c r="U109" s="109">
        <v>13.049999999999962</v>
      </c>
      <c r="V109" s="110">
        <v>7.47280978647973</v>
      </c>
      <c r="W109" s="111"/>
      <c r="X109" s="114"/>
      <c r="Y109" s="12"/>
      <c r="Z109" s="196"/>
      <c r="AA109" s="299"/>
      <c r="AB109" s="300"/>
      <c r="AC109" s="12"/>
      <c r="AD109" s="196"/>
      <c r="AE109" s="115">
        <f t="shared" si="62"/>
        <v>-316.09465499854105</v>
      </c>
      <c r="AF109" s="108">
        <f t="shared" si="63"/>
        <v>0.91219592916707193</v>
      </c>
      <c r="AG109" s="313"/>
    </row>
    <row r="110" spans="1:33" ht="15.75" customHeight="1">
      <c r="A110" s="316"/>
      <c r="B110" s="98" t="s">
        <v>118</v>
      </c>
      <c r="C110" s="297" t="s">
        <v>133</v>
      </c>
      <c r="D110" s="298"/>
      <c r="E110" s="99">
        <v>16.7</v>
      </c>
      <c r="F110" s="100">
        <v>1399</v>
      </c>
      <c r="G110" s="101">
        <f t="shared" si="64"/>
        <v>23363.3</v>
      </c>
      <c r="H110" s="26">
        <v>2</v>
      </c>
      <c r="I110" s="102">
        <v>3</v>
      </c>
      <c r="J110" s="103">
        <v>3600</v>
      </c>
      <c r="K110" s="104">
        <f t="shared" si="66"/>
        <v>1200</v>
      </c>
      <c r="L110" s="105">
        <v>3</v>
      </c>
      <c r="M110" s="103">
        <f t="shared" si="65"/>
        <v>3282.5520307845682</v>
      </c>
      <c r="N110" s="104">
        <f t="shared" si="56"/>
        <v>1094.1840102615226</v>
      </c>
      <c r="O110" s="106">
        <f t="shared" si="57"/>
        <v>0</v>
      </c>
      <c r="P110" s="107">
        <f t="shared" si="58"/>
        <v>-105.81598973847736</v>
      </c>
      <c r="Q110" s="108">
        <f t="shared" si="59"/>
        <v>0.91182000855126888</v>
      </c>
      <c r="R110" s="308"/>
      <c r="S110" s="46">
        <v>0.78194444444444422</v>
      </c>
      <c r="T110" s="47">
        <v>0.79969907407407381</v>
      </c>
      <c r="U110" s="109">
        <v>13.533333333333264</v>
      </c>
      <c r="V110" s="110">
        <v>25.5715672479188</v>
      </c>
      <c r="W110" s="111"/>
      <c r="X110" s="114"/>
      <c r="Y110" s="12"/>
      <c r="Z110" s="196"/>
      <c r="AA110" s="299"/>
      <c r="AB110" s="300"/>
      <c r="AC110" s="12"/>
      <c r="AD110" s="196"/>
      <c r="AE110" s="115">
        <f t="shared" si="62"/>
        <v>-317.44796921543184</v>
      </c>
      <c r="AF110" s="108">
        <f t="shared" si="63"/>
        <v>0.91182000855126888</v>
      </c>
      <c r="AG110" s="313"/>
    </row>
    <row r="111" spans="1:33" ht="15.75" customHeight="1">
      <c r="A111" s="316"/>
      <c r="B111" s="98" t="s">
        <v>118</v>
      </c>
      <c r="C111" s="297" t="s">
        <v>193</v>
      </c>
      <c r="D111" s="298"/>
      <c r="E111" s="99">
        <v>30</v>
      </c>
      <c r="F111" s="100">
        <v>783</v>
      </c>
      <c r="G111" s="101">
        <f t="shared" si="64"/>
        <v>23490</v>
      </c>
      <c r="H111" s="26">
        <v>2</v>
      </c>
      <c r="I111" s="102">
        <v>4</v>
      </c>
      <c r="J111" s="103">
        <v>3600</v>
      </c>
      <c r="K111" s="104">
        <f t="shared" si="66"/>
        <v>900</v>
      </c>
      <c r="L111" s="105">
        <v>4</v>
      </c>
      <c r="M111" s="103">
        <f t="shared" si="65"/>
        <v>3284.4337785870525</v>
      </c>
      <c r="N111" s="104">
        <f t="shared" si="56"/>
        <v>821.10844464676313</v>
      </c>
      <c r="O111" s="106">
        <f t="shared" si="57"/>
        <v>0</v>
      </c>
      <c r="P111" s="107">
        <f t="shared" si="58"/>
        <v>-78.891555353236868</v>
      </c>
      <c r="Q111" s="108">
        <f t="shared" si="59"/>
        <v>0.91234271627418129</v>
      </c>
      <c r="R111" s="308"/>
      <c r="S111" s="46">
        <v>0.80902777777777757</v>
      </c>
      <c r="T111" s="47">
        <v>0.81895833333333312</v>
      </c>
      <c r="U111" s="109">
        <v>13.433333333333408</v>
      </c>
      <c r="V111" s="110">
        <v>14.3038353539923</v>
      </c>
      <c r="W111" s="111"/>
      <c r="X111" s="114"/>
      <c r="Y111" s="12"/>
      <c r="Z111" s="196"/>
      <c r="AA111" s="299"/>
      <c r="AB111" s="300"/>
      <c r="AC111" s="12"/>
      <c r="AD111" s="196"/>
      <c r="AE111" s="115">
        <f t="shared" si="62"/>
        <v>-315.56622141294747</v>
      </c>
      <c r="AF111" s="108">
        <f t="shared" si="63"/>
        <v>0.91234271627418129</v>
      </c>
      <c r="AG111" s="313"/>
    </row>
    <row r="112" spans="1:33" ht="15.75" customHeight="1">
      <c r="A112" s="316"/>
      <c r="B112" s="98" t="s">
        <v>118</v>
      </c>
      <c r="C112" s="297" t="s">
        <v>146</v>
      </c>
      <c r="D112" s="298"/>
      <c r="E112" s="99">
        <v>25.03</v>
      </c>
      <c r="F112" s="100">
        <v>491</v>
      </c>
      <c r="G112" s="119">
        <f t="shared" si="64"/>
        <v>12289.730000000001</v>
      </c>
      <c r="H112" s="26">
        <v>2</v>
      </c>
      <c r="I112" s="102">
        <v>5</v>
      </c>
      <c r="J112" s="103">
        <v>3600</v>
      </c>
      <c r="K112" s="104">
        <f t="shared" si="66"/>
        <v>720</v>
      </c>
      <c r="L112" s="105">
        <v>5</v>
      </c>
      <c r="M112" s="103">
        <f t="shared" si="65"/>
        <v>3279.3927196544701</v>
      </c>
      <c r="N112" s="104">
        <f t="shared" si="56"/>
        <v>655.87854393089401</v>
      </c>
      <c r="O112" s="106">
        <f t="shared" si="57"/>
        <v>0</v>
      </c>
      <c r="P112" s="107">
        <f t="shared" si="58"/>
        <v>-64.121456069105989</v>
      </c>
      <c r="Q112" s="108">
        <f t="shared" si="59"/>
        <v>0.91094242212624166</v>
      </c>
      <c r="R112" s="308"/>
      <c r="S112" s="46">
        <v>0.82847222222222194</v>
      </c>
      <c r="T112" s="118">
        <v>0.83471064814814788</v>
      </c>
      <c r="U112" s="109">
        <v>13.699999999999903</v>
      </c>
      <c r="V112" s="110">
        <v>8.9833705562120123</v>
      </c>
      <c r="W112" s="111"/>
      <c r="X112" s="114"/>
      <c r="Y112" s="12"/>
      <c r="Z112" s="196"/>
      <c r="AA112" s="299"/>
      <c r="AB112" s="300"/>
      <c r="AC112" s="12"/>
      <c r="AD112" s="196"/>
      <c r="AE112" s="115">
        <f t="shared" si="62"/>
        <v>-320.60728034552994</v>
      </c>
      <c r="AF112" s="108">
        <f t="shared" si="63"/>
        <v>0.91094242212624166</v>
      </c>
      <c r="AG112" s="313"/>
    </row>
    <row r="113" spans="1:33" ht="15.75" customHeight="1">
      <c r="A113" s="316"/>
      <c r="B113" s="98" t="s">
        <v>118</v>
      </c>
      <c r="C113" s="297" t="s">
        <v>137</v>
      </c>
      <c r="D113" s="298"/>
      <c r="E113" s="99">
        <v>16.66</v>
      </c>
      <c r="F113" s="100">
        <v>2645</v>
      </c>
      <c r="G113" s="119">
        <f t="shared" si="64"/>
        <v>44065.7</v>
      </c>
      <c r="H113" s="26">
        <v>2</v>
      </c>
      <c r="I113" s="102">
        <v>5</v>
      </c>
      <c r="J113" s="103">
        <v>3600</v>
      </c>
      <c r="K113" s="104">
        <f t="shared" si="66"/>
        <v>720</v>
      </c>
      <c r="L113" s="105">
        <v>5</v>
      </c>
      <c r="M113" s="103">
        <f t="shared" si="65"/>
        <v>3284.1657407684124</v>
      </c>
      <c r="N113" s="104">
        <f t="shared" si="56"/>
        <v>656.83314815368249</v>
      </c>
      <c r="O113" s="121">
        <f t="shared" si="57"/>
        <v>0</v>
      </c>
      <c r="P113" s="122">
        <f t="shared" si="58"/>
        <v>-63.166851846317513</v>
      </c>
      <c r="Q113" s="123">
        <f t="shared" si="59"/>
        <v>0.91226826132455896</v>
      </c>
      <c r="R113" s="308"/>
      <c r="S113" s="46">
        <v>0.84374999999999967</v>
      </c>
      <c r="T113" s="118">
        <v>0.8773032407407404</v>
      </c>
      <c r="U113" s="109">
        <v>13.01666666666657</v>
      </c>
      <c r="V113" s="110">
        <v>48.322774344168202</v>
      </c>
      <c r="W113" s="111"/>
      <c r="X113" s="114"/>
      <c r="Y113" s="12"/>
      <c r="Z113" s="196"/>
      <c r="AA113" s="299"/>
      <c r="AB113" s="300"/>
      <c r="AC113" s="12"/>
      <c r="AD113" s="196"/>
      <c r="AE113" s="115">
        <f t="shared" si="62"/>
        <v>-315.83425923158757</v>
      </c>
      <c r="AF113" s="108">
        <f t="shared" si="63"/>
        <v>0.91226826132455896</v>
      </c>
      <c r="AG113" s="313"/>
    </row>
    <row r="114" spans="1:33" ht="15.75" customHeight="1">
      <c r="A114" s="316"/>
      <c r="B114" s="98" t="s">
        <v>118</v>
      </c>
      <c r="C114" s="297" t="s">
        <v>140</v>
      </c>
      <c r="D114" s="298"/>
      <c r="E114" s="99">
        <v>18.18</v>
      </c>
      <c r="F114" s="100">
        <v>856</v>
      </c>
      <c r="G114" s="119">
        <f t="shared" si="64"/>
        <v>15562.08</v>
      </c>
      <c r="H114" s="26"/>
      <c r="I114" s="102">
        <v>3</v>
      </c>
      <c r="J114" s="103">
        <v>3000</v>
      </c>
      <c r="K114" s="104">
        <f t="shared" si="66"/>
        <v>1000</v>
      </c>
      <c r="L114" s="116">
        <v>3</v>
      </c>
      <c r="M114" s="103">
        <f t="shared" si="65"/>
        <v>2795.0963593984502</v>
      </c>
      <c r="N114" s="104">
        <f t="shared" si="56"/>
        <v>931.69878646615007</v>
      </c>
      <c r="O114" s="121">
        <f t="shared" si="57"/>
        <v>0</v>
      </c>
      <c r="P114" s="122">
        <f t="shared" si="58"/>
        <v>-68.301213533849932</v>
      </c>
      <c r="Q114" s="123">
        <f t="shared" si="59"/>
        <v>0.93169878646615012</v>
      </c>
      <c r="R114" s="308"/>
      <c r="S114" s="46">
        <v>0.88680555555555518</v>
      </c>
      <c r="T114" s="118">
        <v>0.89956018518518477</v>
      </c>
      <c r="U114" s="109">
        <v>13.683333333333287</v>
      </c>
      <c r="V114" s="110">
        <v>18.375037349715377</v>
      </c>
      <c r="W114" s="111"/>
      <c r="X114" s="114"/>
      <c r="Y114" s="12"/>
      <c r="Z114" s="196"/>
      <c r="AA114" s="299"/>
      <c r="AB114" s="300"/>
      <c r="AC114" s="12"/>
      <c r="AD114" s="196"/>
      <c r="AE114" s="115">
        <f t="shared" si="62"/>
        <v>-204.9036406015498</v>
      </c>
      <c r="AF114" s="108">
        <f t="shared" si="63"/>
        <v>0.93169878646615012</v>
      </c>
      <c r="AG114" s="313"/>
    </row>
    <row r="115" spans="1:33" ht="15.75" customHeight="1">
      <c r="A115" s="316"/>
      <c r="B115" s="98" t="s">
        <v>118</v>
      </c>
      <c r="C115" s="297" t="s">
        <v>144</v>
      </c>
      <c r="D115" s="298"/>
      <c r="E115" s="99">
        <v>18.18</v>
      </c>
      <c r="F115" s="100">
        <v>524</v>
      </c>
      <c r="G115" s="119">
        <f t="shared" si="64"/>
        <v>9526.32</v>
      </c>
      <c r="H115" s="26"/>
      <c r="I115" s="102">
        <v>3</v>
      </c>
      <c r="J115" s="103">
        <v>3600</v>
      </c>
      <c r="K115" s="104">
        <f t="shared" si="66"/>
        <v>1200</v>
      </c>
      <c r="L115" s="116">
        <v>3</v>
      </c>
      <c r="M115" s="103">
        <f t="shared" si="65"/>
        <v>3282.9411925078853</v>
      </c>
      <c r="N115" s="104">
        <f t="shared" si="56"/>
        <v>1094.3137308359617</v>
      </c>
      <c r="O115" s="121">
        <f t="shared" si="57"/>
        <v>0</v>
      </c>
      <c r="P115" s="122">
        <f t="shared" si="58"/>
        <v>-105.68626916403832</v>
      </c>
      <c r="Q115" s="123">
        <f t="shared" si="59"/>
        <v>0.91192810902996801</v>
      </c>
      <c r="R115" s="308"/>
      <c r="S115" s="46">
        <v>0.90902777777777732</v>
      </c>
      <c r="T115" s="118">
        <v>0.91567129629629584</v>
      </c>
      <c r="U115" s="109">
        <v>13.63333333333328</v>
      </c>
      <c r="V115" s="110">
        <v>9.5767783083505496</v>
      </c>
      <c r="W115" s="111"/>
      <c r="X115" s="114"/>
      <c r="Y115" s="12"/>
      <c r="Z115" s="196"/>
      <c r="AA115" s="299"/>
      <c r="AB115" s="300"/>
      <c r="AC115" s="12"/>
      <c r="AD115" s="196"/>
      <c r="AE115" s="115">
        <f t="shared" si="62"/>
        <v>-317.05880749211474</v>
      </c>
      <c r="AF115" s="108">
        <f t="shared" si="63"/>
        <v>0.91192810902996813</v>
      </c>
      <c r="AG115" s="313"/>
    </row>
    <row r="116" spans="1:33" ht="15.75" customHeight="1">
      <c r="A116" s="316"/>
      <c r="B116" s="98" t="s">
        <v>118</v>
      </c>
      <c r="C116" s="297" t="s">
        <v>133</v>
      </c>
      <c r="D116" s="298"/>
      <c r="E116" s="99">
        <v>16.7</v>
      </c>
      <c r="F116" s="100">
        <v>1987</v>
      </c>
      <c r="G116" s="119">
        <f t="shared" si="64"/>
        <v>33182.9</v>
      </c>
      <c r="H116" s="26"/>
      <c r="I116" s="102">
        <v>3</v>
      </c>
      <c r="J116" s="103">
        <v>3600</v>
      </c>
      <c r="K116" s="104">
        <f t="shared" si="66"/>
        <v>1200</v>
      </c>
      <c r="L116" s="116">
        <v>3</v>
      </c>
      <c r="M116" s="103">
        <f t="shared" si="65"/>
        <v>3283.980390573829</v>
      </c>
      <c r="N116" s="104">
        <f t="shared" si="56"/>
        <v>1094.6601301912763</v>
      </c>
      <c r="O116" s="121">
        <f t="shared" si="57"/>
        <v>0</v>
      </c>
      <c r="P116" s="122">
        <f t="shared" si="58"/>
        <v>-105.33986980872373</v>
      </c>
      <c r="Q116" s="123">
        <f t="shared" si="59"/>
        <v>0.91221677515939692</v>
      </c>
      <c r="R116" s="308"/>
      <c r="S116" s="46">
        <v>0.92499999999999949</v>
      </c>
      <c r="T116" s="118">
        <v>0.95020833333333288</v>
      </c>
      <c r="U116" s="109">
        <v>13.433333333333248</v>
      </c>
      <c r="V116" s="110">
        <v>36.303505447901898</v>
      </c>
      <c r="W116" s="111"/>
      <c r="X116" s="114"/>
      <c r="Y116" s="12"/>
      <c r="Z116" s="196"/>
      <c r="AA116" s="299"/>
      <c r="AB116" s="300"/>
      <c r="AC116" s="12"/>
      <c r="AD116" s="196"/>
      <c r="AE116" s="115">
        <f t="shared" si="62"/>
        <v>-316.01960942617097</v>
      </c>
      <c r="AF116" s="108">
        <f t="shared" si="63"/>
        <v>0.91221677515939692</v>
      </c>
      <c r="AG116" s="313"/>
    </row>
    <row r="117" spans="1:33" ht="15.75" customHeight="1">
      <c r="A117" s="316"/>
      <c r="B117" s="98" t="s">
        <v>118</v>
      </c>
      <c r="C117" s="297" t="s">
        <v>193</v>
      </c>
      <c r="D117" s="298"/>
      <c r="E117" s="99">
        <v>30</v>
      </c>
      <c r="F117" s="100">
        <v>997</v>
      </c>
      <c r="G117" s="119">
        <f t="shared" si="64"/>
        <v>29910</v>
      </c>
      <c r="H117" s="26"/>
      <c r="I117" s="102">
        <v>4</v>
      </c>
      <c r="J117" s="103">
        <v>3600</v>
      </c>
      <c r="K117" s="104">
        <f t="shared" si="66"/>
        <v>900</v>
      </c>
      <c r="L117" s="116">
        <v>4</v>
      </c>
      <c r="M117" s="103">
        <f t="shared" si="65"/>
        <v>3281.6470905232072</v>
      </c>
      <c r="N117" s="104">
        <f t="shared" si="56"/>
        <v>820.41177263080181</v>
      </c>
      <c r="O117" s="121">
        <f t="shared" si="57"/>
        <v>0</v>
      </c>
      <c r="P117" s="122">
        <f t="shared" si="58"/>
        <v>-79.588227369198194</v>
      </c>
      <c r="Q117" s="123">
        <f t="shared" si="59"/>
        <v>0.91156863625644646</v>
      </c>
      <c r="R117" s="308"/>
      <c r="S117" s="46">
        <v>0.9597222222222217</v>
      </c>
      <c r="T117" s="118">
        <v>0.97237268518518472</v>
      </c>
      <c r="U117" s="109">
        <v>13.699999999999903</v>
      </c>
      <c r="V117" s="110">
        <v>18.228651146782099</v>
      </c>
      <c r="W117" s="124"/>
      <c r="X117" s="125"/>
      <c r="Y117" s="12"/>
      <c r="Z117" s="196"/>
      <c r="AA117" s="299"/>
      <c r="AB117" s="300"/>
      <c r="AC117" s="12"/>
      <c r="AD117" s="196"/>
      <c r="AE117" s="115">
        <f t="shared" si="62"/>
        <v>-318.35290947679277</v>
      </c>
      <c r="AF117" s="108">
        <f t="shared" si="63"/>
        <v>0.91156863625644646</v>
      </c>
      <c r="AG117" s="313"/>
    </row>
    <row r="118" spans="1:33" ht="15.75" customHeight="1">
      <c r="A118" s="316"/>
      <c r="B118" s="98" t="s">
        <v>118</v>
      </c>
      <c r="C118" s="297" t="s">
        <v>146</v>
      </c>
      <c r="D118" s="298"/>
      <c r="E118" s="99">
        <v>25.03</v>
      </c>
      <c r="F118" s="100">
        <v>555</v>
      </c>
      <c r="G118" s="119">
        <f t="shared" si="64"/>
        <v>13891.650000000001</v>
      </c>
      <c r="H118" s="60"/>
      <c r="I118" s="102">
        <v>5</v>
      </c>
      <c r="J118" s="103">
        <v>3600</v>
      </c>
      <c r="K118" s="104">
        <f t="shared" si="66"/>
        <v>720</v>
      </c>
      <c r="L118" s="116">
        <v>5</v>
      </c>
      <c r="M118" s="103">
        <f t="shared" si="65"/>
        <v>3279.3927196544705</v>
      </c>
      <c r="N118" s="104">
        <f t="shared" si="56"/>
        <v>655.87854393089412</v>
      </c>
      <c r="O118" s="121">
        <f t="shared" si="57"/>
        <v>0</v>
      </c>
      <c r="P118" s="122">
        <f t="shared" si="58"/>
        <v>-64.121456069105875</v>
      </c>
      <c r="Q118" s="123">
        <f t="shared" si="59"/>
        <v>0.91094242212624188</v>
      </c>
      <c r="R118" s="308"/>
      <c r="S118" s="46">
        <v>0.98194444444444384</v>
      </c>
      <c r="T118" s="118">
        <v>0.98899305555555495</v>
      </c>
      <c r="U118" s="109">
        <v>13.783333333333143</v>
      </c>
      <c r="V118" s="110">
        <v>10.154319060484045</v>
      </c>
      <c r="W118" s="124"/>
      <c r="X118" s="125"/>
      <c r="Y118" s="12"/>
      <c r="Z118" s="196"/>
      <c r="AA118" s="299"/>
      <c r="AB118" s="300"/>
      <c r="AC118" s="12"/>
      <c r="AD118" s="196"/>
      <c r="AE118" s="115">
        <f t="shared" si="62"/>
        <v>-320.60728034552949</v>
      </c>
      <c r="AF118" s="108">
        <f t="shared" si="63"/>
        <v>0.91094242212624177</v>
      </c>
      <c r="AG118" s="313"/>
    </row>
    <row r="119" spans="1:33" ht="15.75" customHeight="1">
      <c r="A119" s="316"/>
      <c r="B119" s="98" t="s">
        <v>118</v>
      </c>
      <c r="C119" s="297" t="s">
        <v>139</v>
      </c>
      <c r="D119" s="298"/>
      <c r="E119" s="99">
        <v>14.03</v>
      </c>
      <c r="F119" s="100">
        <v>5905</v>
      </c>
      <c r="G119" s="119">
        <f t="shared" si="64"/>
        <v>82847.149999999994</v>
      </c>
      <c r="H119" s="60"/>
      <c r="I119" s="102">
        <v>3</v>
      </c>
      <c r="J119" s="103">
        <v>3000</v>
      </c>
      <c r="K119" s="104">
        <f t="shared" si="66"/>
        <v>1000</v>
      </c>
      <c r="L119" s="116">
        <v>3</v>
      </c>
      <c r="M119" s="103">
        <f t="shared" si="65"/>
        <v>2800.6382829214331</v>
      </c>
      <c r="N119" s="104">
        <f t="shared" si="56"/>
        <v>933.54609430714436</v>
      </c>
      <c r="O119" s="121">
        <f t="shared" si="57"/>
        <v>0</v>
      </c>
      <c r="P119" s="122">
        <f t="shared" si="58"/>
        <v>-66.453905692855642</v>
      </c>
      <c r="Q119" s="123">
        <f t="shared" si="59"/>
        <v>0.9335460943071443</v>
      </c>
      <c r="R119" s="308"/>
      <c r="S119" s="46">
        <v>0.99861111111111045</v>
      </c>
      <c r="T119" s="118">
        <v>1.0864583333333326</v>
      </c>
      <c r="U119" s="109">
        <v>13.849999999999927</v>
      </c>
      <c r="V119" s="110">
        <v>126.50687600771444</v>
      </c>
      <c r="W119" s="124"/>
      <c r="X119" s="125"/>
      <c r="Y119" s="12"/>
      <c r="Z119" s="196"/>
      <c r="AA119" s="299"/>
      <c r="AB119" s="300"/>
      <c r="AC119" s="12"/>
      <c r="AD119" s="196"/>
      <c r="AE119" s="115">
        <f t="shared" si="62"/>
        <v>-199.36171707856693</v>
      </c>
      <c r="AF119" s="108">
        <f t="shared" si="63"/>
        <v>0.9335460943071443</v>
      </c>
      <c r="AG119" s="313"/>
    </row>
    <row r="120" spans="1:33" ht="15.75" customHeight="1">
      <c r="A120" s="316"/>
      <c r="B120" s="98" t="s">
        <v>118</v>
      </c>
      <c r="C120" s="297" t="s">
        <v>137</v>
      </c>
      <c r="D120" s="298"/>
      <c r="E120" s="99">
        <v>16.66</v>
      </c>
      <c r="F120" s="100">
        <v>3894</v>
      </c>
      <c r="G120" s="119">
        <f t="shared" si="64"/>
        <v>64874.04</v>
      </c>
      <c r="H120" s="60"/>
      <c r="I120" s="102">
        <v>5</v>
      </c>
      <c r="J120" s="103">
        <v>3600</v>
      </c>
      <c r="K120" s="104">
        <f t="shared" si="66"/>
        <v>720</v>
      </c>
      <c r="L120" s="116">
        <v>5</v>
      </c>
      <c r="M120" s="103">
        <f t="shared" si="65"/>
        <v>3285.5255656585418</v>
      </c>
      <c r="N120" s="104">
        <f t="shared" si="56"/>
        <v>657.10511313170832</v>
      </c>
      <c r="O120" s="121">
        <f t="shared" si="57"/>
        <v>0</v>
      </c>
      <c r="P120" s="122">
        <f t="shared" si="58"/>
        <v>-62.894886868291678</v>
      </c>
      <c r="Q120" s="123">
        <f t="shared" si="59"/>
        <v>0.91264599046070605</v>
      </c>
      <c r="R120" s="308"/>
      <c r="S120" s="46">
        <v>1.0958333333333325</v>
      </c>
      <c r="T120" s="118">
        <v>1.1452083333333325</v>
      </c>
      <c r="U120" s="109">
        <v>13.499999999999872</v>
      </c>
      <c r="V120" s="110">
        <v>71.111910508956825</v>
      </c>
      <c r="W120" s="124"/>
      <c r="X120" s="125"/>
      <c r="Y120" s="12"/>
      <c r="Z120" s="196"/>
      <c r="AA120" s="299"/>
      <c r="AB120" s="300"/>
      <c r="AC120" s="12"/>
      <c r="AD120" s="196"/>
      <c r="AE120" s="115">
        <f t="shared" si="62"/>
        <v>-314.47443434145816</v>
      </c>
      <c r="AF120" s="108">
        <f t="shared" si="63"/>
        <v>0.91264599046070605</v>
      </c>
      <c r="AG120" s="313"/>
    </row>
    <row r="121" spans="1:33" ht="15.75" customHeight="1">
      <c r="A121" s="316"/>
      <c r="B121" s="98"/>
      <c r="C121" s="297"/>
      <c r="D121" s="298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8"/>
      <c r="S121" s="46"/>
      <c r="T121" s="118"/>
      <c r="U121" s="109"/>
      <c r="V121" s="110"/>
      <c r="W121" s="124"/>
      <c r="X121" s="125"/>
      <c r="Y121" s="12"/>
      <c r="Z121" s="196"/>
      <c r="AA121" s="299"/>
      <c r="AB121" s="300"/>
      <c r="AC121" s="12"/>
      <c r="AD121" s="196"/>
      <c r="AE121" s="115"/>
      <c r="AF121" s="108"/>
      <c r="AG121" s="313"/>
    </row>
    <row r="122" spans="1:33" ht="15.75" customHeight="1">
      <c r="A122" s="316"/>
      <c r="B122" s="98"/>
      <c r="C122" s="297"/>
      <c r="D122" s="298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8"/>
      <c r="S122" s="117"/>
      <c r="T122" s="118"/>
      <c r="U122" s="128"/>
      <c r="V122" s="129"/>
      <c r="W122" s="124"/>
      <c r="X122" s="125"/>
      <c r="Y122" s="12"/>
      <c r="Z122" s="196"/>
      <c r="AA122" s="299"/>
      <c r="AB122" s="300"/>
      <c r="AC122" s="12"/>
      <c r="AD122" s="196"/>
      <c r="AE122" s="163"/>
      <c r="AF122" s="123"/>
      <c r="AG122" s="313"/>
    </row>
    <row r="123" spans="1:33" ht="15.75" customHeight="1" thickBot="1">
      <c r="A123" s="317"/>
      <c r="B123" s="131" t="s">
        <v>115</v>
      </c>
      <c r="C123" s="294"/>
      <c r="D123" s="294"/>
      <c r="E123" s="132"/>
      <c r="F123" s="97"/>
      <c r="G123" s="133"/>
      <c r="H123" s="67"/>
      <c r="I123" s="134">
        <f t="shared" ref="I123:J123" si="67">AVERAGE(I107:I122)</f>
        <v>3.7142857142857144</v>
      </c>
      <c r="J123" s="135">
        <f t="shared" si="67"/>
        <v>3428.5714285714284</v>
      </c>
      <c r="K123" s="136">
        <f t="shared" ref="K123" si="68">J123/I123</f>
        <v>923.07692307692298</v>
      </c>
      <c r="L123" s="134">
        <f t="shared" ref="L123:M123" si="69">AVERAGE(L107:L122)</f>
        <v>3.7142857142857144</v>
      </c>
      <c r="M123" s="135">
        <f t="shared" si="69"/>
        <v>3144.2432755966902</v>
      </c>
      <c r="N123" s="136">
        <f t="shared" ref="N123:N137" si="70">M123/L123</f>
        <v>846.52703573757037</v>
      </c>
      <c r="O123" s="137">
        <f t="shared" ref="O123:O137" si="71">L123-I123</f>
        <v>0</v>
      </c>
      <c r="P123" s="138">
        <f t="shared" ref="P123:P137" si="72">N123-K123</f>
        <v>-76.549887339352608</v>
      </c>
      <c r="Q123" s="139">
        <f t="shared" ref="Q123:Q137" si="73">N123/K123</f>
        <v>0.91707095538236805</v>
      </c>
      <c r="R123" s="309"/>
      <c r="S123" s="140">
        <v>0.73333333333333328</v>
      </c>
      <c r="T123" s="141">
        <v>1.1452083333333325</v>
      </c>
      <c r="U123" s="142"/>
      <c r="V123" s="164"/>
      <c r="W123" s="97"/>
      <c r="X123" s="67"/>
      <c r="Y123" s="177">
        <f t="shared" ref="Y123:Z123" si="74">SUM(Y107:Y122)</f>
        <v>0</v>
      </c>
      <c r="Z123" s="178">
        <f t="shared" si="74"/>
        <v>0</v>
      </c>
      <c r="AA123" s="295"/>
      <c r="AB123" s="296"/>
      <c r="AC123" s="177">
        <f t="shared" ref="AC123:AD123" si="75">SUM(AC107:AC122)</f>
        <v>0</v>
      </c>
      <c r="AD123" s="178">
        <f t="shared" si="75"/>
        <v>0</v>
      </c>
      <c r="AE123" s="166">
        <f t="shared" ref="AE123:AE137" si="76">M123-J123</f>
        <v>-284.32815297473826</v>
      </c>
      <c r="AF123" s="139">
        <f t="shared" ref="AF123:AF137" si="77">M123/J123</f>
        <v>0.91707095538236805</v>
      </c>
      <c r="AG123" s="314"/>
    </row>
    <row r="124" spans="1:33" ht="15.75" customHeight="1">
      <c r="A124" s="301" t="s">
        <v>142</v>
      </c>
      <c r="B124" s="112" t="s">
        <v>118</v>
      </c>
      <c r="C124" s="305" t="s">
        <v>141</v>
      </c>
      <c r="D124" s="306"/>
      <c r="E124" s="145">
        <v>14.28</v>
      </c>
      <c r="F124" s="95">
        <v>365</v>
      </c>
      <c r="G124" s="146">
        <f t="shared" ref="G124:G137" si="78">E124*F124</f>
        <v>5212.2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7" si="79">F124/V124*60</f>
        <v>3282.8845142649393</v>
      </c>
      <c r="N124" s="150">
        <f t="shared" si="70"/>
        <v>1094.2948380883131</v>
      </c>
      <c r="O124" s="152">
        <f t="shared" si="71"/>
        <v>0</v>
      </c>
      <c r="P124" s="153">
        <f t="shared" si="72"/>
        <v>-105.7051619116869</v>
      </c>
      <c r="Q124" s="154">
        <f t="shared" si="73"/>
        <v>0.9119123650735943</v>
      </c>
      <c r="R124" s="307">
        <f>Q140</f>
        <v>0.91133250034506985</v>
      </c>
      <c r="S124" s="155">
        <v>0.73333333333333328</v>
      </c>
      <c r="T124" s="156">
        <v>0.73796296296296293</v>
      </c>
      <c r="U124" s="157"/>
      <c r="V124" s="158">
        <v>6.6709626564197197</v>
      </c>
      <c r="W124" s="156"/>
      <c r="X124" s="167"/>
      <c r="Y124" s="194"/>
      <c r="Z124" s="206"/>
      <c r="AA124" s="310"/>
      <c r="AB124" s="311"/>
      <c r="AC124" s="207"/>
      <c r="AD124" s="206"/>
      <c r="AE124" s="169">
        <f t="shared" si="76"/>
        <v>-317.1154857350607</v>
      </c>
      <c r="AF124" s="154">
        <f t="shared" si="77"/>
        <v>0.9119123650735943</v>
      </c>
      <c r="AG124" s="312">
        <f>AF140</f>
        <v>0.91133250034506985</v>
      </c>
    </row>
    <row r="125" spans="1:33" ht="15.75" customHeight="1">
      <c r="A125" s="302"/>
      <c r="B125" s="98" t="s">
        <v>118</v>
      </c>
      <c r="C125" s="297" t="s">
        <v>217</v>
      </c>
      <c r="D125" s="298"/>
      <c r="E125" s="99">
        <v>23.8</v>
      </c>
      <c r="F125" s="100">
        <v>368</v>
      </c>
      <c r="G125" s="101">
        <f t="shared" si="78"/>
        <v>8758.4</v>
      </c>
      <c r="H125" s="26">
        <v>2</v>
      </c>
      <c r="I125" s="102">
        <v>4</v>
      </c>
      <c r="J125" s="103">
        <v>3600</v>
      </c>
      <c r="K125" s="104">
        <f t="shared" si="66"/>
        <v>900</v>
      </c>
      <c r="L125" s="105">
        <v>4</v>
      </c>
      <c r="M125" s="103">
        <f t="shared" si="79"/>
        <v>3281.8784763995418</v>
      </c>
      <c r="N125" s="104">
        <f t="shared" si="70"/>
        <v>820.46961909988545</v>
      </c>
      <c r="O125" s="106">
        <f t="shared" si="71"/>
        <v>0</v>
      </c>
      <c r="P125" s="107">
        <f t="shared" si="72"/>
        <v>-79.530380900114551</v>
      </c>
      <c r="Q125" s="108">
        <f t="shared" si="73"/>
        <v>0.9116329101109838</v>
      </c>
      <c r="R125" s="308"/>
      <c r="S125" s="46">
        <v>0.74791666666666656</v>
      </c>
      <c r="T125" s="47">
        <v>0.75258101851851844</v>
      </c>
      <c r="U125" s="109">
        <v>14.333333333333229</v>
      </c>
      <c r="V125" s="110">
        <v>6.7278542331108362</v>
      </c>
      <c r="W125" s="111"/>
      <c r="X125" s="13"/>
      <c r="Y125" s="12"/>
      <c r="Z125" s="208"/>
      <c r="AA125" s="299"/>
      <c r="AB125" s="300"/>
      <c r="AC125" s="6"/>
      <c r="AD125" s="208"/>
      <c r="AE125" s="170">
        <f t="shared" si="76"/>
        <v>-318.1215236004582</v>
      </c>
      <c r="AF125" s="108">
        <f t="shared" si="77"/>
        <v>0.9116329101109838</v>
      </c>
      <c r="AG125" s="313"/>
    </row>
    <row r="126" spans="1:33" ht="15.75" customHeight="1">
      <c r="A126" s="302"/>
      <c r="B126" s="98" t="s">
        <v>118</v>
      </c>
      <c r="C126" s="297" t="s">
        <v>145</v>
      </c>
      <c r="D126" s="298"/>
      <c r="E126" s="99">
        <v>24.82</v>
      </c>
      <c r="F126" s="100">
        <v>747</v>
      </c>
      <c r="G126" s="101">
        <f t="shared" si="78"/>
        <v>18540.54</v>
      </c>
      <c r="H126" s="26">
        <v>2</v>
      </c>
      <c r="I126" s="102">
        <v>5</v>
      </c>
      <c r="J126" s="103">
        <v>3600</v>
      </c>
      <c r="K126" s="104">
        <f t="shared" si="66"/>
        <v>720</v>
      </c>
      <c r="L126" s="105">
        <v>5</v>
      </c>
      <c r="M126" s="103">
        <f t="shared" si="79"/>
        <v>3279.3637736592618</v>
      </c>
      <c r="N126" s="104">
        <f t="shared" si="70"/>
        <v>655.87275473185241</v>
      </c>
      <c r="O126" s="106">
        <f t="shared" si="71"/>
        <v>0</v>
      </c>
      <c r="P126" s="107">
        <f t="shared" si="72"/>
        <v>-64.12724526814759</v>
      </c>
      <c r="Q126" s="108">
        <f t="shared" si="73"/>
        <v>0.91093438157201723</v>
      </c>
      <c r="R126" s="308"/>
      <c r="S126" s="46">
        <v>0.7618055555555554</v>
      </c>
      <c r="T126" s="47">
        <v>0.77129629629629615</v>
      </c>
      <c r="U126" s="109">
        <v>13.283333333333225</v>
      </c>
      <c r="V126" s="110">
        <v>13.667285209407501</v>
      </c>
      <c r="W126" s="111"/>
      <c r="X126" s="13"/>
      <c r="Y126" s="12"/>
      <c r="Z126" s="208"/>
      <c r="AA126" s="299"/>
      <c r="AB126" s="300"/>
      <c r="AC126" s="6"/>
      <c r="AD126" s="208"/>
      <c r="AE126" s="170">
        <f t="shared" si="76"/>
        <v>-320.63622634073818</v>
      </c>
      <c r="AF126" s="108">
        <f t="shared" si="77"/>
        <v>0.91093438157201723</v>
      </c>
      <c r="AG126" s="313"/>
    </row>
    <row r="127" spans="1:33" ht="15.75" customHeight="1">
      <c r="A127" s="302"/>
      <c r="B127" s="98" t="s">
        <v>118</v>
      </c>
      <c r="C127" s="297" t="s">
        <v>216</v>
      </c>
      <c r="D127" s="298"/>
      <c r="E127" s="99">
        <v>24.76</v>
      </c>
      <c r="F127" s="100">
        <v>574</v>
      </c>
      <c r="G127" s="101">
        <f t="shared" si="78"/>
        <v>14212.240000000002</v>
      </c>
      <c r="H127" s="26">
        <v>2</v>
      </c>
      <c r="I127" s="102">
        <v>4</v>
      </c>
      <c r="J127" s="103">
        <v>3600</v>
      </c>
      <c r="K127" s="104">
        <f t="shared" si="66"/>
        <v>900</v>
      </c>
      <c r="L127" s="105">
        <v>4</v>
      </c>
      <c r="M127" s="103">
        <f t="shared" si="79"/>
        <v>3282.8598108928913</v>
      </c>
      <c r="N127" s="104">
        <f t="shared" si="70"/>
        <v>820.71495272322284</v>
      </c>
      <c r="O127" s="106">
        <f t="shared" si="71"/>
        <v>0</v>
      </c>
      <c r="P127" s="107">
        <f t="shared" si="72"/>
        <v>-79.285047276777163</v>
      </c>
      <c r="Q127" s="108">
        <f t="shared" si="73"/>
        <v>0.9119055030258032</v>
      </c>
      <c r="R127" s="308"/>
      <c r="S127" s="46">
        <v>0.78124999999999978</v>
      </c>
      <c r="T127" s="47">
        <v>0.78853009259259232</v>
      </c>
      <c r="U127" s="109">
        <v>14.333333333333229</v>
      </c>
      <c r="V127" s="110">
        <v>10.490853092698103</v>
      </c>
      <c r="W127" s="111"/>
      <c r="X127" s="13"/>
      <c r="Y127" s="12"/>
      <c r="Z127" s="208"/>
      <c r="AA127" s="299"/>
      <c r="AB127" s="300"/>
      <c r="AC127" s="6"/>
      <c r="AD127" s="208"/>
      <c r="AE127" s="170">
        <f t="shared" si="76"/>
        <v>-317.14018910710865</v>
      </c>
      <c r="AF127" s="108">
        <f t="shared" si="77"/>
        <v>0.9119055030258032</v>
      </c>
      <c r="AG127" s="313"/>
    </row>
    <row r="128" spans="1:33" ht="15.75" customHeight="1">
      <c r="A128" s="303"/>
      <c r="B128" s="98" t="s">
        <v>118</v>
      </c>
      <c r="C128" s="297" t="s">
        <v>212</v>
      </c>
      <c r="D128" s="298"/>
      <c r="E128" s="99">
        <v>22.32</v>
      </c>
      <c r="F128" s="100">
        <v>772</v>
      </c>
      <c r="G128" s="101">
        <f t="shared" si="78"/>
        <v>17231.04</v>
      </c>
      <c r="H128" s="26">
        <v>2</v>
      </c>
      <c r="I128" s="102">
        <v>5</v>
      </c>
      <c r="J128" s="103">
        <v>3600</v>
      </c>
      <c r="K128" s="104">
        <f t="shared" si="66"/>
        <v>720</v>
      </c>
      <c r="L128" s="105">
        <v>5</v>
      </c>
      <c r="M128" s="103">
        <f t="shared" si="79"/>
        <v>3278.2670965931638</v>
      </c>
      <c r="N128" s="104">
        <f t="shared" si="70"/>
        <v>655.65341931863281</v>
      </c>
      <c r="O128" s="106">
        <f t="shared" si="71"/>
        <v>0</v>
      </c>
      <c r="P128" s="107">
        <f t="shared" si="72"/>
        <v>-64.346580681367186</v>
      </c>
      <c r="Q128" s="108">
        <f t="shared" si="73"/>
        <v>0.91062974905365668</v>
      </c>
      <c r="R128" s="308"/>
      <c r="S128" s="46">
        <v>0.79861111111111083</v>
      </c>
      <c r="T128" s="47">
        <v>0.80841435185185162</v>
      </c>
      <c r="U128" s="109">
        <v>14.516666666666644</v>
      </c>
      <c r="V128" s="110">
        <v>14.1294161321195</v>
      </c>
      <c r="W128" s="111"/>
      <c r="X128" s="114"/>
      <c r="Y128" s="12"/>
      <c r="Z128" s="208"/>
      <c r="AA128" s="299"/>
      <c r="AB128" s="300"/>
      <c r="AC128" s="6"/>
      <c r="AD128" s="208"/>
      <c r="AE128" s="170">
        <f t="shared" si="76"/>
        <v>-321.73290340683616</v>
      </c>
      <c r="AF128" s="108">
        <f t="shared" si="77"/>
        <v>0.91062974905365657</v>
      </c>
      <c r="AG128" s="313"/>
    </row>
    <row r="129" spans="1:33" ht="15.75" customHeight="1">
      <c r="A129" s="303"/>
      <c r="B129" s="98" t="s">
        <v>118</v>
      </c>
      <c r="C129" s="297" t="s">
        <v>143</v>
      </c>
      <c r="D129" s="298"/>
      <c r="E129" s="99">
        <v>18.18</v>
      </c>
      <c r="F129" s="100">
        <v>1064</v>
      </c>
      <c r="G129" s="119">
        <f t="shared" si="78"/>
        <v>19343.52</v>
      </c>
      <c r="H129" s="26">
        <v>2</v>
      </c>
      <c r="I129" s="102">
        <v>3</v>
      </c>
      <c r="J129" s="103">
        <v>3600</v>
      </c>
      <c r="K129" s="104">
        <f t="shared" si="66"/>
        <v>1200</v>
      </c>
      <c r="L129" s="105">
        <v>3</v>
      </c>
      <c r="M129" s="103">
        <f t="shared" si="79"/>
        <v>3277.8936360116936</v>
      </c>
      <c r="N129" s="104">
        <f t="shared" si="70"/>
        <v>1092.6312120038979</v>
      </c>
      <c r="O129" s="106">
        <f t="shared" si="71"/>
        <v>0</v>
      </c>
      <c r="P129" s="107">
        <f t="shared" si="72"/>
        <v>-107.36878799610213</v>
      </c>
      <c r="Q129" s="108">
        <f t="shared" si="73"/>
        <v>0.91052601000324818</v>
      </c>
      <c r="R129" s="308"/>
      <c r="S129" s="46">
        <v>0.8180555555555552</v>
      </c>
      <c r="T129" s="118">
        <v>0.83157407407407369</v>
      </c>
      <c r="U129" s="109">
        <v>13.883333333333159</v>
      </c>
      <c r="V129" s="110">
        <v>19.475921762268023</v>
      </c>
      <c r="W129" s="111"/>
      <c r="X129" s="49"/>
      <c r="Y129" s="12"/>
      <c r="Z129" s="208"/>
      <c r="AA129" s="299"/>
      <c r="AB129" s="300"/>
      <c r="AC129" s="6"/>
      <c r="AD129" s="208"/>
      <c r="AE129" s="170">
        <f t="shared" si="76"/>
        <v>-322.10636398830638</v>
      </c>
      <c r="AF129" s="108">
        <f t="shared" si="77"/>
        <v>0.91052601000324818</v>
      </c>
      <c r="AG129" s="313"/>
    </row>
    <row r="130" spans="1:33" ht="15.75" customHeight="1">
      <c r="A130" s="303"/>
      <c r="B130" s="98" t="s">
        <v>118</v>
      </c>
      <c r="C130" s="297" t="s">
        <v>136</v>
      </c>
      <c r="D130" s="298"/>
      <c r="E130" s="99">
        <v>17.89</v>
      </c>
      <c r="F130" s="100">
        <v>1721</v>
      </c>
      <c r="G130" s="119">
        <f t="shared" si="78"/>
        <v>30788.690000000002</v>
      </c>
      <c r="H130" s="26">
        <v>2</v>
      </c>
      <c r="I130" s="102">
        <v>4</v>
      </c>
      <c r="J130" s="103">
        <v>3600</v>
      </c>
      <c r="K130" s="104">
        <f t="shared" si="66"/>
        <v>900</v>
      </c>
      <c r="L130" s="105">
        <v>4</v>
      </c>
      <c r="M130" s="103">
        <f t="shared" si="79"/>
        <v>3282.3451389568932</v>
      </c>
      <c r="N130" s="104">
        <f t="shared" si="70"/>
        <v>820.58628473922329</v>
      </c>
      <c r="O130" s="121">
        <f t="shared" si="71"/>
        <v>0</v>
      </c>
      <c r="P130" s="122">
        <f t="shared" si="72"/>
        <v>-79.413715260776712</v>
      </c>
      <c r="Q130" s="123">
        <f t="shared" si="73"/>
        <v>0.91176253859913703</v>
      </c>
      <c r="R130" s="308"/>
      <c r="S130" s="46">
        <v>0.84166666666666623</v>
      </c>
      <c r="T130" s="118">
        <v>0.86350694444444398</v>
      </c>
      <c r="U130" s="109">
        <v>14.53333333333326</v>
      </c>
      <c r="V130" s="110">
        <v>31.459214564137923</v>
      </c>
      <c r="W130" s="111"/>
      <c r="X130" s="114"/>
      <c r="Y130" s="12"/>
      <c r="Z130" s="208"/>
      <c r="AA130" s="299"/>
      <c r="AB130" s="300"/>
      <c r="AC130" s="6"/>
      <c r="AD130" s="208"/>
      <c r="AE130" s="170">
        <f t="shared" si="76"/>
        <v>-317.65486104310685</v>
      </c>
      <c r="AF130" s="108">
        <f t="shared" si="77"/>
        <v>0.91176253859913703</v>
      </c>
      <c r="AG130" s="313"/>
    </row>
    <row r="131" spans="1:33" ht="15.75" customHeight="1">
      <c r="A131" s="303"/>
      <c r="B131" s="98" t="s">
        <v>118</v>
      </c>
      <c r="C131" s="297" t="s">
        <v>217</v>
      </c>
      <c r="D131" s="298"/>
      <c r="E131" s="99">
        <v>23.8</v>
      </c>
      <c r="F131" s="100">
        <v>378</v>
      </c>
      <c r="G131" s="119">
        <f t="shared" si="78"/>
        <v>8996.4</v>
      </c>
      <c r="H131" s="26"/>
      <c r="I131" s="102">
        <v>4</v>
      </c>
      <c r="J131" s="103">
        <v>3600</v>
      </c>
      <c r="K131" s="104">
        <f t="shared" si="66"/>
        <v>900</v>
      </c>
      <c r="L131" s="116">
        <v>4</v>
      </c>
      <c r="M131" s="103">
        <f t="shared" si="79"/>
        <v>3281.8784763995418</v>
      </c>
      <c r="N131" s="104">
        <f t="shared" si="70"/>
        <v>820.46961909988545</v>
      </c>
      <c r="O131" s="121">
        <f t="shared" si="71"/>
        <v>0</v>
      </c>
      <c r="P131" s="122">
        <f t="shared" si="72"/>
        <v>-79.530380900114551</v>
      </c>
      <c r="Q131" s="123">
        <f t="shared" si="73"/>
        <v>0.9116329101109838</v>
      </c>
      <c r="R131" s="308"/>
      <c r="S131" s="46">
        <v>0.87291666666666623</v>
      </c>
      <c r="T131" s="118">
        <v>0.87770833333333287</v>
      </c>
      <c r="U131" s="109">
        <v>13.55000000000004</v>
      </c>
      <c r="V131" s="110">
        <v>6.9106763590105871</v>
      </c>
      <c r="W131" s="111"/>
      <c r="X131" s="114"/>
      <c r="Y131" s="12"/>
      <c r="Z131" s="208"/>
      <c r="AA131" s="299"/>
      <c r="AB131" s="300"/>
      <c r="AC131" s="6"/>
      <c r="AD131" s="208"/>
      <c r="AE131" s="170">
        <f t="shared" si="76"/>
        <v>-318.1215236004582</v>
      </c>
      <c r="AF131" s="108">
        <f t="shared" si="77"/>
        <v>0.9116329101109838</v>
      </c>
      <c r="AG131" s="313"/>
    </row>
    <row r="132" spans="1:33" ht="15.75" customHeight="1">
      <c r="A132" s="303"/>
      <c r="B132" s="98" t="s">
        <v>118</v>
      </c>
      <c r="C132" s="297" t="s">
        <v>145</v>
      </c>
      <c r="D132" s="298"/>
      <c r="E132" s="99">
        <v>24.82</v>
      </c>
      <c r="F132" s="100">
        <v>893</v>
      </c>
      <c r="G132" s="119">
        <f t="shared" si="78"/>
        <v>22164.260000000002</v>
      </c>
      <c r="H132" s="26"/>
      <c r="I132" s="102">
        <v>5</v>
      </c>
      <c r="J132" s="103">
        <v>3600</v>
      </c>
      <c r="K132" s="104">
        <f t="shared" si="66"/>
        <v>720</v>
      </c>
      <c r="L132" s="116">
        <v>5</v>
      </c>
      <c r="M132" s="103">
        <f t="shared" si="79"/>
        <v>3278.9715292291694</v>
      </c>
      <c r="N132" s="104">
        <f t="shared" si="70"/>
        <v>655.79430584583383</v>
      </c>
      <c r="O132" s="121">
        <f t="shared" si="71"/>
        <v>0</v>
      </c>
      <c r="P132" s="122">
        <f t="shared" si="72"/>
        <v>-64.205694154166167</v>
      </c>
      <c r="Q132" s="123">
        <f t="shared" si="73"/>
        <v>0.91082542478588036</v>
      </c>
      <c r="R132" s="308"/>
      <c r="S132" s="46">
        <v>0.88680555555555507</v>
      </c>
      <c r="T132" s="118">
        <v>0.8981481481481477</v>
      </c>
      <c r="U132" s="109">
        <v>13.099999999999969</v>
      </c>
      <c r="V132" s="110">
        <v>16.340489547524601</v>
      </c>
      <c r="W132" s="124"/>
      <c r="X132" s="125"/>
      <c r="Y132" s="12"/>
      <c r="Z132" s="208"/>
      <c r="AA132" s="299"/>
      <c r="AB132" s="300"/>
      <c r="AC132" s="6"/>
      <c r="AD132" s="208"/>
      <c r="AE132" s="170">
        <f t="shared" si="76"/>
        <v>-321.02847077083061</v>
      </c>
      <c r="AF132" s="108">
        <f t="shared" si="77"/>
        <v>0.91082542478588036</v>
      </c>
      <c r="AG132" s="313"/>
    </row>
    <row r="133" spans="1:33" ht="15.75" customHeight="1">
      <c r="A133" s="303"/>
      <c r="B133" s="98" t="s">
        <v>118</v>
      </c>
      <c r="C133" s="297" t="s">
        <v>216</v>
      </c>
      <c r="D133" s="298"/>
      <c r="E133" s="99">
        <v>24.76</v>
      </c>
      <c r="F133" s="100">
        <v>735</v>
      </c>
      <c r="G133" s="119">
        <f t="shared" si="78"/>
        <v>18198.600000000002</v>
      </c>
      <c r="H133" s="26"/>
      <c r="I133" s="102">
        <v>4</v>
      </c>
      <c r="J133" s="103">
        <v>3600</v>
      </c>
      <c r="K133" s="104">
        <f t="shared" si="66"/>
        <v>900</v>
      </c>
      <c r="L133" s="116">
        <v>4</v>
      </c>
      <c r="M133" s="103">
        <f t="shared" si="79"/>
        <v>3282.8598108928913</v>
      </c>
      <c r="N133" s="104">
        <f t="shared" si="70"/>
        <v>820.71495272322284</v>
      </c>
      <c r="O133" s="121">
        <f t="shared" si="71"/>
        <v>0</v>
      </c>
      <c r="P133" s="122">
        <f t="shared" si="72"/>
        <v>-79.285047276777163</v>
      </c>
      <c r="Q133" s="123">
        <f t="shared" si="73"/>
        <v>0.9119055030258032</v>
      </c>
      <c r="R133" s="308"/>
      <c r="S133" s="46">
        <v>0.90763888888888833</v>
      </c>
      <c r="T133" s="118">
        <v>0.91696759259259208</v>
      </c>
      <c r="U133" s="109">
        <v>13.666666666666512</v>
      </c>
      <c r="V133" s="110">
        <v>13.433409447967083</v>
      </c>
      <c r="W133" s="124"/>
      <c r="X133" s="125"/>
      <c r="Y133" s="12"/>
      <c r="Z133" s="208"/>
      <c r="AA133" s="299"/>
      <c r="AB133" s="300"/>
      <c r="AC133" s="6"/>
      <c r="AD133" s="208"/>
      <c r="AE133" s="170">
        <f t="shared" si="76"/>
        <v>-317.14018910710865</v>
      </c>
      <c r="AF133" s="108">
        <f t="shared" si="77"/>
        <v>0.9119055030258032</v>
      </c>
      <c r="AG133" s="313"/>
    </row>
    <row r="134" spans="1:33" ht="15.75" customHeight="1">
      <c r="A134" s="303"/>
      <c r="B134" s="98" t="s">
        <v>118</v>
      </c>
      <c r="C134" s="297" t="s">
        <v>212</v>
      </c>
      <c r="D134" s="298"/>
      <c r="E134" s="99">
        <v>22.32</v>
      </c>
      <c r="F134" s="100">
        <v>1253</v>
      </c>
      <c r="G134" s="119">
        <f t="shared" si="78"/>
        <v>27966.959999999999</v>
      </c>
      <c r="H134" s="26"/>
      <c r="I134" s="102">
        <v>5</v>
      </c>
      <c r="J134" s="103">
        <v>3600</v>
      </c>
      <c r="K134" s="104">
        <f t="shared" si="66"/>
        <v>720</v>
      </c>
      <c r="L134" s="116">
        <v>5</v>
      </c>
      <c r="M134" s="103">
        <f t="shared" si="79"/>
        <v>3280.2366290924165</v>
      </c>
      <c r="N134" s="104">
        <f t="shared" si="70"/>
        <v>656.04732581848327</v>
      </c>
      <c r="O134" s="121">
        <f t="shared" si="71"/>
        <v>0</v>
      </c>
      <c r="P134" s="122">
        <f t="shared" si="72"/>
        <v>-63.952674181516727</v>
      </c>
      <c r="Q134" s="123">
        <f t="shared" si="73"/>
        <v>0.91117684141456012</v>
      </c>
      <c r="R134" s="308"/>
      <c r="S134" s="46">
        <v>0.92638888888888826</v>
      </c>
      <c r="T134" s="118">
        <v>0.94230324074074012</v>
      </c>
      <c r="U134" s="109">
        <v>13.566666666666496</v>
      </c>
      <c r="V134" s="110">
        <v>22.919078255888198</v>
      </c>
      <c r="W134" s="124"/>
      <c r="X134" s="125"/>
      <c r="Y134" s="12"/>
      <c r="Z134" s="208"/>
      <c r="AA134" s="299"/>
      <c r="AB134" s="300"/>
      <c r="AC134" s="6"/>
      <c r="AD134" s="208"/>
      <c r="AE134" s="170">
        <f t="shared" si="76"/>
        <v>-319.76337090758352</v>
      </c>
      <c r="AF134" s="108">
        <f t="shared" si="77"/>
        <v>0.91117684141456012</v>
      </c>
      <c r="AG134" s="313"/>
    </row>
    <row r="135" spans="1:33" ht="15.75" customHeight="1">
      <c r="A135" s="303"/>
      <c r="B135" s="98" t="s">
        <v>118</v>
      </c>
      <c r="C135" s="297" t="s">
        <v>143</v>
      </c>
      <c r="D135" s="298"/>
      <c r="E135" s="99">
        <v>18.18</v>
      </c>
      <c r="F135" s="100">
        <v>1646</v>
      </c>
      <c r="G135" s="119">
        <f t="shared" si="78"/>
        <v>29924.28</v>
      </c>
      <c r="H135" s="60"/>
      <c r="I135" s="102">
        <v>3</v>
      </c>
      <c r="J135" s="103">
        <v>3600</v>
      </c>
      <c r="K135" s="104">
        <f t="shared" si="66"/>
        <v>1200</v>
      </c>
      <c r="L135" s="116">
        <v>3</v>
      </c>
      <c r="M135" s="103">
        <f t="shared" si="79"/>
        <v>3277.8936360116932</v>
      </c>
      <c r="N135" s="104">
        <f t="shared" si="70"/>
        <v>1092.6312120038976</v>
      </c>
      <c r="O135" s="121">
        <f t="shared" si="71"/>
        <v>0</v>
      </c>
      <c r="P135" s="122">
        <f t="shared" si="72"/>
        <v>-107.36878799610236</v>
      </c>
      <c r="Q135" s="123">
        <f t="shared" si="73"/>
        <v>0.91052601000324807</v>
      </c>
      <c r="R135" s="308"/>
      <c r="S135" s="46">
        <v>0.95138888888888817</v>
      </c>
      <c r="T135" s="118">
        <v>0.97230324074074004</v>
      </c>
      <c r="U135" s="109">
        <v>13.083333333333194</v>
      </c>
      <c r="V135" s="110">
        <v>30.129104530726661</v>
      </c>
      <c r="W135" s="124"/>
      <c r="X135" s="125"/>
      <c r="Y135" s="12"/>
      <c r="Z135" s="208"/>
      <c r="AA135" s="299"/>
      <c r="AB135" s="300"/>
      <c r="AC135" s="6"/>
      <c r="AD135" s="208"/>
      <c r="AE135" s="170">
        <f t="shared" si="76"/>
        <v>-322.10636398830684</v>
      </c>
      <c r="AF135" s="108">
        <f t="shared" si="77"/>
        <v>0.91052601000324807</v>
      </c>
      <c r="AG135" s="313"/>
    </row>
    <row r="136" spans="1:33" ht="15.75" customHeight="1">
      <c r="A136" s="303"/>
      <c r="B136" s="98" t="s">
        <v>118</v>
      </c>
      <c r="C136" s="297" t="s">
        <v>136</v>
      </c>
      <c r="D136" s="298"/>
      <c r="E136" s="99">
        <v>17.89</v>
      </c>
      <c r="F136" s="100">
        <v>2655</v>
      </c>
      <c r="G136" s="119">
        <f t="shared" si="78"/>
        <v>47497.950000000004</v>
      </c>
      <c r="H136" s="60"/>
      <c r="I136" s="102">
        <v>4</v>
      </c>
      <c r="J136" s="103">
        <v>3600</v>
      </c>
      <c r="K136" s="104">
        <f t="shared" si="66"/>
        <v>900</v>
      </c>
      <c r="L136" s="116">
        <v>4</v>
      </c>
      <c r="M136" s="103">
        <f t="shared" si="79"/>
        <v>3282.3451389568932</v>
      </c>
      <c r="N136" s="104">
        <f t="shared" si="70"/>
        <v>820.58628473922329</v>
      </c>
      <c r="O136" s="121">
        <f t="shared" si="71"/>
        <v>0</v>
      </c>
      <c r="P136" s="122">
        <f t="shared" si="72"/>
        <v>-79.413715260776712</v>
      </c>
      <c r="Q136" s="123">
        <f t="shared" si="73"/>
        <v>0.91176253859913703</v>
      </c>
      <c r="R136" s="308"/>
      <c r="S136" s="46">
        <v>0.98263888888888817</v>
      </c>
      <c r="T136" s="118">
        <v>1.0163310185185177</v>
      </c>
      <c r="U136" s="109">
        <v>14.883333333333315</v>
      </c>
      <c r="V136" s="110">
        <v>48.532373426953043</v>
      </c>
      <c r="W136" s="124"/>
      <c r="X136" s="125"/>
      <c r="Y136" s="12"/>
      <c r="Z136" s="208"/>
      <c r="AA136" s="299"/>
      <c r="AB136" s="300"/>
      <c r="AC136" s="6"/>
      <c r="AD136" s="208"/>
      <c r="AE136" s="170">
        <f t="shared" si="76"/>
        <v>-317.65486104310685</v>
      </c>
      <c r="AF136" s="108">
        <f t="shared" si="77"/>
        <v>0.91176253859913703</v>
      </c>
      <c r="AG136" s="313"/>
    </row>
    <row r="137" spans="1:33" ht="15.75" customHeight="1">
      <c r="A137" s="303"/>
      <c r="B137" s="98" t="s">
        <v>118</v>
      </c>
      <c r="C137" s="297" t="s">
        <v>141</v>
      </c>
      <c r="D137" s="298"/>
      <c r="E137" s="99">
        <v>14.28</v>
      </c>
      <c r="F137" s="100">
        <v>7803</v>
      </c>
      <c r="G137" s="119">
        <f t="shared" si="78"/>
        <v>111426.84</v>
      </c>
      <c r="H137" s="60"/>
      <c r="I137" s="102">
        <v>3</v>
      </c>
      <c r="J137" s="103">
        <v>3600</v>
      </c>
      <c r="K137" s="104">
        <f t="shared" si="66"/>
        <v>1200</v>
      </c>
      <c r="L137" s="116">
        <v>3</v>
      </c>
      <c r="M137" s="103">
        <f t="shared" si="79"/>
        <v>3281.4803500305288</v>
      </c>
      <c r="N137" s="104">
        <f t="shared" si="70"/>
        <v>1093.8267833435095</v>
      </c>
      <c r="O137" s="121">
        <f t="shared" si="71"/>
        <v>0</v>
      </c>
      <c r="P137" s="122">
        <f t="shared" si="72"/>
        <v>-106.17321665649047</v>
      </c>
      <c r="Q137" s="123">
        <f t="shared" si="73"/>
        <v>0.91152231945292461</v>
      </c>
      <c r="R137" s="308"/>
      <c r="S137" s="46">
        <v>1.0256944444444438</v>
      </c>
      <c r="T137" s="118">
        <v>1.1247685185185179</v>
      </c>
      <c r="U137" s="109">
        <v>13.483333333333576</v>
      </c>
      <c r="V137" s="110">
        <v>142.67341262477601</v>
      </c>
      <c r="W137" s="111"/>
      <c r="X137" s="114"/>
      <c r="Y137" s="12"/>
      <c r="Z137" s="208"/>
      <c r="AA137" s="299"/>
      <c r="AB137" s="300"/>
      <c r="AC137" s="6"/>
      <c r="AD137" s="208"/>
      <c r="AE137" s="170">
        <f t="shared" si="76"/>
        <v>-318.51964996947117</v>
      </c>
      <c r="AF137" s="108">
        <f t="shared" si="77"/>
        <v>0.91152231945292472</v>
      </c>
      <c r="AG137" s="313"/>
    </row>
    <row r="138" spans="1:33" ht="15.75" customHeight="1">
      <c r="A138" s="303"/>
      <c r="B138" s="98"/>
      <c r="C138" s="297"/>
      <c r="D138" s="298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8"/>
      <c r="S138" s="46"/>
      <c r="T138" s="118"/>
      <c r="U138" s="109"/>
      <c r="V138" s="110"/>
      <c r="W138" s="124"/>
      <c r="X138" s="125"/>
      <c r="Y138" s="12"/>
      <c r="Z138" s="208"/>
      <c r="AA138" s="299"/>
      <c r="AB138" s="300"/>
      <c r="AC138" s="6"/>
      <c r="AD138" s="208"/>
      <c r="AE138" s="170"/>
      <c r="AF138" s="108"/>
      <c r="AG138" s="313"/>
    </row>
    <row r="139" spans="1:33" ht="15.75" customHeight="1">
      <c r="A139" s="303"/>
      <c r="B139" s="98"/>
      <c r="C139" s="297"/>
      <c r="D139" s="298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8"/>
      <c r="S139" s="117"/>
      <c r="T139" s="118"/>
      <c r="U139" s="128"/>
      <c r="V139" s="129"/>
      <c r="W139" s="124"/>
      <c r="X139" s="125"/>
      <c r="Y139" s="12"/>
      <c r="Z139" s="208"/>
      <c r="AA139" s="299"/>
      <c r="AB139" s="300"/>
      <c r="AC139" s="6"/>
      <c r="AD139" s="208"/>
      <c r="AE139" s="171"/>
      <c r="AF139" s="123"/>
      <c r="AG139" s="313"/>
    </row>
    <row r="140" spans="1:33" ht="15.75" customHeight="1" thickBot="1">
      <c r="A140" s="304"/>
      <c r="B140" s="131" t="s">
        <v>115</v>
      </c>
      <c r="C140" s="294"/>
      <c r="D140" s="294"/>
      <c r="E140" s="132"/>
      <c r="F140" s="165"/>
      <c r="G140" s="133"/>
      <c r="H140" s="67"/>
      <c r="I140" s="134">
        <f t="shared" ref="I140:J140" si="80">AVERAGE(I124:I139)</f>
        <v>4</v>
      </c>
      <c r="J140" s="135">
        <f t="shared" si="80"/>
        <v>3600</v>
      </c>
      <c r="K140" s="136">
        <f t="shared" ref="K140" si="81">J140/I140</f>
        <v>900</v>
      </c>
      <c r="L140" s="134">
        <f t="shared" ref="L140:M140" si="82">AVERAGE(L124:L139)</f>
        <v>4</v>
      </c>
      <c r="M140" s="135">
        <f t="shared" si="82"/>
        <v>3280.7970012422516</v>
      </c>
      <c r="N140" s="136">
        <f>M140/L140</f>
        <v>820.19925031056289</v>
      </c>
      <c r="O140" s="137">
        <f>L140-I140</f>
        <v>0</v>
      </c>
      <c r="P140" s="138">
        <f>N140-K140</f>
        <v>-79.800749689437112</v>
      </c>
      <c r="Q140" s="139">
        <f>N140/K140</f>
        <v>0.91133250034506985</v>
      </c>
      <c r="R140" s="309"/>
      <c r="S140" s="140">
        <v>0.73333333333333328</v>
      </c>
      <c r="T140" s="141">
        <v>1.1247685185185179</v>
      </c>
      <c r="U140" s="142"/>
      <c r="V140" s="164"/>
      <c r="W140" s="165"/>
      <c r="X140" s="136"/>
      <c r="Y140" s="177">
        <f t="shared" ref="Y140:Z140" si="83">SUM(Y124:Y139)</f>
        <v>0</v>
      </c>
      <c r="Z140" s="209">
        <f t="shared" si="83"/>
        <v>0</v>
      </c>
      <c r="AA140" s="295"/>
      <c r="AB140" s="296"/>
      <c r="AC140" s="210">
        <f t="shared" ref="AC140:AD140" si="84">SUM(AC124:AC139)</f>
        <v>0</v>
      </c>
      <c r="AD140" s="209">
        <f t="shared" si="84"/>
        <v>0</v>
      </c>
      <c r="AE140" s="172">
        <f>M140-J140</f>
        <v>-319.20299875774845</v>
      </c>
      <c r="AF140" s="139">
        <f>M140/J140</f>
        <v>0.91133250034506985</v>
      </c>
      <c r="AG140" s="314"/>
    </row>
    <row r="142" spans="1:33">
      <c r="AA142" s="293" t="s">
        <v>147</v>
      </c>
      <c r="AB142" s="293"/>
    </row>
    <row r="143" spans="1:33">
      <c r="AA143" s="293" t="s">
        <v>148</v>
      </c>
      <c r="AB143" s="293"/>
    </row>
    <row r="144" spans="1:33">
      <c r="AA144" s="293" t="s">
        <v>149</v>
      </c>
      <c r="AB144" s="293"/>
    </row>
    <row r="145" spans="27:28">
      <c r="AA145" s="293" t="s">
        <v>150</v>
      </c>
      <c r="AB145" s="293"/>
    </row>
    <row r="146" spans="27:28">
      <c r="AA146" s="293" t="s">
        <v>151</v>
      </c>
      <c r="AB146" s="293"/>
    </row>
    <row r="147" spans="27:28">
      <c r="AA147" s="293" t="s">
        <v>152</v>
      </c>
      <c r="AB147" s="293"/>
    </row>
    <row r="148" spans="27:28">
      <c r="AA148" s="293" t="s">
        <v>153</v>
      </c>
      <c r="AB148" s="293"/>
    </row>
    <row r="149" spans="27:28">
      <c r="AA149" s="293" t="s">
        <v>154</v>
      </c>
      <c r="AB149" s="293"/>
    </row>
    <row r="150" spans="27:28">
      <c r="AA150" s="293" t="s">
        <v>155</v>
      </c>
      <c r="AB150" s="293"/>
    </row>
    <row r="151" spans="27:28">
      <c r="AA151" s="293" t="s">
        <v>156</v>
      </c>
      <c r="AB151" s="293"/>
    </row>
    <row r="152" spans="27:28">
      <c r="AA152" s="293" t="s">
        <v>157</v>
      </c>
      <c r="AB152" s="293"/>
    </row>
    <row r="153" spans="27:28">
      <c r="AA153" s="293" t="s">
        <v>158</v>
      </c>
      <c r="AB153" s="293"/>
    </row>
    <row r="154" spans="27:28">
      <c r="AA154" s="293" t="s">
        <v>159</v>
      </c>
      <c r="AB154" s="293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111:AB111"/>
    <mergeCell ref="C112:D112"/>
    <mergeCell ref="AA127:AB127"/>
    <mergeCell ref="C128:D128"/>
    <mergeCell ref="AA101:AB101"/>
    <mergeCell ref="C102:D102"/>
    <mergeCell ref="AA102:AB102"/>
    <mergeCell ref="C106:D106"/>
    <mergeCell ref="AA106:AB106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91" priority="1" operator="greaterThan">
      <formula>0</formula>
    </cfRule>
  </conditionalFormatting>
  <conditionalFormatting sqref="P5:P140 AE5:AE140">
    <cfRule type="cellIs" dxfId="90" priority="4" operator="lessThan">
      <formula>0</formula>
    </cfRule>
  </conditionalFormatting>
  <conditionalFormatting sqref="Q5:Q140 AF5:AF140">
    <cfRule type="cellIs" dxfId="89" priority="2" operator="greaterThan">
      <formula>1</formula>
    </cfRule>
    <cfRule type="cellIs" dxfId="88" priority="3" operator="lessThan">
      <formula>0.8</formula>
    </cfRule>
  </conditionalFormatting>
  <conditionalFormatting sqref="AG5:AG6 R5:R140 AG73:AG78">
    <cfRule type="cellIs" dxfId="87" priority="5" operator="lessThan">
      <formula>0.8</formula>
    </cfRule>
  </conditionalFormatting>
  <conditionalFormatting sqref="AG12:AG20">
    <cfRule type="cellIs" dxfId="86" priority="12" operator="lessThan">
      <formula>0.8</formula>
    </cfRule>
  </conditionalFormatting>
  <conditionalFormatting sqref="AG22">
    <cfRule type="cellIs" dxfId="85" priority="11" operator="lessThan">
      <formula>0.8</formula>
    </cfRule>
  </conditionalFormatting>
  <conditionalFormatting sqref="AG39">
    <cfRule type="cellIs" dxfId="84" priority="7" operator="lessThan">
      <formula>0.8</formula>
    </cfRule>
  </conditionalFormatting>
  <conditionalFormatting sqref="AG56:AG61">
    <cfRule type="cellIs" dxfId="83" priority="6" operator="lessThan">
      <formula>0.8</formula>
    </cfRule>
  </conditionalFormatting>
  <conditionalFormatting sqref="AG90">
    <cfRule type="cellIs" dxfId="82" priority="10" operator="lessThan">
      <formula>0.8</formula>
    </cfRule>
  </conditionalFormatting>
  <conditionalFormatting sqref="AG107">
    <cfRule type="cellIs" dxfId="81" priority="9" operator="lessThan">
      <formula>0.8</formula>
    </cfRule>
  </conditionalFormatting>
  <conditionalFormatting sqref="AG124:AG129">
    <cfRule type="cellIs" dxfId="80" priority="8" operator="lessThan">
      <formula>0.8</formula>
    </cfRule>
  </conditionalFormatting>
  <dataValidations count="1">
    <dataValidation type="list" allowBlank="1" showInputMessage="1" showErrorMessage="1" sqref="AA5:AB140" xr:uid="{06E10A82-D1BC-4903-BF1F-6D6F652E1F27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71797-E4B6-4995-BE63-80E1BB9B7C56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N50" sqref="N50"/>
      <selection pane="bottomLeft" activeCell="N50" sqref="N50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76536</v>
      </c>
      <c r="E1" s="86" t="s">
        <v>3</v>
      </c>
      <c r="F1" s="87">
        <f>SUM(G5:G140)</f>
        <v>3457009.3200000008</v>
      </c>
      <c r="G1" s="88" t="s">
        <v>84</v>
      </c>
      <c r="H1" s="89">
        <f>L21+L38+L55+L72+L89+L106+L123+L140</f>
        <v>137.46666666666667</v>
      </c>
      <c r="I1" s="359" t="s">
        <v>85</v>
      </c>
      <c r="J1" s="360"/>
      <c r="K1" s="361"/>
      <c r="L1" s="365" t="s">
        <v>86</v>
      </c>
      <c r="M1" s="366"/>
      <c r="N1" s="367"/>
      <c r="O1" s="360" t="s">
        <v>87</v>
      </c>
      <c r="P1" s="360"/>
      <c r="Q1" s="360"/>
      <c r="R1" s="371"/>
      <c r="S1" s="359" t="s">
        <v>88</v>
      </c>
      <c r="T1" s="360"/>
      <c r="U1" s="360"/>
      <c r="V1" s="360"/>
      <c r="W1" s="360"/>
      <c r="X1" s="371"/>
      <c r="Y1" s="190" t="s">
        <v>183</v>
      </c>
      <c r="Z1" s="190" t="s">
        <v>184</v>
      </c>
      <c r="AA1" s="391" t="s">
        <v>161</v>
      </c>
      <c r="AB1" s="392"/>
      <c r="AC1" s="174" t="s">
        <v>19</v>
      </c>
      <c r="AD1" s="175" t="s">
        <v>160</v>
      </c>
      <c r="AE1" s="359" t="s">
        <v>90</v>
      </c>
      <c r="AF1" s="374"/>
      <c r="AG1" s="375"/>
    </row>
    <row r="2" spans="1:33" ht="26.25" customHeight="1" thickBot="1">
      <c r="A2" s="352">
        <v>46299</v>
      </c>
      <c r="B2" s="353"/>
      <c r="C2" s="90" t="s">
        <v>40</v>
      </c>
      <c r="D2" s="91">
        <f>AVERAGE(N21,N38,N55,N72,N89,N106,N123,N140)</f>
        <v>207.88763570584425</v>
      </c>
      <c r="E2" s="91" t="s">
        <v>91</v>
      </c>
      <c r="F2" s="92">
        <f>F1/D1</f>
        <v>45.168408592035128</v>
      </c>
      <c r="G2" s="93" t="s">
        <v>92</v>
      </c>
      <c r="H2" s="94">
        <f>COUNT(H5:H140)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1">
        <f>SUM(Y21,Y38,Y55,Y72,Y89,Y106,Y123,Y140)</f>
        <v>0</v>
      </c>
      <c r="Z2" s="191">
        <f>SUM(Z21,Z38,Z55,Z72,Z89,Z106,Z123,Z140)</f>
        <v>0</v>
      </c>
      <c r="AA2" s="393"/>
      <c r="AB2" s="394"/>
      <c r="AC2" s="199">
        <f>SUM(AC21,AC38,AC55,AC72,AC89,AC106,AC123,AC140)</f>
        <v>0</v>
      </c>
      <c r="AD2" s="200">
        <f>SUM(AD21,AD38,AD55,AD72,AD89,AD106,AD123,AD140)</f>
        <v>0</v>
      </c>
      <c r="AE2" s="376"/>
      <c r="AF2" s="377"/>
      <c r="AG2" s="378"/>
    </row>
    <row r="3" spans="1:33" ht="23.25" customHeight="1">
      <c r="A3" s="354" t="s">
        <v>93</v>
      </c>
      <c r="B3" s="356" t="s">
        <v>94</v>
      </c>
      <c r="C3" s="326" t="s">
        <v>95</v>
      </c>
      <c r="D3" s="326"/>
      <c r="E3" s="346" t="s">
        <v>96</v>
      </c>
      <c r="F3" s="326" t="s">
        <v>97</v>
      </c>
      <c r="G3" s="346" t="s">
        <v>98</v>
      </c>
      <c r="H3" s="348" t="s">
        <v>99</v>
      </c>
      <c r="I3" s="338" t="s">
        <v>100</v>
      </c>
      <c r="J3" s="334" t="s">
        <v>101</v>
      </c>
      <c r="K3" s="336" t="s">
        <v>40</v>
      </c>
      <c r="L3" s="350" t="s">
        <v>100</v>
      </c>
      <c r="M3" s="334" t="s">
        <v>101</v>
      </c>
      <c r="N3" s="336" t="s">
        <v>40</v>
      </c>
      <c r="O3" s="338" t="s">
        <v>100</v>
      </c>
      <c r="P3" s="340" t="s">
        <v>40</v>
      </c>
      <c r="Q3" s="342" t="s">
        <v>102</v>
      </c>
      <c r="R3" s="344" t="s">
        <v>103</v>
      </c>
      <c r="S3" s="322" t="s">
        <v>104</v>
      </c>
      <c r="T3" s="323"/>
      <c r="U3" s="324" t="s">
        <v>105</v>
      </c>
      <c r="V3" s="324" t="s">
        <v>106</v>
      </c>
      <c r="W3" s="326" t="s">
        <v>107</v>
      </c>
      <c r="X3" s="327"/>
      <c r="Y3" s="383" t="s">
        <v>185</v>
      </c>
      <c r="Z3" s="384"/>
      <c r="AA3" s="387" t="s">
        <v>108</v>
      </c>
      <c r="AB3" s="388"/>
      <c r="AC3" s="383" t="s">
        <v>186</v>
      </c>
      <c r="AD3" s="384"/>
      <c r="AE3" s="332" t="s">
        <v>101</v>
      </c>
      <c r="AF3" s="318" t="s">
        <v>102</v>
      </c>
      <c r="AG3" s="320" t="s">
        <v>109</v>
      </c>
    </row>
    <row r="4" spans="1:33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201" t="s">
        <v>110</v>
      </c>
      <c r="T4" s="202" t="s">
        <v>111</v>
      </c>
      <c r="U4" s="325"/>
      <c r="V4" s="325"/>
      <c r="W4" s="97" t="s">
        <v>112</v>
      </c>
      <c r="X4" s="67" t="s">
        <v>113</v>
      </c>
      <c r="Y4" s="192" t="s">
        <v>49</v>
      </c>
      <c r="Z4" s="193" t="s">
        <v>50</v>
      </c>
      <c r="AA4" s="389"/>
      <c r="AB4" s="390"/>
      <c r="AC4" s="192" t="s">
        <v>162</v>
      </c>
      <c r="AD4" s="193" t="s">
        <v>163</v>
      </c>
      <c r="AE4" s="333"/>
      <c r="AF4" s="319"/>
      <c r="AG4" s="321"/>
    </row>
    <row r="5" spans="1:33" ht="15.75" customHeight="1">
      <c r="A5" s="315" t="s">
        <v>168</v>
      </c>
      <c r="B5" s="112" t="s">
        <v>164</v>
      </c>
      <c r="C5" s="385" t="s">
        <v>165</v>
      </c>
      <c r="D5" s="385"/>
      <c r="E5" s="145">
        <v>19.7</v>
      </c>
      <c r="F5" s="149">
        <v>3942</v>
      </c>
      <c r="G5" s="146">
        <f t="shared" ref="G5:G7" si="0">E5*F5</f>
        <v>77657.399999999994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1086.5672881768489</v>
      </c>
      <c r="N5" s="150">
        <f>M5/L5</f>
        <v>83.582099090526839</v>
      </c>
      <c r="O5" s="152">
        <f>L5-I5</f>
        <v>0</v>
      </c>
      <c r="P5" s="153">
        <f>N5-K5</f>
        <v>-8.7255932171654678</v>
      </c>
      <c r="Q5" s="154">
        <f>N5/K5</f>
        <v>0.90547274014737411</v>
      </c>
      <c r="R5" s="307">
        <f>Q21</f>
        <v>0.90276005745004906</v>
      </c>
      <c r="S5" s="155">
        <v>0.20833333333333334</v>
      </c>
      <c r="T5" s="156">
        <v>0.35949074074074072</v>
      </c>
      <c r="U5" s="157"/>
      <c r="V5" s="158">
        <v>217.6763487854092</v>
      </c>
      <c r="W5" s="179"/>
      <c r="X5" s="150"/>
      <c r="Y5" s="12"/>
      <c r="Z5" s="196"/>
      <c r="AA5" s="310"/>
      <c r="AB5" s="311"/>
      <c r="AC5" s="12"/>
      <c r="AD5" s="196"/>
      <c r="AE5" s="176">
        <f>M5-J5</f>
        <v>-113.43271182315107</v>
      </c>
      <c r="AF5" s="130">
        <f>M5/J5</f>
        <v>0.90547274014737411</v>
      </c>
      <c r="AG5" s="386">
        <f>AF21</f>
        <v>0.90276005745004917</v>
      </c>
    </row>
    <row r="6" spans="1:33" ht="15.75" customHeight="1">
      <c r="A6" s="316"/>
      <c r="B6" s="98" t="s">
        <v>169</v>
      </c>
      <c r="C6" s="382" t="s">
        <v>170</v>
      </c>
      <c r="D6" s="382"/>
      <c r="E6" s="99">
        <v>56.43</v>
      </c>
      <c r="F6" s="100">
        <v>5400</v>
      </c>
      <c r="G6" s="101">
        <f t="shared" si="0"/>
        <v>304722</v>
      </c>
      <c r="H6" s="26"/>
      <c r="I6" s="102">
        <v>24</v>
      </c>
      <c r="J6" s="103">
        <v>2000</v>
      </c>
      <c r="K6" s="104">
        <f t="shared" ref="K6:K43" si="1">J6/I6</f>
        <v>83.333333333333329</v>
      </c>
      <c r="L6" s="105">
        <v>24</v>
      </c>
      <c r="M6" s="103">
        <f>F6/V6*60</f>
        <v>1802.7548219448431</v>
      </c>
      <c r="N6" s="104">
        <f>M6/L6</f>
        <v>75.114784247701792</v>
      </c>
      <c r="O6" s="106">
        <f>L6-I6</f>
        <v>0</v>
      </c>
      <c r="P6" s="107">
        <f>N6-K6</f>
        <v>-8.2185490856315369</v>
      </c>
      <c r="Q6" s="108">
        <f>N6/K6</f>
        <v>0.90137741097242152</v>
      </c>
      <c r="R6" s="308"/>
      <c r="S6" s="46">
        <v>0.36249999999999999</v>
      </c>
      <c r="T6" s="47">
        <v>0.48730324074074072</v>
      </c>
      <c r="U6" s="109">
        <v>5</v>
      </c>
      <c r="V6" s="110">
        <v>179.72493877479312</v>
      </c>
      <c r="W6" s="111">
        <v>0.48730324074074072</v>
      </c>
      <c r="X6" s="114">
        <v>0.52500000000000002</v>
      </c>
      <c r="Y6" s="12"/>
      <c r="Z6" s="196"/>
      <c r="AA6" s="299"/>
      <c r="AB6" s="300"/>
      <c r="AC6" s="12"/>
      <c r="AD6" s="196"/>
      <c r="AE6" s="115">
        <f>M6-J6</f>
        <v>-197.24517805515688</v>
      </c>
      <c r="AF6" s="108">
        <f>M6/J6</f>
        <v>0.90137741097242152</v>
      </c>
      <c r="AG6" s="380"/>
    </row>
    <row r="7" spans="1:33" ht="15.75" customHeight="1">
      <c r="A7" s="316"/>
      <c r="B7" s="98" t="s">
        <v>171</v>
      </c>
      <c r="C7" s="382" t="s">
        <v>173</v>
      </c>
      <c r="D7" s="382"/>
      <c r="E7" s="99">
        <v>59.52</v>
      </c>
      <c r="F7" s="100">
        <v>5691</v>
      </c>
      <c r="G7" s="101">
        <f t="shared" si="0"/>
        <v>338728.32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1805.0301886185632</v>
      </c>
      <c r="N7" s="104">
        <f>M7/L7</f>
        <v>75.209591192440129</v>
      </c>
      <c r="O7" s="106">
        <f>L7-I7</f>
        <v>0</v>
      </c>
      <c r="P7" s="107">
        <f>N7-K7</f>
        <v>-8.1237421408931993</v>
      </c>
      <c r="Q7" s="108">
        <f>N7/K7</f>
        <v>0.90251509430928156</v>
      </c>
      <c r="R7" s="308"/>
      <c r="S7" s="46">
        <v>0.52500000000000002</v>
      </c>
      <c r="T7" s="47">
        <v>0.65636574074074072</v>
      </c>
      <c r="U7" s="109">
        <v>55</v>
      </c>
      <c r="V7" s="110">
        <v>189.17135134528041</v>
      </c>
      <c r="W7" s="111"/>
      <c r="X7" s="114"/>
      <c r="Y7" s="12"/>
      <c r="Z7" s="196"/>
      <c r="AA7" s="299"/>
      <c r="AB7" s="300"/>
      <c r="AC7" s="12"/>
      <c r="AD7" s="196"/>
      <c r="AE7" s="115">
        <f>M7-J7</f>
        <v>-194.96981138143678</v>
      </c>
      <c r="AF7" s="108">
        <f>M7/J7</f>
        <v>0.90251509430928156</v>
      </c>
      <c r="AG7" s="380"/>
    </row>
    <row r="8" spans="1:33" ht="15.75" customHeight="1">
      <c r="A8" s="316"/>
      <c r="B8" s="98"/>
      <c r="C8" s="382"/>
      <c r="D8" s="382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8"/>
      <c r="S8" s="46"/>
      <c r="T8" s="47"/>
      <c r="U8" s="109"/>
      <c r="V8" s="110"/>
      <c r="W8" s="111"/>
      <c r="X8" s="114"/>
      <c r="Y8" s="12"/>
      <c r="Z8" s="196"/>
      <c r="AA8" s="299"/>
      <c r="AB8" s="300"/>
      <c r="AC8" s="12"/>
      <c r="AD8" s="196"/>
      <c r="AE8" s="115"/>
      <c r="AF8" s="108"/>
      <c r="AG8" s="380"/>
    </row>
    <row r="9" spans="1:33" ht="15.75" customHeight="1">
      <c r="A9" s="316"/>
      <c r="B9" s="98"/>
      <c r="C9" s="382"/>
      <c r="D9" s="382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8"/>
      <c r="S9" s="46"/>
      <c r="T9" s="47"/>
      <c r="U9" s="109"/>
      <c r="V9" s="110"/>
      <c r="W9" s="111"/>
      <c r="X9" s="114"/>
      <c r="Y9" s="12"/>
      <c r="Z9" s="196"/>
      <c r="AA9" s="299"/>
      <c r="AB9" s="300"/>
      <c r="AC9" s="12"/>
      <c r="AD9" s="196"/>
      <c r="AE9" s="115"/>
      <c r="AF9" s="108"/>
      <c r="AG9" s="380"/>
    </row>
    <row r="10" spans="1:33" ht="15.75" customHeight="1">
      <c r="A10" s="316"/>
      <c r="B10" s="98"/>
      <c r="C10" s="382"/>
      <c r="D10" s="382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8"/>
      <c r="S10" s="46"/>
      <c r="T10" s="118"/>
      <c r="U10" s="109"/>
      <c r="V10" s="110"/>
      <c r="W10" s="111"/>
      <c r="X10" s="114"/>
      <c r="Y10" s="12"/>
      <c r="Z10" s="196"/>
      <c r="AA10" s="299"/>
      <c r="AB10" s="300"/>
      <c r="AC10" s="12"/>
      <c r="AD10" s="196"/>
      <c r="AE10" s="115"/>
      <c r="AF10" s="108"/>
      <c r="AG10" s="380"/>
    </row>
    <row r="11" spans="1:33" ht="15.75" customHeight="1">
      <c r="A11" s="316"/>
      <c r="B11" s="98"/>
      <c r="C11" s="382"/>
      <c r="D11" s="382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8"/>
      <c r="S11" s="46"/>
      <c r="T11" s="118"/>
      <c r="U11" s="109"/>
      <c r="V11" s="110"/>
      <c r="W11" s="111"/>
      <c r="X11" s="114"/>
      <c r="Y11" s="12"/>
      <c r="Z11" s="196"/>
      <c r="AA11" s="299"/>
      <c r="AB11" s="300"/>
      <c r="AC11" s="12"/>
      <c r="AD11" s="196"/>
      <c r="AE11" s="115"/>
      <c r="AF11" s="108"/>
      <c r="AG11" s="380"/>
    </row>
    <row r="12" spans="1:33" ht="15.75" customHeight="1">
      <c r="A12" s="316"/>
      <c r="B12" s="98"/>
      <c r="C12" s="382"/>
      <c r="D12" s="382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8"/>
      <c r="S12" s="46"/>
      <c r="T12" s="118"/>
      <c r="U12" s="109"/>
      <c r="V12" s="110"/>
      <c r="W12" s="111"/>
      <c r="X12" s="114"/>
      <c r="Y12" s="12"/>
      <c r="Z12" s="196"/>
      <c r="AA12" s="299"/>
      <c r="AB12" s="300"/>
      <c r="AC12" s="12"/>
      <c r="AD12" s="196"/>
      <c r="AE12" s="115"/>
      <c r="AF12" s="108"/>
      <c r="AG12" s="380"/>
    </row>
    <row r="13" spans="1:33" ht="15.75" customHeight="1">
      <c r="A13" s="316"/>
      <c r="B13" s="98"/>
      <c r="C13" s="382"/>
      <c r="D13" s="382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8"/>
      <c r="S13" s="46"/>
      <c r="T13" s="118"/>
      <c r="U13" s="109"/>
      <c r="V13" s="110"/>
      <c r="W13" s="111"/>
      <c r="X13" s="114"/>
      <c r="Y13" s="12"/>
      <c r="Z13" s="196"/>
      <c r="AA13" s="299"/>
      <c r="AB13" s="300"/>
      <c r="AC13" s="12"/>
      <c r="AD13" s="196"/>
      <c r="AE13" s="115"/>
      <c r="AF13" s="108"/>
      <c r="AG13" s="380"/>
    </row>
    <row r="14" spans="1:33" ht="15.75" customHeight="1">
      <c r="A14" s="316"/>
      <c r="B14" s="98"/>
      <c r="C14" s="382"/>
      <c r="D14" s="382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8"/>
      <c r="S14" s="46"/>
      <c r="T14" s="118"/>
      <c r="U14" s="109"/>
      <c r="V14" s="110"/>
      <c r="W14" s="111"/>
      <c r="X14" s="114"/>
      <c r="Y14" s="12"/>
      <c r="Z14" s="196"/>
      <c r="AA14" s="299"/>
      <c r="AB14" s="300"/>
      <c r="AC14" s="12"/>
      <c r="AD14" s="196"/>
      <c r="AE14" s="115"/>
      <c r="AF14" s="108"/>
      <c r="AG14" s="380"/>
    </row>
    <row r="15" spans="1:33" ht="15.75" customHeight="1">
      <c r="A15" s="316"/>
      <c r="B15" s="98"/>
      <c r="C15" s="382"/>
      <c r="D15" s="382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8"/>
      <c r="S15" s="46"/>
      <c r="T15" s="118"/>
      <c r="U15" s="109"/>
      <c r="V15" s="110"/>
      <c r="W15" s="111"/>
      <c r="X15" s="114"/>
      <c r="Y15" s="12"/>
      <c r="Z15" s="196"/>
      <c r="AA15" s="299"/>
      <c r="AB15" s="300"/>
      <c r="AC15" s="12"/>
      <c r="AD15" s="196"/>
      <c r="AE15" s="115"/>
      <c r="AF15" s="108"/>
      <c r="AG15" s="380"/>
    </row>
    <row r="16" spans="1:33" ht="15.75" customHeight="1">
      <c r="A16" s="316"/>
      <c r="B16" s="98"/>
      <c r="C16" s="382"/>
      <c r="D16" s="382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8"/>
      <c r="S16" s="46"/>
      <c r="T16" s="118"/>
      <c r="U16" s="109"/>
      <c r="V16" s="110"/>
      <c r="W16" s="111"/>
      <c r="X16" s="114"/>
      <c r="Y16" s="12"/>
      <c r="Z16" s="196"/>
      <c r="AA16" s="299"/>
      <c r="AB16" s="300"/>
      <c r="AC16" s="12"/>
      <c r="AD16" s="196"/>
      <c r="AE16" s="115"/>
      <c r="AF16" s="108"/>
      <c r="AG16" s="380"/>
    </row>
    <row r="17" spans="1:33" ht="15.75" customHeight="1">
      <c r="A17" s="316"/>
      <c r="B17" s="98"/>
      <c r="C17" s="382"/>
      <c r="D17" s="382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8"/>
      <c r="S17" s="46"/>
      <c r="T17" s="118"/>
      <c r="U17" s="109"/>
      <c r="V17" s="110"/>
      <c r="W17" s="111"/>
      <c r="X17" s="114"/>
      <c r="Y17" s="12"/>
      <c r="Z17" s="196"/>
      <c r="AA17" s="299"/>
      <c r="AB17" s="300"/>
      <c r="AC17" s="12"/>
      <c r="AD17" s="196"/>
      <c r="AE17" s="115"/>
      <c r="AF17" s="108"/>
      <c r="AG17" s="380"/>
    </row>
    <row r="18" spans="1:33" ht="15.75" customHeight="1">
      <c r="A18" s="316"/>
      <c r="B18" s="98"/>
      <c r="C18" s="382"/>
      <c r="D18" s="382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8"/>
      <c r="S18" s="46"/>
      <c r="T18" s="118"/>
      <c r="U18" s="109"/>
      <c r="V18" s="110"/>
      <c r="W18" s="111"/>
      <c r="X18" s="114"/>
      <c r="Y18" s="12"/>
      <c r="Z18" s="196"/>
      <c r="AA18" s="299"/>
      <c r="AB18" s="300"/>
      <c r="AC18" s="12"/>
      <c r="AD18" s="196"/>
      <c r="AE18" s="115"/>
      <c r="AF18" s="108"/>
      <c r="AG18" s="380"/>
    </row>
    <row r="19" spans="1:33" ht="15.75" customHeight="1">
      <c r="A19" s="316"/>
      <c r="B19" s="98"/>
      <c r="C19" s="382"/>
      <c r="D19" s="382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8"/>
      <c r="S19" s="46"/>
      <c r="T19" s="118"/>
      <c r="U19" s="109"/>
      <c r="V19" s="110"/>
      <c r="W19" s="111"/>
      <c r="X19" s="114"/>
      <c r="Y19" s="12"/>
      <c r="Z19" s="196"/>
      <c r="AA19" s="299"/>
      <c r="AB19" s="300"/>
      <c r="AC19" s="12"/>
      <c r="AD19" s="196"/>
      <c r="AE19" s="115"/>
      <c r="AF19" s="108"/>
      <c r="AG19" s="380"/>
    </row>
    <row r="20" spans="1:33" ht="15.75" customHeight="1">
      <c r="A20" s="316"/>
      <c r="B20" s="98"/>
      <c r="C20" s="382"/>
      <c r="D20" s="382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8"/>
      <c r="S20" s="46"/>
      <c r="T20" s="118"/>
      <c r="U20" s="128"/>
      <c r="V20" s="110"/>
      <c r="W20" s="111"/>
      <c r="X20" s="114"/>
      <c r="Y20" s="12"/>
      <c r="Z20" s="196"/>
      <c r="AA20" s="299"/>
      <c r="AB20" s="300"/>
      <c r="AC20" s="12"/>
      <c r="AD20" s="196"/>
      <c r="AE20" s="115"/>
      <c r="AF20" s="108"/>
      <c r="AG20" s="380"/>
    </row>
    <row r="21" spans="1:33" ht="15.75" customHeight="1" thickBot="1">
      <c r="A21" s="317"/>
      <c r="B21" s="131" t="s">
        <v>115</v>
      </c>
      <c r="C21" s="294"/>
      <c r="D21" s="294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1564.7840995800852</v>
      </c>
      <c r="N21" s="136">
        <f t="shared" ref="N21:N26" si="5">M21/L21</f>
        <v>76.956595061315667</v>
      </c>
      <c r="O21" s="137">
        <f t="shared" ref="O21:O26" si="6">L21-I21</f>
        <v>0</v>
      </c>
      <c r="P21" s="138">
        <f t="shared" ref="P21:P26" si="7">N21-K21</f>
        <v>-8.2893065780286008</v>
      </c>
      <c r="Q21" s="139">
        <f t="shared" ref="Q21:Q26" si="8">N21/K21</f>
        <v>0.90276005745004906</v>
      </c>
      <c r="R21" s="309"/>
      <c r="S21" s="140">
        <v>0.20833333333333334</v>
      </c>
      <c r="T21" s="141">
        <v>0.65636574074074072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5"/>
      <c r="AB21" s="296"/>
      <c r="AC21" s="177">
        <f>SUM(AC5:AC20)</f>
        <v>0</v>
      </c>
      <c r="AD21" s="178">
        <f>SUM(AD5:AD20)</f>
        <v>0</v>
      </c>
      <c r="AE21" s="166">
        <f t="shared" ref="AE21:AE26" si="9">M21-J21</f>
        <v>-168.54923375324802</v>
      </c>
      <c r="AF21" s="139">
        <f t="shared" ref="AF21:AF26" si="10">M21/J21</f>
        <v>0.90276005745004917</v>
      </c>
      <c r="AG21" s="381"/>
    </row>
    <row r="22" spans="1:33" ht="15.75" customHeight="1">
      <c r="A22" s="301" t="s">
        <v>174</v>
      </c>
      <c r="B22" s="144" t="s">
        <v>166</v>
      </c>
      <c r="C22" s="305" t="s">
        <v>223</v>
      </c>
      <c r="D22" s="306"/>
      <c r="E22" s="145">
        <v>29.87</v>
      </c>
      <c r="F22" s="157">
        <v>2974</v>
      </c>
      <c r="G22" s="146">
        <f t="shared" ref="G22:G26" si="11">E22*F22</f>
        <v>88833.38</v>
      </c>
      <c r="H22" s="147"/>
      <c r="I22" s="151">
        <v>21</v>
      </c>
      <c r="J22" s="149">
        <v>2790</v>
      </c>
      <c r="K22" s="150">
        <f>J22/I22</f>
        <v>132.85714285714286</v>
      </c>
      <c r="L22" s="105">
        <v>22</v>
      </c>
      <c r="M22" s="149">
        <f>F22/V22*60</f>
        <v>2626.6346153846152</v>
      </c>
      <c r="N22" s="150">
        <f t="shared" si="5"/>
        <v>119.39248251748251</v>
      </c>
      <c r="O22" s="152">
        <f t="shared" si="6"/>
        <v>1</v>
      </c>
      <c r="P22" s="153">
        <f t="shared" si="7"/>
        <v>-13.464660339660355</v>
      </c>
      <c r="Q22" s="154">
        <f t="shared" si="8"/>
        <v>0.89865309421761019</v>
      </c>
      <c r="R22" s="307">
        <f>Q38</f>
        <v>0.90290846579139994</v>
      </c>
      <c r="S22" s="155">
        <v>0.20833333333333334</v>
      </c>
      <c r="T22" s="156">
        <v>0.25550925925925927</v>
      </c>
      <c r="U22" s="157"/>
      <c r="V22" s="158">
        <v>67.934839111176188</v>
      </c>
      <c r="W22" s="95"/>
      <c r="X22" s="96"/>
      <c r="Y22" s="12"/>
      <c r="Z22" s="196"/>
      <c r="AA22" s="310"/>
      <c r="AB22" s="311"/>
      <c r="AC22" s="12"/>
      <c r="AD22" s="196"/>
      <c r="AE22" s="113">
        <f t="shared" si="9"/>
        <v>-163.36538461538476</v>
      </c>
      <c r="AF22" s="154">
        <f t="shared" si="10"/>
        <v>0.94144609870416318</v>
      </c>
      <c r="AG22" s="379">
        <f>AF38</f>
        <v>0.92061255335593728</v>
      </c>
    </row>
    <row r="23" spans="1:33" ht="15.75" customHeight="1">
      <c r="A23" s="302"/>
      <c r="B23" s="161" t="s">
        <v>166</v>
      </c>
      <c r="C23" s="297" t="s">
        <v>221</v>
      </c>
      <c r="D23" s="298"/>
      <c r="E23" s="99">
        <v>24.35</v>
      </c>
      <c r="F23" s="109">
        <v>3236</v>
      </c>
      <c r="G23" s="101">
        <f t="shared" si="11"/>
        <v>78796.600000000006</v>
      </c>
      <c r="H23" s="26"/>
      <c r="I23" s="105">
        <v>21</v>
      </c>
      <c r="J23" s="103">
        <v>2790</v>
      </c>
      <c r="K23" s="104">
        <f t="shared" si="1"/>
        <v>132.85714285714286</v>
      </c>
      <c r="L23" s="105">
        <v>22</v>
      </c>
      <c r="M23" s="103">
        <f>F23/V23*60</f>
        <v>2626.6346153846152</v>
      </c>
      <c r="N23" s="104">
        <f t="shared" si="5"/>
        <v>119.39248251748251</v>
      </c>
      <c r="O23" s="106">
        <f t="shared" si="6"/>
        <v>1</v>
      </c>
      <c r="P23" s="107">
        <f t="shared" si="7"/>
        <v>-13.464660339660355</v>
      </c>
      <c r="Q23" s="108">
        <f t="shared" si="8"/>
        <v>0.89865309421761019</v>
      </c>
      <c r="R23" s="308"/>
      <c r="S23" s="46">
        <v>0.2583333333333333</v>
      </c>
      <c r="T23" s="47">
        <v>0.30966435185185182</v>
      </c>
      <c r="U23" s="109">
        <v>5</v>
      </c>
      <c r="V23" s="110">
        <v>73.919683713438531</v>
      </c>
      <c r="W23" s="111"/>
      <c r="X23" s="114"/>
      <c r="Y23" s="12"/>
      <c r="Z23" s="196"/>
      <c r="AA23" s="299"/>
      <c r="AB23" s="300"/>
      <c r="AC23" s="12"/>
      <c r="AD23" s="196"/>
      <c r="AE23" s="115">
        <f t="shared" si="9"/>
        <v>-163.36538461538476</v>
      </c>
      <c r="AF23" s="108">
        <f t="shared" si="10"/>
        <v>0.94144609870416318</v>
      </c>
      <c r="AG23" s="380"/>
    </row>
    <row r="24" spans="1:33" ht="15.75" customHeight="1">
      <c r="A24" s="302"/>
      <c r="B24" s="161" t="s">
        <v>188</v>
      </c>
      <c r="C24" s="297" t="s">
        <v>204</v>
      </c>
      <c r="D24" s="298"/>
      <c r="E24" s="99">
        <v>36.450000000000003</v>
      </c>
      <c r="F24" s="109">
        <v>2202</v>
      </c>
      <c r="G24" s="101">
        <f t="shared" si="11"/>
        <v>80262.900000000009</v>
      </c>
      <c r="H24" s="26"/>
      <c r="I24" s="105">
        <v>20</v>
      </c>
      <c r="J24" s="103">
        <v>2100</v>
      </c>
      <c r="K24" s="104">
        <f t="shared" si="1"/>
        <v>105</v>
      </c>
      <c r="L24" s="105">
        <v>20</v>
      </c>
      <c r="M24" s="103">
        <f>F24/V24*60</f>
        <v>1891.5983422374998</v>
      </c>
      <c r="N24" s="104">
        <f t="shared" si="5"/>
        <v>94.579917111874991</v>
      </c>
      <c r="O24" s="106">
        <f t="shared" si="6"/>
        <v>0</v>
      </c>
      <c r="P24" s="107">
        <f t="shared" si="7"/>
        <v>-10.420082888125009</v>
      </c>
      <c r="Q24" s="108">
        <f t="shared" si="8"/>
        <v>0.90076111535119041</v>
      </c>
      <c r="R24" s="308"/>
      <c r="S24" s="46">
        <v>0.31319444444444439</v>
      </c>
      <c r="T24" s="47">
        <v>0.36168981481481477</v>
      </c>
      <c r="U24" s="109">
        <v>5.083333333333302</v>
      </c>
      <c r="V24" s="110">
        <v>69.84569453773166</v>
      </c>
      <c r="W24" s="111"/>
      <c r="X24" s="114"/>
      <c r="Y24" s="12"/>
      <c r="Z24" s="196"/>
      <c r="AA24" s="299"/>
      <c r="AB24" s="300"/>
      <c r="AC24" s="12"/>
      <c r="AD24" s="196"/>
      <c r="AE24" s="115">
        <f t="shared" si="9"/>
        <v>-208.40165776250024</v>
      </c>
      <c r="AF24" s="108">
        <f t="shared" si="10"/>
        <v>0.90076111535119041</v>
      </c>
      <c r="AG24" s="380"/>
    </row>
    <row r="25" spans="1:33" ht="15.75" customHeight="1">
      <c r="A25" s="302"/>
      <c r="B25" s="161" t="s">
        <v>171</v>
      </c>
      <c r="C25" s="297" t="s">
        <v>200</v>
      </c>
      <c r="D25" s="298"/>
      <c r="E25" s="99">
        <v>61.09</v>
      </c>
      <c r="F25" s="109">
        <v>3680</v>
      </c>
      <c r="G25" s="101">
        <f t="shared" si="11"/>
        <v>224811.2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>F25/V25*60</f>
        <v>1804.4426614057968</v>
      </c>
      <c r="N25" s="104">
        <f t="shared" si="5"/>
        <v>90.222133070289843</v>
      </c>
      <c r="O25" s="106">
        <f t="shared" si="6"/>
        <v>0</v>
      </c>
      <c r="P25" s="107">
        <f t="shared" si="7"/>
        <v>-9.7778669297101573</v>
      </c>
      <c r="Q25" s="108">
        <f t="shared" si="8"/>
        <v>0.90222133070289845</v>
      </c>
      <c r="R25" s="308"/>
      <c r="S25" s="46">
        <v>0.36458333333333326</v>
      </c>
      <c r="T25" s="47">
        <v>0.44954861111111105</v>
      </c>
      <c r="U25" s="109">
        <v>5</v>
      </c>
      <c r="V25" s="110">
        <v>122.3646529327677</v>
      </c>
      <c r="W25" s="111">
        <v>0.44954861111111105</v>
      </c>
      <c r="X25" s="114">
        <v>0.48749999999999993</v>
      </c>
      <c r="Y25" s="12"/>
      <c r="Z25" s="196"/>
      <c r="AA25" s="299"/>
      <c r="AB25" s="300"/>
      <c r="AC25" s="12"/>
      <c r="AD25" s="196"/>
      <c r="AE25" s="115">
        <f t="shared" si="9"/>
        <v>-195.5573385942032</v>
      </c>
      <c r="AF25" s="108">
        <f t="shared" si="10"/>
        <v>0.90222133070289845</v>
      </c>
      <c r="AG25" s="380"/>
    </row>
    <row r="26" spans="1:33" ht="15.75" customHeight="1">
      <c r="A26" s="303"/>
      <c r="B26" s="161" t="s">
        <v>171</v>
      </c>
      <c r="C26" s="297" t="s">
        <v>177</v>
      </c>
      <c r="D26" s="298"/>
      <c r="E26" s="99">
        <v>53.76</v>
      </c>
      <c r="F26" s="109">
        <v>3585</v>
      </c>
      <c r="G26" s="101">
        <f t="shared" si="11"/>
        <v>192729.60000000001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>F26/V26*60</f>
        <v>1803.4443887848197</v>
      </c>
      <c r="N26" s="104">
        <f t="shared" si="5"/>
        <v>90.17221943924099</v>
      </c>
      <c r="O26" s="106">
        <f t="shared" si="6"/>
        <v>0</v>
      </c>
      <c r="P26" s="107">
        <f t="shared" si="7"/>
        <v>-9.8277805607590096</v>
      </c>
      <c r="Q26" s="108">
        <f t="shared" si="8"/>
        <v>0.90172219439240986</v>
      </c>
      <c r="R26" s="308"/>
      <c r="S26" s="46">
        <v>0.48749999999999993</v>
      </c>
      <c r="T26" s="47">
        <v>0.57032407407407404</v>
      </c>
      <c r="U26" s="109">
        <v>54.649999999999991</v>
      </c>
      <c r="V26" s="110">
        <v>119.27176758964922</v>
      </c>
      <c r="W26" s="111"/>
      <c r="X26" s="114"/>
      <c r="Y26" s="12"/>
      <c r="Z26" s="196"/>
      <c r="AA26" s="299"/>
      <c r="AB26" s="300"/>
      <c r="AC26" s="12"/>
      <c r="AD26" s="196"/>
      <c r="AE26" s="115">
        <f t="shared" si="9"/>
        <v>-196.55561121518031</v>
      </c>
      <c r="AF26" s="108">
        <f t="shared" si="10"/>
        <v>0.90172219439240986</v>
      </c>
      <c r="AG26" s="380"/>
    </row>
    <row r="27" spans="1:33" ht="15.75" customHeight="1">
      <c r="A27" s="303"/>
      <c r="B27" s="161"/>
      <c r="C27" s="297"/>
      <c r="D27" s="298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08"/>
      <c r="S27" s="46"/>
      <c r="T27" s="118"/>
      <c r="U27" s="109"/>
      <c r="V27" s="110"/>
      <c r="W27" s="111"/>
      <c r="X27" s="114"/>
      <c r="Y27" s="12"/>
      <c r="Z27" s="196"/>
      <c r="AA27" s="299"/>
      <c r="AB27" s="300"/>
      <c r="AC27" s="12"/>
      <c r="AD27" s="196"/>
      <c r="AE27" s="115"/>
      <c r="AF27" s="108"/>
      <c r="AG27" s="380"/>
    </row>
    <row r="28" spans="1:33" ht="15.75" customHeight="1">
      <c r="A28" s="303"/>
      <c r="B28" s="161"/>
      <c r="C28" s="297"/>
      <c r="D28" s="298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8"/>
      <c r="S28" s="46"/>
      <c r="T28" s="118"/>
      <c r="U28" s="109"/>
      <c r="V28" s="110"/>
      <c r="W28" s="111"/>
      <c r="X28" s="114"/>
      <c r="Y28" s="12"/>
      <c r="Z28" s="196"/>
      <c r="AA28" s="299"/>
      <c r="AB28" s="300"/>
      <c r="AC28" s="12"/>
      <c r="AD28" s="196"/>
      <c r="AE28" s="115"/>
      <c r="AF28" s="108"/>
      <c r="AG28" s="380"/>
    </row>
    <row r="29" spans="1:33" ht="15.75" customHeight="1">
      <c r="A29" s="303"/>
      <c r="B29" s="161"/>
      <c r="C29" s="297"/>
      <c r="D29" s="298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8"/>
      <c r="S29" s="46"/>
      <c r="T29" s="118"/>
      <c r="U29" s="109"/>
      <c r="V29" s="110"/>
      <c r="W29" s="111"/>
      <c r="X29" s="114"/>
      <c r="Y29" s="12"/>
      <c r="Z29" s="196"/>
      <c r="AA29" s="299"/>
      <c r="AB29" s="300"/>
      <c r="AC29" s="12"/>
      <c r="AD29" s="196"/>
      <c r="AE29" s="115"/>
      <c r="AF29" s="108"/>
      <c r="AG29" s="380"/>
    </row>
    <row r="30" spans="1:33" ht="15.75" customHeight="1">
      <c r="A30" s="303"/>
      <c r="B30" s="161"/>
      <c r="C30" s="297"/>
      <c r="D30" s="298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8"/>
      <c r="S30" s="46"/>
      <c r="T30" s="118"/>
      <c r="U30" s="109"/>
      <c r="V30" s="110"/>
      <c r="W30" s="111"/>
      <c r="X30" s="114"/>
      <c r="Y30" s="12"/>
      <c r="Z30" s="196"/>
      <c r="AA30" s="299"/>
      <c r="AB30" s="300"/>
      <c r="AC30" s="12"/>
      <c r="AD30" s="196"/>
      <c r="AE30" s="115"/>
      <c r="AF30" s="108"/>
      <c r="AG30" s="380"/>
    </row>
    <row r="31" spans="1:33" ht="15.75" customHeight="1">
      <c r="A31" s="303"/>
      <c r="B31" s="161"/>
      <c r="C31" s="297"/>
      <c r="D31" s="298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8"/>
      <c r="S31" s="46"/>
      <c r="T31" s="118"/>
      <c r="U31" s="109"/>
      <c r="V31" s="110"/>
      <c r="W31" s="111"/>
      <c r="X31" s="114"/>
      <c r="Y31" s="12"/>
      <c r="Z31" s="196"/>
      <c r="AA31" s="299"/>
      <c r="AB31" s="300"/>
      <c r="AC31" s="12"/>
      <c r="AD31" s="196"/>
      <c r="AE31" s="115"/>
      <c r="AF31" s="108"/>
      <c r="AG31" s="380"/>
    </row>
    <row r="32" spans="1:33" ht="15.75" customHeight="1">
      <c r="A32" s="303"/>
      <c r="B32" s="161"/>
      <c r="C32" s="297"/>
      <c r="D32" s="298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8"/>
      <c r="S32" s="46"/>
      <c r="T32" s="118"/>
      <c r="U32" s="109"/>
      <c r="V32" s="110"/>
      <c r="W32" s="111"/>
      <c r="X32" s="114"/>
      <c r="Y32" s="12"/>
      <c r="Z32" s="196"/>
      <c r="AA32" s="299"/>
      <c r="AB32" s="300"/>
      <c r="AC32" s="12"/>
      <c r="AD32" s="196"/>
      <c r="AE32" s="115"/>
      <c r="AF32" s="108"/>
      <c r="AG32" s="380"/>
    </row>
    <row r="33" spans="1:33" ht="15.75" customHeight="1">
      <c r="A33" s="303"/>
      <c r="B33" s="161"/>
      <c r="C33" s="297"/>
      <c r="D33" s="298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8"/>
      <c r="S33" s="46"/>
      <c r="T33" s="118"/>
      <c r="U33" s="109"/>
      <c r="V33" s="110"/>
      <c r="W33" s="111"/>
      <c r="X33" s="114"/>
      <c r="Y33" s="12"/>
      <c r="Z33" s="196"/>
      <c r="AA33" s="299"/>
      <c r="AB33" s="300"/>
      <c r="AC33" s="12"/>
      <c r="AD33" s="196"/>
      <c r="AE33" s="115"/>
      <c r="AF33" s="108"/>
      <c r="AG33" s="380"/>
    </row>
    <row r="34" spans="1:33" ht="15.75" customHeight="1">
      <c r="A34" s="303"/>
      <c r="B34" s="161"/>
      <c r="C34" s="297"/>
      <c r="D34" s="298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8"/>
      <c r="S34" s="46"/>
      <c r="T34" s="118"/>
      <c r="U34" s="109"/>
      <c r="V34" s="110"/>
      <c r="W34" s="111"/>
      <c r="X34" s="114"/>
      <c r="Y34" s="12"/>
      <c r="Z34" s="196"/>
      <c r="AA34" s="299"/>
      <c r="AB34" s="300"/>
      <c r="AC34" s="12"/>
      <c r="AD34" s="196"/>
      <c r="AE34" s="115"/>
      <c r="AF34" s="108"/>
      <c r="AG34" s="380"/>
    </row>
    <row r="35" spans="1:33" ht="15.75" customHeight="1">
      <c r="A35" s="303"/>
      <c r="B35" s="161"/>
      <c r="C35" s="297"/>
      <c r="D35" s="298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8"/>
      <c r="S35" s="46"/>
      <c r="T35" s="118"/>
      <c r="U35" s="109"/>
      <c r="V35" s="110"/>
      <c r="W35" s="181"/>
      <c r="X35" s="182"/>
      <c r="Y35" s="12"/>
      <c r="Z35" s="196"/>
      <c r="AA35" s="299"/>
      <c r="AB35" s="300"/>
      <c r="AC35" s="12"/>
      <c r="AD35" s="196"/>
      <c r="AE35" s="115"/>
      <c r="AF35" s="108"/>
      <c r="AG35" s="380"/>
    </row>
    <row r="36" spans="1:33" ht="15.75" customHeight="1">
      <c r="A36" s="303"/>
      <c r="B36" s="161"/>
      <c r="C36" s="297"/>
      <c r="D36" s="298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8"/>
      <c r="S36" s="46"/>
      <c r="T36" s="118"/>
      <c r="U36" s="109"/>
      <c r="V36" s="110"/>
      <c r="W36" s="183"/>
      <c r="X36" s="184"/>
      <c r="Y36" s="12"/>
      <c r="Z36" s="196"/>
      <c r="AA36" s="299"/>
      <c r="AB36" s="300"/>
      <c r="AC36" s="12"/>
      <c r="AD36" s="196"/>
      <c r="AE36" s="115"/>
      <c r="AF36" s="108"/>
      <c r="AG36" s="380"/>
    </row>
    <row r="37" spans="1:33" ht="15.75" customHeight="1">
      <c r="A37" s="303"/>
      <c r="B37" s="98"/>
      <c r="C37" s="297"/>
      <c r="D37" s="298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8"/>
      <c r="S37" s="46"/>
      <c r="T37" s="118"/>
      <c r="U37" s="128"/>
      <c r="V37" s="110"/>
      <c r="W37" s="183"/>
      <c r="X37" s="184"/>
      <c r="Y37" s="12"/>
      <c r="Z37" s="196"/>
      <c r="AA37" s="299"/>
      <c r="AB37" s="300"/>
      <c r="AC37" s="12"/>
      <c r="AD37" s="196"/>
      <c r="AE37" s="115"/>
      <c r="AF37" s="108"/>
      <c r="AG37" s="380"/>
    </row>
    <row r="38" spans="1:33" ht="15.75" customHeight="1" thickBot="1">
      <c r="A38" s="304"/>
      <c r="B38" s="131" t="s">
        <v>115</v>
      </c>
      <c r="C38" s="294"/>
      <c r="D38" s="294"/>
      <c r="E38" s="132"/>
      <c r="F38" s="165"/>
      <c r="G38" s="133"/>
      <c r="H38" s="67"/>
      <c r="I38" s="134">
        <f t="shared" ref="I38:J38" si="12">AVERAGE(I22:I37)</f>
        <v>20.399999999999999</v>
      </c>
      <c r="J38" s="135">
        <f t="shared" si="12"/>
        <v>2336</v>
      </c>
      <c r="K38" s="136">
        <f t="shared" ref="K38" si="13">J38/I38</f>
        <v>114.50980392156863</v>
      </c>
      <c r="L38" s="134">
        <f t="shared" ref="L38:M38" si="14">AVERAGE(L22:L37)</f>
        <v>20.8</v>
      </c>
      <c r="M38" s="135">
        <f t="shared" si="14"/>
        <v>2150.5509246394695</v>
      </c>
      <c r="N38" s="136">
        <f t="shared" ref="N38:N43" si="15">M38/L38</f>
        <v>103.39187137689757</v>
      </c>
      <c r="O38" s="137">
        <f t="shared" ref="O38:O43" si="16">L38-I38</f>
        <v>0.40000000000000213</v>
      </c>
      <c r="P38" s="138">
        <f t="shared" ref="P38:P43" si="17">N38-K38</f>
        <v>-11.117932544671064</v>
      </c>
      <c r="Q38" s="139">
        <f t="shared" ref="Q38:Q43" si="18">N38/K38</f>
        <v>0.90290846579139994</v>
      </c>
      <c r="R38" s="309"/>
      <c r="S38" s="140">
        <v>0.20833333333333334</v>
      </c>
      <c r="T38" s="141">
        <v>0.57032407407407404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5"/>
      <c r="AB38" s="296"/>
      <c r="AC38" s="177">
        <f>SUM(AC22:AC37)</f>
        <v>0</v>
      </c>
      <c r="AD38" s="178">
        <f>SUM(AD22:AD37)</f>
        <v>0</v>
      </c>
      <c r="AE38" s="166">
        <f t="shared" ref="AE38:AE43" si="19">M38-J38</f>
        <v>-185.44907536053051</v>
      </c>
      <c r="AF38" s="139">
        <f t="shared" ref="AF38:AF43" si="20">M38/J38</f>
        <v>0.92061255335593728</v>
      </c>
      <c r="AG38" s="381"/>
    </row>
    <row r="39" spans="1:33" ht="15.75" customHeight="1">
      <c r="A39" s="315" t="s">
        <v>175</v>
      </c>
      <c r="B39" s="144" t="s">
        <v>171</v>
      </c>
      <c r="C39" s="305" t="s">
        <v>178</v>
      </c>
      <c r="D39" s="306"/>
      <c r="E39" s="145">
        <v>71.55</v>
      </c>
      <c r="F39" s="95">
        <v>2894</v>
      </c>
      <c r="G39" s="146">
        <f t="shared" ref="G39:G43" si="21">E39*F39</f>
        <v>207065.69999999998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>F39/V39*60</f>
        <v>1807.2185926713994</v>
      </c>
      <c r="N39" s="150">
        <f t="shared" si="15"/>
        <v>82.146299666881788</v>
      </c>
      <c r="O39" s="152">
        <f t="shared" si="16"/>
        <v>0</v>
      </c>
      <c r="P39" s="153">
        <f t="shared" si="17"/>
        <v>-8.7627912422091185</v>
      </c>
      <c r="Q39" s="154">
        <f t="shared" si="18"/>
        <v>0.90360929633569964</v>
      </c>
      <c r="R39" s="307">
        <f>Q55</f>
        <v>0.9029975975653961</v>
      </c>
      <c r="S39" s="155">
        <v>0.20833333333333334</v>
      </c>
      <c r="T39" s="156">
        <v>0.27504629629629629</v>
      </c>
      <c r="U39" s="157"/>
      <c r="V39" s="158">
        <v>96.081348821964227</v>
      </c>
      <c r="W39" s="156"/>
      <c r="X39" s="167"/>
      <c r="Y39" s="12"/>
      <c r="Z39" s="196"/>
      <c r="AA39" s="310"/>
      <c r="AB39" s="311"/>
      <c r="AC39" s="12"/>
      <c r="AD39" s="196"/>
      <c r="AE39" s="113">
        <f t="shared" si="19"/>
        <v>-192.78140732860061</v>
      </c>
      <c r="AF39" s="154">
        <f t="shared" si="20"/>
        <v>0.90360929633569964</v>
      </c>
      <c r="AG39" s="312">
        <f>AF55</f>
        <v>0.9029975975653961</v>
      </c>
    </row>
    <row r="40" spans="1:33" ht="15.75" customHeight="1">
      <c r="A40" s="316"/>
      <c r="B40" s="161" t="s">
        <v>171</v>
      </c>
      <c r="C40" s="297" t="s">
        <v>176</v>
      </c>
      <c r="D40" s="298"/>
      <c r="E40" s="99">
        <v>59.54</v>
      </c>
      <c r="F40" s="100">
        <v>3182</v>
      </c>
      <c r="G40" s="101">
        <f t="shared" si="21"/>
        <v>189456.28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>F40/V40*60</f>
        <v>1807.0273887531584</v>
      </c>
      <c r="N40" s="104">
        <f t="shared" si="15"/>
        <v>78.566408206659062</v>
      </c>
      <c r="O40" s="106">
        <f t="shared" si="16"/>
        <v>0</v>
      </c>
      <c r="P40" s="107">
        <f t="shared" si="17"/>
        <v>-8.3901135324713749</v>
      </c>
      <c r="Q40" s="108">
        <f t="shared" si="18"/>
        <v>0.90351369437657925</v>
      </c>
      <c r="R40" s="308"/>
      <c r="S40" s="46">
        <v>0.27847222222222223</v>
      </c>
      <c r="T40" s="47">
        <v>0.35184027777777782</v>
      </c>
      <c r="U40" s="109">
        <v>4.9333333333333584</v>
      </c>
      <c r="V40" s="110">
        <v>105.65418166225695</v>
      </c>
      <c r="W40" s="111"/>
      <c r="X40" s="114"/>
      <c r="Y40" s="12"/>
      <c r="Z40" s="196"/>
      <c r="AA40" s="299"/>
      <c r="AB40" s="300"/>
      <c r="AC40" s="12"/>
      <c r="AD40" s="196"/>
      <c r="AE40" s="115">
        <f t="shared" si="19"/>
        <v>-192.97261124684155</v>
      </c>
      <c r="AF40" s="108">
        <f t="shared" si="20"/>
        <v>0.90351369437657925</v>
      </c>
      <c r="AG40" s="313"/>
    </row>
    <row r="41" spans="1:33" ht="15.75" customHeight="1">
      <c r="A41" s="316"/>
      <c r="B41" s="161" t="s">
        <v>171</v>
      </c>
      <c r="C41" s="297" t="s">
        <v>172</v>
      </c>
      <c r="D41" s="298"/>
      <c r="E41" s="99">
        <v>58.67</v>
      </c>
      <c r="F41" s="100">
        <v>4162</v>
      </c>
      <c r="G41" s="101">
        <f t="shared" si="21"/>
        <v>244184.54</v>
      </c>
      <c r="H41" s="26"/>
      <c r="I41" s="102">
        <v>23</v>
      </c>
      <c r="J41" s="103">
        <v>2000</v>
      </c>
      <c r="K41" s="104">
        <f t="shared" si="1"/>
        <v>86.956521739130437</v>
      </c>
      <c r="L41" s="105">
        <v>23</v>
      </c>
      <c r="M41" s="103">
        <f>F41/V41*60</f>
        <v>1802.9093623021286</v>
      </c>
      <c r="N41" s="104">
        <f t="shared" si="15"/>
        <v>78.387363578353416</v>
      </c>
      <c r="O41" s="106">
        <f t="shared" si="16"/>
        <v>0</v>
      </c>
      <c r="P41" s="107">
        <f t="shared" si="17"/>
        <v>-8.5691581607770217</v>
      </c>
      <c r="Q41" s="108">
        <f t="shared" si="18"/>
        <v>0.90145468115106431</v>
      </c>
      <c r="R41" s="308"/>
      <c r="S41" s="46">
        <v>0.35486111111111113</v>
      </c>
      <c r="T41" s="47">
        <v>0.45104166666666667</v>
      </c>
      <c r="U41" s="109">
        <v>5</v>
      </c>
      <c r="V41" s="110">
        <v>138.5094587789668</v>
      </c>
      <c r="W41" s="111"/>
      <c r="X41" s="114"/>
      <c r="Y41" s="12"/>
      <c r="Z41" s="196"/>
      <c r="AA41" s="299"/>
      <c r="AB41" s="300"/>
      <c r="AC41" s="12"/>
      <c r="AD41" s="196"/>
      <c r="AE41" s="115">
        <f t="shared" si="19"/>
        <v>-197.09063769787144</v>
      </c>
      <c r="AF41" s="108">
        <f t="shared" si="20"/>
        <v>0.90145468115106431</v>
      </c>
      <c r="AG41" s="313"/>
    </row>
    <row r="42" spans="1:33" ht="15.75" customHeight="1">
      <c r="A42" s="316"/>
      <c r="B42" s="161" t="s">
        <v>171</v>
      </c>
      <c r="C42" s="297" t="s">
        <v>211</v>
      </c>
      <c r="D42" s="298"/>
      <c r="E42" s="99">
        <v>69.260000000000005</v>
      </c>
      <c r="F42" s="100">
        <v>709</v>
      </c>
      <c r="G42" s="101">
        <f t="shared" si="21"/>
        <v>49105.340000000004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>F42/V42*60</f>
        <v>1802.9151935597883</v>
      </c>
      <c r="N42" s="104">
        <f t="shared" si="15"/>
        <v>75.121466398324515</v>
      </c>
      <c r="O42" s="106">
        <f t="shared" si="16"/>
        <v>0</v>
      </c>
      <c r="P42" s="107">
        <f t="shared" si="17"/>
        <v>-8.211866935008814</v>
      </c>
      <c r="Q42" s="108">
        <f t="shared" si="18"/>
        <v>0.90145759677989423</v>
      </c>
      <c r="R42" s="308"/>
      <c r="S42" s="46">
        <v>0.45416666666666666</v>
      </c>
      <c r="T42" s="47">
        <v>0.47054398148148147</v>
      </c>
      <c r="U42" s="109">
        <v>5</v>
      </c>
      <c r="V42" s="110">
        <v>23.595119810381302</v>
      </c>
      <c r="W42" s="111">
        <v>0.47054398148148147</v>
      </c>
      <c r="X42" s="114">
        <v>0.50902777777777775</v>
      </c>
      <c r="Y42" s="12"/>
      <c r="Z42" s="196"/>
      <c r="AA42" s="299"/>
      <c r="AB42" s="300"/>
      <c r="AC42" s="12"/>
      <c r="AD42" s="196"/>
      <c r="AE42" s="115">
        <f t="shared" si="19"/>
        <v>-197.08480644021165</v>
      </c>
      <c r="AF42" s="108">
        <f t="shared" si="20"/>
        <v>0.90145759677989412</v>
      </c>
      <c r="AG42" s="313"/>
    </row>
    <row r="43" spans="1:33" ht="15.75" customHeight="1">
      <c r="A43" s="316"/>
      <c r="B43" s="161" t="s">
        <v>171</v>
      </c>
      <c r="C43" s="297" t="s">
        <v>206</v>
      </c>
      <c r="D43" s="298"/>
      <c r="E43" s="99">
        <v>63.92</v>
      </c>
      <c r="F43" s="100">
        <v>1515</v>
      </c>
      <c r="G43" s="101">
        <f t="shared" si="21"/>
        <v>96838.8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>F43/V43*60</f>
        <v>1809.9054383674852</v>
      </c>
      <c r="N43" s="104">
        <f t="shared" si="15"/>
        <v>75.412726598645222</v>
      </c>
      <c r="O43" s="106">
        <f t="shared" si="16"/>
        <v>0</v>
      </c>
      <c r="P43" s="107">
        <f t="shared" si="17"/>
        <v>-7.9206067346881071</v>
      </c>
      <c r="Q43" s="108">
        <f t="shared" si="18"/>
        <v>0.90495271918374276</v>
      </c>
      <c r="R43" s="308"/>
      <c r="S43" s="46">
        <v>0.50902777777777775</v>
      </c>
      <c r="T43" s="47">
        <v>0.54390046296296291</v>
      </c>
      <c r="U43" s="109">
        <v>55.416666666666643</v>
      </c>
      <c r="V43" s="110">
        <v>50.223618357647901</v>
      </c>
      <c r="W43" s="111"/>
      <c r="X43" s="114"/>
      <c r="Y43" s="12"/>
      <c r="Z43" s="196"/>
      <c r="AA43" s="299"/>
      <c r="AB43" s="300"/>
      <c r="AC43" s="12"/>
      <c r="AD43" s="196"/>
      <c r="AE43" s="115">
        <f t="shared" si="19"/>
        <v>-190.0945616325148</v>
      </c>
      <c r="AF43" s="108">
        <f t="shared" si="20"/>
        <v>0.90495271918374265</v>
      </c>
      <c r="AG43" s="313"/>
    </row>
    <row r="44" spans="1:33" ht="15.75" customHeight="1">
      <c r="A44" s="316"/>
      <c r="B44" s="161"/>
      <c r="C44" s="297"/>
      <c r="D44" s="298"/>
      <c r="E44" s="99"/>
      <c r="F44" s="100"/>
      <c r="G44" s="119"/>
      <c r="H44" s="120"/>
      <c r="I44" s="102"/>
      <c r="J44" s="103"/>
      <c r="K44" s="104"/>
      <c r="L44" s="105"/>
      <c r="M44" s="103"/>
      <c r="N44" s="104"/>
      <c r="O44" s="106"/>
      <c r="P44" s="107"/>
      <c r="Q44" s="108"/>
      <c r="R44" s="308"/>
      <c r="S44" s="46"/>
      <c r="T44" s="118"/>
      <c r="U44" s="109"/>
      <c r="V44" s="110"/>
      <c r="W44" s="111"/>
      <c r="X44" s="114"/>
      <c r="Y44" s="12"/>
      <c r="Z44" s="196"/>
      <c r="AA44" s="299"/>
      <c r="AB44" s="300"/>
      <c r="AC44" s="12"/>
      <c r="AD44" s="196"/>
      <c r="AE44" s="115"/>
      <c r="AF44" s="108"/>
      <c r="AG44" s="313"/>
    </row>
    <row r="45" spans="1:33" ht="15.75" customHeight="1">
      <c r="A45" s="316"/>
      <c r="B45" s="161"/>
      <c r="C45" s="297"/>
      <c r="D45" s="298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8"/>
      <c r="S45" s="117"/>
      <c r="T45" s="118"/>
      <c r="U45" s="109"/>
      <c r="V45" s="110"/>
      <c r="W45" s="118"/>
      <c r="X45" s="187"/>
      <c r="Y45" s="12"/>
      <c r="Z45" s="196"/>
      <c r="AA45" s="299"/>
      <c r="AB45" s="300"/>
      <c r="AC45" s="12"/>
      <c r="AD45" s="196"/>
      <c r="AE45" s="115"/>
      <c r="AF45" s="108"/>
      <c r="AG45" s="313"/>
    </row>
    <row r="46" spans="1:33" ht="15.75" customHeight="1">
      <c r="A46" s="316"/>
      <c r="B46" s="161"/>
      <c r="C46" s="297"/>
      <c r="D46" s="298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8"/>
      <c r="S46" s="117"/>
      <c r="T46" s="118"/>
      <c r="U46" s="109"/>
      <c r="V46" s="110"/>
      <c r="W46" s="118"/>
      <c r="X46" s="187"/>
      <c r="Y46" s="12"/>
      <c r="Z46" s="196"/>
      <c r="AA46" s="299"/>
      <c r="AB46" s="300"/>
      <c r="AC46" s="12"/>
      <c r="AD46" s="196"/>
      <c r="AE46" s="115"/>
      <c r="AF46" s="108"/>
      <c r="AG46" s="313"/>
    </row>
    <row r="47" spans="1:33" ht="15.75" customHeight="1">
      <c r="A47" s="316"/>
      <c r="B47" s="161"/>
      <c r="C47" s="297"/>
      <c r="D47" s="298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8"/>
      <c r="S47" s="117"/>
      <c r="T47" s="118"/>
      <c r="U47" s="109"/>
      <c r="V47" s="110"/>
      <c r="W47" s="118"/>
      <c r="X47" s="187"/>
      <c r="Y47" s="12"/>
      <c r="Z47" s="196"/>
      <c r="AA47" s="299"/>
      <c r="AB47" s="300"/>
      <c r="AC47" s="12"/>
      <c r="AD47" s="196"/>
      <c r="AE47" s="115"/>
      <c r="AF47" s="108"/>
      <c r="AG47" s="313"/>
    </row>
    <row r="48" spans="1:33" ht="15.75" customHeight="1">
      <c r="A48" s="316"/>
      <c r="B48" s="161"/>
      <c r="C48" s="297"/>
      <c r="D48" s="298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8"/>
      <c r="S48" s="117"/>
      <c r="T48" s="118"/>
      <c r="U48" s="109"/>
      <c r="V48" s="110"/>
      <c r="W48" s="118"/>
      <c r="X48" s="187"/>
      <c r="Y48" s="12"/>
      <c r="Z48" s="196"/>
      <c r="AA48" s="299"/>
      <c r="AB48" s="300"/>
      <c r="AC48" s="12"/>
      <c r="AD48" s="196"/>
      <c r="AE48" s="115"/>
      <c r="AF48" s="108"/>
      <c r="AG48" s="313"/>
    </row>
    <row r="49" spans="1:33" ht="15.75" customHeight="1">
      <c r="A49" s="316"/>
      <c r="B49" s="161"/>
      <c r="C49" s="297"/>
      <c r="D49" s="298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8"/>
      <c r="S49" s="117"/>
      <c r="T49" s="118"/>
      <c r="U49" s="109"/>
      <c r="V49" s="110"/>
      <c r="W49" s="118"/>
      <c r="X49" s="187"/>
      <c r="Y49" s="12"/>
      <c r="Z49" s="196"/>
      <c r="AA49" s="299"/>
      <c r="AB49" s="300"/>
      <c r="AC49" s="12"/>
      <c r="AD49" s="196"/>
      <c r="AE49" s="115"/>
      <c r="AF49" s="108"/>
      <c r="AG49" s="313"/>
    </row>
    <row r="50" spans="1:33" ht="15.75" customHeight="1">
      <c r="A50" s="316"/>
      <c r="B50" s="161"/>
      <c r="C50" s="297"/>
      <c r="D50" s="298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8"/>
      <c r="S50" s="117"/>
      <c r="T50" s="118"/>
      <c r="U50" s="109"/>
      <c r="V50" s="110"/>
      <c r="W50" s="118"/>
      <c r="X50" s="187"/>
      <c r="Y50" s="12"/>
      <c r="Z50" s="196"/>
      <c r="AA50" s="299"/>
      <c r="AB50" s="300"/>
      <c r="AC50" s="12"/>
      <c r="AD50" s="196"/>
      <c r="AE50" s="115"/>
      <c r="AF50" s="108"/>
      <c r="AG50" s="313"/>
    </row>
    <row r="51" spans="1:33" ht="15.75" customHeight="1">
      <c r="A51" s="316"/>
      <c r="B51" s="161"/>
      <c r="C51" s="297"/>
      <c r="D51" s="298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8"/>
      <c r="S51" s="117"/>
      <c r="T51" s="118"/>
      <c r="U51" s="109"/>
      <c r="V51" s="110"/>
      <c r="W51" s="118"/>
      <c r="X51" s="187"/>
      <c r="Y51" s="12"/>
      <c r="Z51" s="196"/>
      <c r="AA51" s="299"/>
      <c r="AB51" s="300"/>
      <c r="AC51" s="12"/>
      <c r="AD51" s="196"/>
      <c r="AE51" s="115"/>
      <c r="AF51" s="108"/>
      <c r="AG51" s="313"/>
    </row>
    <row r="52" spans="1:33" ht="15.75" customHeight="1">
      <c r="A52" s="316"/>
      <c r="B52" s="161"/>
      <c r="C52" s="297"/>
      <c r="D52" s="298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8"/>
      <c r="S52" s="117"/>
      <c r="T52" s="118"/>
      <c r="U52" s="109"/>
      <c r="V52" s="110"/>
      <c r="W52" s="118"/>
      <c r="X52" s="187"/>
      <c r="Y52" s="12"/>
      <c r="Z52" s="196"/>
      <c r="AA52" s="299"/>
      <c r="AB52" s="300"/>
      <c r="AC52" s="12"/>
      <c r="AD52" s="196"/>
      <c r="AE52" s="115"/>
      <c r="AF52" s="108"/>
      <c r="AG52" s="313"/>
    </row>
    <row r="53" spans="1:33" ht="15.75" customHeight="1">
      <c r="A53" s="316"/>
      <c r="B53" s="161"/>
      <c r="C53" s="297"/>
      <c r="D53" s="298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8"/>
      <c r="S53" s="117"/>
      <c r="T53" s="118"/>
      <c r="U53" s="109"/>
      <c r="V53" s="110"/>
      <c r="W53" s="118"/>
      <c r="X53" s="187"/>
      <c r="Y53" s="12"/>
      <c r="Z53" s="196"/>
      <c r="AA53" s="299"/>
      <c r="AB53" s="300"/>
      <c r="AC53" s="12"/>
      <c r="AD53" s="196"/>
      <c r="AE53" s="115"/>
      <c r="AF53" s="108"/>
      <c r="AG53" s="313"/>
    </row>
    <row r="54" spans="1:33" ht="15.75" customHeight="1">
      <c r="A54" s="316"/>
      <c r="B54" s="161"/>
      <c r="C54" s="297"/>
      <c r="D54" s="298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8"/>
      <c r="S54" s="117"/>
      <c r="T54" s="118"/>
      <c r="U54" s="128"/>
      <c r="V54" s="129"/>
      <c r="W54" s="124"/>
      <c r="X54" s="125"/>
      <c r="Y54" s="12"/>
      <c r="Z54" s="196"/>
      <c r="AA54" s="299"/>
      <c r="AB54" s="300"/>
      <c r="AC54" s="12"/>
      <c r="AD54" s="196"/>
      <c r="AE54" s="163"/>
      <c r="AF54" s="123"/>
      <c r="AG54" s="313"/>
    </row>
    <row r="55" spans="1:33" ht="15.75" customHeight="1" thickBot="1">
      <c r="A55" s="317"/>
      <c r="B55" s="131" t="s">
        <v>115</v>
      </c>
      <c r="C55" s="294"/>
      <c r="D55" s="294"/>
      <c r="E55" s="132"/>
      <c r="F55" s="165"/>
      <c r="G55" s="133"/>
      <c r="H55" s="67"/>
      <c r="I55" s="134">
        <f t="shared" ref="I55:J55" si="22">AVERAGE(I39:I54)</f>
        <v>23.2</v>
      </c>
      <c r="J55" s="135">
        <f t="shared" si="22"/>
        <v>2000</v>
      </c>
      <c r="K55" s="136">
        <f t="shared" ref="K55" si="23">J55/I55</f>
        <v>86.206896551724142</v>
      </c>
      <c r="L55" s="134">
        <f t="shared" ref="L55:M55" si="24">AVERAGE(L39:L54)</f>
        <v>23.2</v>
      </c>
      <c r="M55" s="135">
        <f t="shared" si="24"/>
        <v>1805.9951951307921</v>
      </c>
      <c r="N55" s="136">
        <f t="shared" ref="N55:N60" si="25">M55/L55</f>
        <v>77.844620479775529</v>
      </c>
      <c r="O55" s="137">
        <f t="shared" ref="O55:O60" si="26">L55-I55</f>
        <v>0</v>
      </c>
      <c r="P55" s="138">
        <f t="shared" ref="P55:P60" si="27">N55-K55</f>
        <v>-8.3622760719486138</v>
      </c>
      <c r="Q55" s="139">
        <f t="shared" ref="Q55:Q60" si="28">N55/K55</f>
        <v>0.9029975975653961</v>
      </c>
      <c r="R55" s="309"/>
      <c r="S55" s="140">
        <v>0.20833333333333334</v>
      </c>
      <c r="T55" s="141">
        <v>0.54390046296296291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5"/>
      <c r="AB55" s="296"/>
      <c r="AC55" s="177">
        <f>SUM(AC39:AC54)</f>
        <v>0</v>
      </c>
      <c r="AD55" s="189">
        <f>SUM(AD39:AD54)</f>
        <v>0</v>
      </c>
      <c r="AE55" s="166">
        <f t="shared" ref="AE55:AE60" si="29">M55-J55</f>
        <v>-194.00480486920787</v>
      </c>
      <c r="AF55" s="139">
        <f t="shared" ref="AF55:AF60" si="30">M55/J55</f>
        <v>0.9029975975653961</v>
      </c>
      <c r="AG55" s="314"/>
    </row>
    <row r="56" spans="1:33" ht="15.75" customHeight="1">
      <c r="A56" s="301" t="s">
        <v>187</v>
      </c>
      <c r="B56" s="112" t="s">
        <v>194</v>
      </c>
      <c r="C56" s="385" t="s">
        <v>195</v>
      </c>
      <c r="D56" s="385"/>
      <c r="E56" s="145">
        <v>28.86</v>
      </c>
      <c r="F56" s="95">
        <v>1369</v>
      </c>
      <c r="G56" s="146">
        <f t="shared" ref="G56:G60" si="31">E56*F56</f>
        <v>39509.339999999997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>F56/V56*60</f>
        <v>3193.9077202368771</v>
      </c>
      <c r="N56" s="150">
        <f t="shared" si="25"/>
        <v>177.43931779093762</v>
      </c>
      <c r="O56" s="152">
        <f t="shared" si="26"/>
        <v>0</v>
      </c>
      <c r="P56" s="153">
        <f t="shared" si="27"/>
        <v>-22.560682209062378</v>
      </c>
      <c r="Q56" s="154">
        <f t="shared" si="28"/>
        <v>0.88719658895468811</v>
      </c>
      <c r="R56" s="307">
        <f>Q72</f>
        <v>0.89643130009266325</v>
      </c>
      <c r="S56" s="155">
        <v>0.25</v>
      </c>
      <c r="T56" s="156">
        <v>0.26785879629629628</v>
      </c>
      <c r="U56" s="157"/>
      <c r="V56" s="158">
        <v>25.7177123432696</v>
      </c>
      <c r="W56" s="156"/>
      <c r="X56" s="167"/>
      <c r="Y56" s="12"/>
      <c r="Z56" s="196"/>
      <c r="AA56" s="310"/>
      <c r="AB56" s="311"/>
      <c r="AC56" s="12"/>
      <c r="AD56" s="196"/>
      <c r="AE56" s="113">
        <f t="shared" si="29"/>
        <v>-406.09227976312286</v>
      </c>
      <c r="AF56" s="154">
        <f t="shared" si="30"/>
        <v>0.88719658895468811</v>
      </c>
      <c r="AG56" s="312">
        <f>AF72</f>
        <v>0.89643130009266325</v>
      </c>
    </row>
    <row r="57" spans="1:33" ht="15.75" customHeight="1">
      <c r="A57" s="302"/>
      <c r="B57" s="98" t="s">
        <v>194</v>
      </c>
      <c r="C57" s="382" t="s">
        <v>210</v>
      </c>
      <c r="D57" s="382"/>
      <c r="E57" s="99">
        <v>36.729999999999997</v>
      </c>
      <c r="F57" s="100">
        <v>739</v>
      </c>
      <c r="G57" s="101">
        <f t="shared" si="31"/>
        <v>27143.469999999998</v>
      </c>
      <c r="H57" s="26"/>
      <c r="I57" s="102">
        <v>21</v>
      </c>
      <c r="J57" s="103">
        <v>3600</v>
      </c>
      <c r="K57" s="104">
        <f t="shared" ref="K57:K91" si="32">J57/I57</f>
        <v>171.42857142857142</v>
      </c>
      <c r="L57" s="105">
        <v>21</v>
      </c>
      <c r="M57" s="103">
        <f>F57/V57*60</f>
        <v>3192.3656053458135</v>
      </c>
      <c r="N57" s="104">
        <f t="shared" si="25"/>
        <v>152.01740977837207</v>
      </c>
      <c r="O57" s="106">
        <f t="shared" si="26"/>
        <v>0</v>
      </c>
      <c r="P57" s="107">
        <f t="shared" si="27"/>
        <v>-19.411161650199347</v>
      </c>
      <c r="Q57" s="108">
        <f t="shared" si="28"/>
        <v>0.88676822370717046</v>
      </c>
      <c r="R57" s="308"/>
      <c r="S57" s="46">
        <v>0.27152777777777776</v>
      </c>
      <c r="T57" s="47">
        <v>0.28116898148148145</v>
      </c>
      <c r="U57" s="109">
        <v>5.2833333333333332</v>
      </c>
      <c r="V57" s="110">
        <v>13.889386580832074</v>
      </c>
      <c r="W57" s="111"/>
      <c r="X57" s="114"/>
      <c r="Y57" s="12"/>
      <c r="Z57" s="196"/>
      <c r="AA57" s="299"/>
      <c r="AB57" s="300"/>
      <c r="AC57" s="12"/>
      <c r="AD57" s="196"/>
      <c r="AE57" s="115">
        <f t="shared" si="29"/>
        <v>-407.63439465418651</v>
      </c>
      <c r="AF57" s="108">
        <f t="shared" si="30"/>
        <v>0.88676822370717046</v>
      </c>
      <c r="AG57" s="313"/>
    </row>
    <row r="58" spans="1:33" ht="15.75" customHeight="1">
      <c r="A58" s="302"/>
      <c r="B58" s="98" t="s">
        <v>194</v>
      </c>
      <c r="C58" s="382" t="s">
        <v>197</v>
      </c>
      <c r="D58" s="382"/>
      <c r="E58" s="99">
        <v>37.799999999999997</v>
      </c>
      <c r="F58" s="100">
        <v>4163</v>
      </c>
      <c r="G58" s="101">
        <f t="shared" si="31"/>
        <v>157361.4</v>
      </c>
      <c r="H58" s="26"/>
      <c r="I58" s="102">
        <v>20</v>
      </c>
      <c r="J58" s="103">
        <v>3600</v>
      </c>
      <c r="K58" s="104">
        <f t="shared" si="32"/>
        <v>180</v>
      </c>
      <c r="L58" s="105">
        <v>20</v>
      </c>
      <c r="M58" s="103">
        <f>F58/V58*60</f>
        <v>3272.2489188004151</v>
      </c>
      <c r="N58" s="104">
        <f t="shared" si="25"/>
        <v>163.61244594002076</v>
      </c>
      <c r="O58" s="106">
        <f t="shared" si="26"/>
        <v>0</v>
      </c>
      <c r="P58" s="107">
        <f t="shared" si="27"/>
        <v>-16.387554059979237</v>
      </c>
      <c r="Q58" s="108">
        <f t="shared" si="28"/>
        <v>0.90895803300011535</v>
      </c>
      <c r="R58" s="308"/>
      <c r="S58" s="46">
        <v>0.28402777777777777</v>
      </c>
      <c r="T58" s="47">
        <v>0.33702546296296293</v>
      </c>
      <c r="U58" s="109">
        <v>5</v>
      </c>
      <c r="V58" s="110">
        <v>76.332823754608413</v>
      </c>
      <c r="W58" s="111"/>
      <c r="X58" s="114"/>
      <c r="Y58" s="12"/>
      <c r="Z58" s="196"/>
      <c r="AA58" s="299"/>
      <c r="AB58" s="300"/>
      <c r="AC58" s="12"/>
      <c r="AD58" s="196"/>
      <c r="AE58" s="115">
        <f t="shared" si="29"/>
        <v>-327.75108119958486</v>
      </c>
      <c r="AF58" s="108">
        <f t="shared" si="30"/>
        <v>0.90895803300011535</v>
      </c>
      <c r="AG58" s="313"/>
    </row>
    <row r="59" spans="1:33" ht="15.75" customHeight="1">
      <c r="A59" s="302"/>
      <c r="B59" s="98" t="s">
        <v>194</v>
      </c>
      <c r="C59" s="382" t="s">
        <v>196</v>
      </c>
      <c r="D59" s="382"/>
      <c r="E59" s="99">
        <v>38.479999999999997</v>
      </c>
      <c r="F59" s="100">
        <v>3342</v>
      </c>
      <c r="G59" s="101">
        <f t="shared" si="31"/>
        <v>128600.15999999999</v>
      </c>
      <c r="H59" s="26"/>
      <c r="I59" s="102">
        <v>19</v>
      </c>
      <c r="J59" s="103">
        <v>3600</v>
      </c>
      <c r="K59" s="104">
        <f t="shared" si="32"/>
        <v>189.47368421052633</v>
      </c>
      <c r="L59" s="105">
        <v>19</v>
      </c>
      <c r="M59" s="103">
        <f>F59/V59*60</f>
        <v>3266.9587272866988</v>
      </c>
      <c r="N59" s="104">
        <f t="shared" si="25"/>
        <v>171.94519617298414</v>
      </c>
      <c r="O59" s="106">
        <f t="shared" si="26"/>
        <v>0</v>
      </c>
      <c r="P59" s="107">
        <f t="shared" si="27"/>
        <v>-17.528488037542189</v>
      </c>
      <c r="Q59" s="108">
        <f t="shared" si="28"/>
        <v>0.90748853535741625</v>
      </c>
      <c r="R59" s="308"/>
      <c r="S59" s="46">
        <v>0.34097222222222218</v>
      </c>
      <c r="T59" s="47">
        <v>0.38358796296296294</v>
      </c>
      <c r="U59" s="109">
        <v>5.6833333333333158</v>
      </c>
      <c r="V59" s="110">
        <v>61.378185872136036</v>
      </c>
      <c r="W59" s="111"/>
      <c r="X59" s="114"/>
      <c r="Y59" s="12"/>
      <c r="Z59" s="196"/>
      <c r="AA59" s="299"/>
      <c r="AB59" s="300"/>
      <c r="AC59" s="12"/>
      <c r="AD59" s="196"/>
      <c r="AE59" s="197">
        <f t="shared" si="29"/>
        <v>-333.04127271330117</v>
      </c>
      <c r="AF59" s="198">
        <f t="shared" si="30"/>
        <v>0.90748853535741636</v>
      </c>
      <c r="AG59" s="313"/>
    </row>
    <row r="60" spans="1:33" ht="15.75" customHeight="1">
      <c r="A60" s="303"/>
      <c r="B60" s="98" t="s">
        <v>166</v>
      </c>
      <c r="C60" s="382" t="s">
        <v>167</v>
      </c>
      <c r="D60" s="382"/>
      <c r="E60" s="99">
        <v>29.97</v>
      </c>
      <c r="F60" s="103">
        <v>2119</v>
      </c>
      <c r="G60" s="101">
        <f t="shared" si="31"/>
        <v>63506.43</v>
      </c>
      <c r="H60" s="13"/>
      <c r="I60" s="102">
        <v>21</v>
      </c>
      <c r="J60" s="103">
        <v>2790</v>
      </c>
      <c r="K60" s="104">
        <f t="shared" si="32"/>
        <v>132.85714285714286</v>
      </c>
      <c r="L60" s="105">
        <v>21</v>
      </c>
      <c r="M60" s="103">
        <f>F60/V60*60</f>
        <v>2484.1730769230762</v>
      </c>
      <c r="N60" s="104">
        <f t="shared" si="25"/>
        <v>118.29395604395602</v>
      </c>
      <c r="O60" s="106">
        <f t="shared" si="26"/>
        <v>0</v>
      </c>
      <c r="P60" s="107">
        <f t="shared" si="27"/>
        <v>-14.563186813186846</v>
      </c>
      <c r="Q60" s="108">
        <f t="shared" si="28"/>
        <v>0.89038461538461511</v>
      </c>
      <c r="R60" s="308"/>
      <c r="S60" s="46">
        <v>0.38749999999999996</v>
      </c>
      <c r="T60" s="47">
        <v>0.42303240740740738</v>
      </c>
      <c r="U60" s="109">
        <v>5.633333333333308</v>
      </c>
      <c r="V60" s="110">
        <v>51.180008825100451</v>
      </c>
      <c r="W60" s="111"/>
      <c r="X60" s="114"/>
      <c r="Y60" s="12"/>
      <c r="Z60" s="196"/>
      <c r="AA60" s="299"/>
      <c r="AB60" s="300"/>
      <c r="AC60" s="12"/>
      <c r="AD60" s="196"/>
      <c r="AE60" s="197">
        <f t="shared" si="29"/>
        <v>-305.82692307692378</v>
      </c>
      <c r="AF60" s="198">
        <f t="shared" si="30"/>
        <v>0.89038461538461511</v>
      </c>
      <c r="AG60" s="313"/>
    </row>
    <row r="61" spans="1:33" ht="15.75" customHeight="1">
      <c r="A61" s="303"/>
      <c r="B61" s="98"/>
      <c r="C61" s="382"/>
      <c r="D61" s="382"/>
      <c r="E61" s="99"/>
      <c r="F61" s="103"/>
      <c r="G61" s="119"/>
      <c r="H61" s="120"/>
      <c r="I61" s="102"/>
      <c r="J61" s="103"/>
      <c r="K61" s="104"/>
      <c r="L61" s="105"/>
      <c r="M61" s="103"/>
      <c r="N61" s="104"/>
      <c r="O61" s="106"/>
      <c r="P61" s="107"/>
      <c r="Q61" s="108"/>
      <c r="R61" s="308"/>
      <c r="S61" s="46"/>
      <c r="T61" s="118"/>
      <c r="U61" s="109"/>
      <c r="V61" s="110"/>
      <c r="W61" s="111"/>
      <c r="X61" s="114"/>
      <c r="Y61" s="12"/>
      <c r="Z61" s="196"/>
      <c r="AA61" s="299"/>
      <c r="AB61" s="300"/>
      <c r="AC61" s="12"/>
      <c r="AD61" s="196"/>
      <c r="AE61" s="197"/>
      <c r="AF61" s="198"/>
      <c r="AG61" s="313"/>
    </row>
    <row r="62" spans="1:33" ht="15.75" customHeight="1">
      <c r="A62" s="303"/>
      <c r="B62" s="98"/>
      <c r="C62" s="382"/>
      <c r="D62" s="382"/>
      <c r="E62" s="99"/>
      <c r="F62" s="103"/>
      <c r="G62" s="119"/>
      <c r="H62" s="60"/>
      <c r="I62" s="102"/>
      <c r="J62" s="103"/>
      <c r="K62" s="104"/>
      <c r="L62" s="105"/>
      <c r="M62" s="103"/>
      <c r="N62" s="104"/>
      <c r="O62" s="121"/>
      <c r="P62" s="122"/>
      <c r="Q62" s="123"/>
      <c r="R62" s="308"/>
      <c r="S62" s="46"/>
      <c r="T62" s="118"/>
      <c r="U62" s="109"/>
      <c r="V62" s="110"/>
      <c r="W62" s="111"/>
      <c r="X62" s="114"/>
      <c r="Y62" s="12"/>
      <c r="Z62" s="196"/>
      <c r="AA62" s="299"/>
      <c r="AB62" s="300"/>
      <c r="AC62" s="12"/>
      <c r="AD62" s="196"/>
      <c r="AE62" s="197"/>
      <c r="AF62" s="198"/>
      <c r="AG62" s="313"/>
    </row>
    <row r="63" spans="1:33" ht="15.75" customHeight="1">
      <c r="A63" s="303"/>
      <c r="B63" s="98"/>
      <c r="C63" s="382"/>
      <c r="D63" s="382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8"/>
      <c r="S63" s="46"/>
      <c r="T63" s="118"/>
      <c r="U63" s="109"/>
      <c r="V63" s="110"/>
      <c r="W63" s="111"/>
      <c r="X63" s="114"/>
      <c r="Y63" s="12"/>
      <c r="Z63" s="196"/>
      <c r="AA63" s="299"/>
      <c r="AB63" s="300"/>
      <c r="AC63" s="12"/>
      <c r="AD63" s="196"/>
      <c r="AE63" s="197"/>
      <c r="AF63" s="198"/>
      <c r="AG63" s="313"/>
    </row>
    <row r="64" spans="1:33" ht="15.75" customHeight="1">
      <c r="A64" s="303"/>
      <c r="B64" s="98"/>
      <c r="C64" s="382"/>
      <c r="D64" s="382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8"/>
      <c r="S64" s="46"/>
      <c r="T64" s="118"/>
      <c r="U64" s="109"/>
      <c r="V64" s="110"/>
      <c r="W64" s="111"/>
      <c r="X64" s="114"/>
      <c r="Y64" s="12"/>
      <c r="Z64" s="196"/>
      <c r="AA64" s="299"/>
      <c r="AB64" s="300"/>
      <c r="AC64" s="12"/>
      <c r="AD64" s="196"/>
      <c r="AE64" s="197"/>
      <c r="AF64" s="198"/>
      <c r="AG64" s="313"/>
    </row>
    <row r="65" spans="1:33" ht="15.75" customHeight="1">
      <c r="A65" s="303"/>
      <c r="B65" s="98"/>
      <c r="C65" s="382"/>
      <c r="D65" s="382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8"/>
      <c r="S65" s="46"/>
      <c r="T65" s="118"/>
      <c r="U65" s="109"/>
      <c r="V65" s="110"/>
      <c r="W65" s="111"/>
      <c r="X65" s="114"/>
      <c r="Y65" s="12"/>
      <c r="Z65" s="196"/>
      <c r="AA65" s="299"/>
      <c r="AB65" s="300"/>
      <c r="AC65" s="12"/>
      <c r="AD65" s="196"/>
      <c r="AE65" s="197"/>
      <c r="AF65" s="198"/>
      <c r="AG65" s="313"/>
    </row>
    <row r="66" spans="1:33" ht="15.75" customHeight="1">
      <c r="A66" s="303"/>
      <c r="B66" s="98"/>
      <c r="C66" s="382"/>
      <c r="D66" s="382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8"/>
      <c r="S66" s="46"/>
      <c r="T66" s="118"/>
      <c r="U66" s="109"/>
      <c r="V66" s="110"/>
      <c r="W66" s="111"/>
      <c r="X66" s="114"/>
      <c r="Y66" s="12"/>
      <c r="Z66" s="196"/>
      <c r="AA66" s="299"/>
      <c r="AB66" s="300"/>
      <c r="AC66" s="12"/>
      <c r="AD66" s="196"/>
      <c r="AE66" s="197"/>
      <c r="AF66" s="198"/>
      <c r="AG66" s="313"/>
    </row>
    <row r="67" spans="1:33" ht="15.75" customHeight="1">
      <c r="A67" s="303"/>
      <c r="B67" s="98"/>
      <c r="C67" s="382"/>
      <c r="D67" s="382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8"/>
      <c r="S67" s="46"/>
      <c r="T67" s="118"/>
      <c r="U67" s="109"/>
      <c r="V67" s="110"/>
      <c r="W67" s="111"/>
      <c r="X67" s="114"/>
      <c r="Y67" s="12"/>
      <c r="Z67" s="196"/>
      <c r="AA67" s="299"/>
      <c r="AB67" s="300"/>
      <c r="AC67" s="12"/>
      <c r="AD67" s="196"/>
      <c r="AE67" s="197"/>
      <c r="AF67" s="198"/>
      <c r="AG67" s="313"/>
    </row>
    <row r="68" spans="1:33" ht="15.75" customHeight="1">
      <c r="A68" s="303"/>
      <c r="B68" s="98"/>
      <c r="C68" s="382"/>
      <c r="D68" s="382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8"/>
      <c r="S68" s="46"/>
      <c r="T68" s="118"/>
      <c r="U68" s="109"/>
      <c r="V68" s="110"/>
      <c r="W68" s="111"/>
      <c r="X68" s="114"/>
      <c r="Y68" s="12"/>
      <c r="Z68" s="196"/>
      <c r="AA68" s="299"/>
      <c r="AB68" s="300"/>
      <c r="AC68" s="12"/>
      <c r="AD68" s="196"/>
      <c r="AE68" s="197"/>
      <c r="AF68" s="198"/>
      <c r="AG68" s="313"/>
    </row>
    <row r="69" spans="1:33" ht="15.75" customHeight="1">
      <c r="A69" s="303"/>
      <c r="B69" s="98"/>
      <c r="C69" s="382"/>
      <c r="D69" s="382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8"/>
      <c r="S69" s="46"/>
      <c r="T69" s="118"/>
      <c r="U69" s="109"/>
      <c r="V69" s="110"/>
      <c r="W69" s="111"/>
      <c r="X69" s="114"/>
      <c r="Y69" s="12"/>
      <c r="Z69" s="196"/>
      <c r="AA69" s="299"/>
      <c r="AB69" s="300"/>
      <c r="AC69" s="12"/>
      <c r="AD69" s="196"/>
      <c r="AE69" s="197"/>
      <c r="AF69" s="198"/>
      <c r="AG69" s="313"/>
    </row>
    <row r="70" spans="1:33" ht="15.75" customHeight="1">
      <c r="A70" s="303"/>
      <c r="B70" s="98"/>
      <c r="C70" s="382"/>
      <c r="D70" s="382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8"/>
      <c r="S70" s="46"/>
      <c r="T70" s="118"/>
      <c r="U70" s="109"/>
      <c r="V70" s="110"/>
      <c r="W70" s="111"/>
      <c r="X70" s="114"/>
      <c r="Y70" s="12"/>
      <c r="Z70" s="196"/>
      <c r="AA70" s="299"/>
      <c r="AB70" s="300"/>
      <c r="AC70" s="12"/>
      <c r="AD70" s="196"/>
      <c r="AE70" s="197"/>
      <c r="AF70" s="198"/>
      <c r="AG70" s="313"/>
    </row>
    <row r="71" spans="1:33" ht="15.75" customHeight="1">
      <c r="A71" s="303"/>
      <c r="B71" s="98"/>
      <c r="C71" s="382"/>
      <c r="D71" s="382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8"/>
      <c r="S71" s="117"/>
      <c r="T71" s="118"/>
      <c r="U71" s="128"/>
      <c r="V71" s="129"/>
      <c r="W71" s="124"/>
      <c r="X71" s="125"/>
      <c r="Y71" s="12"/>
      <c r="Z71" s="196"/>
      <c r="AA71" s="299"/>
      <c r="AB71" s="300"/>
      <c r="AC71" s="12"/>
      <c r="AD71" s="196"/>
      <c r="AE71" s="163"/>
      <c r="AF71" s="123"/>
      <c r="AG71" s="313"/>
    </row>
    <row r="72" spans="1:33" ht="15.75" customHeight="1" thickBot="1">
      <c r="A72" s="304"/>
      <c r="B72" s="131" t="s">
        <v>115</v>
      </c>
      <c r="C72" s="294"/>
      <c r="D72" s="294"/>
      <c r="E72" s="132"/>
      <c r="F72" s="165"/>
      <c r="G72" s="133"/>
      <c r="H72" s="67"/>
      <c r="I72" s="134">
        <f t="shared" ref="I72:J72" si="33">AVERAGE(I56:I71)</f>
        <v>19.8</v>
      </c>
      <c r="J72" s="135">
        <f t="shared" si="33"/>
        <v>3438</v>
      </c>
      <c r="K72" s="136">
        <f t="shared" ref="K72:K75" si="34">J72/I72</f>
        <v>173.63636363636363</v>
      </c>
      <c r="L72" s="134">
        <f t="shared" ref="L72:M72" si="35">AVERAGE(L56:L71)</f>
        <v>19.8</v>
      </c>
      <c r="M72" s="135">
        <f t="shared" si="35"/>
        <v>3081.9308097185763</v>
      </c>
      <c r="N72" s="136">
        <f>M72/L72</f>
        <v>155.65307119790788</v>
      </c>
      <c r="O72" s="137">
        <f>L72-I72</f>
        <v>0</v>
      </c>
      <c r="P72" s="138">
        <f>N72-K72</f>
        <v>-17.983292438455749</v>
      </c>
      <c r="Q72" s="139">
        <f>N72/K72</f>
        <v>0.89643130009266325</v>
      </c>
      <c r="R72" s="309"/>
      <c r="S72" s="140">
        <v>0.25</v>
      </c>
      <c r="T72" s="141">
        <v>0.42303240740740738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5"/>
      <c r="AB72" s="296"/>
      <c r="AC72" s="177">
        <f>SUM(AC56:AC71)</f>
        <v>0</v>
      </c>
      <c r="AD72" s="189">
        <f>SUM(AD56:AD71)</f>
        <v>0</v>
      </c>
      <c r="AE72" s="166">
        <f>M72-J72</f>
        <v>-356.06919028142374</v>
      </c>
      <c r="AF72" s="139">
        <f>M72/J72</f>
        <v>0.89643130009266325</v>
      </c>
      <c r="AG72" s="314"/>
    </row>
    <row r="73" spans="1:33" ht="15.75" customHeight="1">
      <c r="A73" s="315" t="s">
        <v>116</v>
      </c>
      <c r="B73" s="98" t="s">
        <v>188</v>
      </c>
      <c r="C73" s="297" t="s">
        <v>222</v>
      </c>
      <c r="D73" s="298"/>
      <c r="E73" s="99">
        <v>22.83</v>
      </c>
      <c r="F73" s="100">
        <v>1836</v>
      </c>
      <c r="G73" s="119">
        <f t="shared" ref="G73:G75" si="36">E73*F73</f>
        <v>41915.879999999997</v>
      </c>
      <c r="H73" s="60"/>
      <c r="I73" s="102">
        <v>6</v>
      </c>
      <c r="J73" s="103">
        <v>2500</v>
      </c>
      <c r="K73" s="104">
        <f t="shared" si="34"/>
        <v>416.66666666666669</v>
      </c>
      <c r="L73" s="105">
        <v>6</v>
      </c>
      <c r="M73" s="103">
        <f>F73/V73*60</f>
        <v>2264.2967010171819</v>
      </c>
      <c r="N73" s="104">
        <f>M73/L73</f>
        <v>377.38278350286367</v>
      </c>
      <c r="O73" s="121">
        <f>L73-I73</f>
        <v>0</v>
      </c>
      <c r="P73" s="122">
        <f>N73-K73</f>
        <v>-39.283883163803011</v>
      </c>
      <c r="Q73" s="123">
        <f>N73/K73</f>
        <v>0.90571868040687276</v>
      </c>
      <c r="R73" s="307">
        <f>Q89</f>
        <v>0.90562510167392773</v>
      </c>
      <c r="S73" s="46">
        <v>0.39861111111111103</v>
      </c>
      <c r="T73" s="118">
        <v>0.43239583333333326</v>
      </c>
      <c r="U73" s="109">
        <v>5.8000000000000274</v>
      </c>
      <c r="V73" s="110">
        <v>48.650868037971001</v>
      </c>
      <c r="W73" s="111"/>
      <c r="X73" s="160"/>
      <c r="Y73" s="12"/>
      <c r="Z73" s="196"/>
      <c r="AA73" s="310"/>
      <c r="AB73" s="311"/>
      <c r="AC73" s="12"/>
      <c r="AD73" s="196"/>
      <c r="AE73" s="113">
        <f>M73-J73</f>
        <v>-235.70329898281807</v>
      </c>
      <c r="AF73" s="154">
        <f>M73/J73</f>
        <v>0.90571868040687276</v>
      </c>
      <c r="AG73" s="312">
        <f>AF89</f>
        <v>0.90562510167392773</v>
      </c>
    </row>
    <row r="74" spans="1:33" ht="15.75" customHeight="1">
      <c r="A74" s="316"/>
      <c r="B74" s="98" t="s">
        <v>188</v>
      </c>
      <c r="C74" s="297" t="s">
        <v>214</v>
      </c>
      <c r="D74" s="298"/>
      <c r="E74" s="99">
        <v>23.19</v>
      </c>
      <c r="F74" s="100">
        <v>691</v>
      </c>
      <c r="G74" s="119">
        <f t="shared" si="36"/>
        <v>16024.29</v>
      </c>
      <c r="H74" s="60"/>
      <c r="I74" s="102">
        <v>6</v>
      </c>
      <c r="J74" s="103">
        <v>2500</v>
      </c>
      <c r="K74" s="104">
        <f t="shared" si="34"/>
        <v>416.66666666666669</v>
      </c>
      <c r="L74" s="116">
        <v>6</v>
      </c>
      <c r="M74" s="103">
        <f>F74/V74*60</f>
        <v>2265.0885259439265</v>
      </c>
      <c r="N74" s="104">
        <f>M74/L74</f>
        <v>377.51475432398775</v>
      </c>
      <c r="O74" s="121">
        <f>L74-I74</f>
        <v>0</v>
      </c>
      <c r="P74" s="122">
        <f>N74-K74</f>
        <v>-39.151912342678941</v>
      </c>
      <c r="Q74" s="123">
        <f>N74/K74</f>
        <v>0.90603541037757052</v>
      </c>
      <c r="R74" s="308"/>
      <c r="S74" s="46">
        <v>0.43611111111111101</v>
      </c>
      <c r="T74" s="118">
        <v>0.44881944444444433</v>
      </c>
      <c r="U74" s="109">
        <v>5.349999999999957</v>
      </c>
      <c r="V74" s="110">
        <v>18.303920365638884</v>
      </c>
      <c r="W74" s="111"/>
      <c r="X74" s="114"/>
      <c r="Y74" s="12"/>
      <c r="Z74" s="196"/>
      <c r="AA74" s="299"/>
      <c r="AB74" s="300"/>
      <c r="AC74" s="12"/>
      <c r="AD74" s="196"/>
      <c r="AE74" s="115">
        <f>M74-J74</f>
        <v>-234.91147405607353</v>
      </c>
      <c r="AF74" s="108">
        <f>M74/J74</f>
        <v>0.90603541037757063</v>
      </c>
      <c r="AG74" s="313"/>
    </row>
    <row r="75" spans="1:33" ht="15.75" customHeight="1">
      <c r="A75" s="316"/>
      <c r="B75" s="98" t="s">
        <v>188</v>
      </c>
      <c r="C75" s="297" t="s">
        <v>215</v>
      </c>
      <c r="D75" s="298"/>
      <c r="E75" s="99">
        <v>35.89</v>
      </c>
      <c r="F75" s="100">
        <v>1914</v>
      </c>
      <c r="G75" s="119">
        <f t="shared" si="36"/>
        <v>68693.460000000006</v>
      </c>
      <c r="H75" s="60"/>
      <c r="I75" s="102">
        <v>5</v>
      </c>
      <c r="J75" s="103">
        <v>3273</v>
      </c>
      <c r="K75" s="104">
        <f t="shared" si="34"/>
        <v>654.6</v>
      </c>
      <c r="L75" s="116">
        <v>5</v>
      </c>
      <c r="M75" s="103">
        <f>F75/V75*60</f>
        <v>2962.851239187296</v>
      </c>
      <c r="N75" s="104">
        <f>M75/L75</f>
        <v>592.57024783745919</v>
      </c>
      <c r="O75" s="121">
        <f>L75-I75</f>
        <v>0</v>
      </c>
      <c r="P75" s="122">
        <f>N75-K75</f>
        <v>-62.029752162540831</v>
      </c>
      <c r="Q75" s="123">
        <f>N75/K75</f>
        <v>0.90524021973336266</v>
      </c>
      <c r="R75" s="308"/>
      <c r="S75" s="46">
        <v>0.45277777777777767</v>
      </c>
      <c r="T75" s="118">
        <v>0.47968749999999988</v>
      </c>
      <c r="U75" s="109">
        <v>5.7000000000000117</v>
      </c>
      <c r="V75" s="110">
        <v>38.759961513120174</v>
      </c>
      <c r="W75" s="111"/>
      <c r="X75" s="114"/>
      <c r="Y75" s="12"/>
      <c r="Z75" s="196"/>
      <c r="AA75" s="299"/>
      <c r="AB75" s="300"/>
      <c r="AC75" s="12"/>
      <c r="AD75" s="196"/>
      <c r="AE75" s="115">
        <f>M75-J75</f>
        <v>-310.14876081270404</v>
      </c>
      <c r="AF75" s="108">
        <f>M75/J75</f>
        <v>0.90524021973336266</v>
      </c>
      <c r="AG75" s="313"/>
    </row>
    <row r="76" spans="1:33" ht="15.75" customHeight="1">
      <c r="A76" s="316"/>
      <c r="B76" s="98"/>
      <c r="C76" s="297"/>
      <c r="D76" s="298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8"/>
      <c r="S76" s="46"/>
      <c r="T76" s="47"/>
      <c r="U76" s="109"/>
      <c r="V76" s="110"/>
      <c r="W76" s="111"/>
      <c r="X76" s="114"/>
      <c r="Y76" s="12"/>
      <c r="Z76" s="196"/>
      <c r="AA76" s="299"/>
      <c r="AB76" s="300"/>
      <c r="AC76" s="12"/>
      <c r="AD76" s="196"/>
      <c r="AE76" s="115"/>
      <c r="AF76" s="108"/>
      <c r="AG76" s="313"/>
    </row>
    <row r="77" spans="1:33" ht="15.75" customHeight="1">
      <c r="A77" s="316"/>
      <c r="B77" s="98"/>
      <c r="C77" s="297"/>
      <c r="D77" s="298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8"/>
      <c r="S77" s="46"/>
      <c r="T77" s="47"/>
      <c r="U77" s="109"/>
      <c r="V77" s="110"/>
      <c r="W77" s="111"/>
      <c r="X77" s="114"/>
      <c r="Y77" s="12"/>
      <c r="Z77" s="196"/>
      <c r="AA77" s="299"/>
      <c r="AB77" s="300"/>
      <c r="AC77" s="12"/>
      <c r="AD77" s="196"/>
      <c r="AE77" s="115"/>
      <c r="AF77" s="108"/>
      <c r="AG77" s="313"/>
    </row>
    <row r="78" spans="1:33" ht="15.75" customHeight="1">
      <c r="A78" s="316"/>
      <c r="B78" s="98"/>
      <c r="C78" s="297"/>
      <c r="D78" s="298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8"/>
      <c r="S78" s="46"/>
      <c r="T78" s="118"/>
      <c r="U78" s="109"/>
      <c r="V78" s="110"/>
      <c r="W78" s="111"/>
      <c r="X78" s="114"/>
      <c r="Y78" s="12"/>
      <c r="Z78" s="196"/>
      <c r="AA78" s="299"/>
      <c r="AB78" s="300"/>
      <c r="AC78" s="12"/>
      <c r="AD78" s="196"/>
      <c r="AE78" s="115"/>
      <c r="AF78" s="108"/>
      <c r="AG78" s="313"/>
    </row>
    <row r="79" spans="1:33" ht="15.75" customHeight="1">
      <c r="A79" s="316"/>
      <c r="B79" s="98"/>
      <c r="C79" s="297"/>
      <c r="D79" s="298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8"/>
      <c r="S79" s="46"/>
      <c r="T79" s="118"/>
      <c r="U79" s="109"/>
      <c r="V79" s="110"/>
      <c r="W79" s="111"/>
      <c r="X79" s="114"/>
      <c r="Y79" s="12"/>
      <c r="Z79" s="196"/>
      <c r="AA79" s="299"/>
      <c r="AB79" s="300"/>
      <c r="AC79" s="12"/>
      <c r="AD79" s="196"/>
      <c r="AE79" s="115"/>
      <c r="AF79" s="108"/>
      <c r="AG79" s="313"/>
    </row>
    <row r="80" spans="1:33" ht="15.75" customHeight="1">
      <c r="A80" s="316"/>
      <c r="B80" s="98"/>
      <c r="C80" s="297"/>
      <c r="D80" s="298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8"/>
      <c r="S80" s="46"/>
      <c r="T80" s="118"/>
      <c r="U80" s="109"/>
      <c r="V80" s="110"/>
      <c r="W80" s="111"/>
      <c r="X80" s="114"/>
      <c r="Y80" s="12"/>
      <c r="Z80" s="196"/>
      <c r="AA80" s="299"/>
      <c r="AB80" s="300"/>
      <c r="AC80" s="12"/>
      <c r="AD80" s="196"/>
      <c r="AE80" s="115"/>
      <c r="AF80" s="108"/>
      <c r="AG80" s="313"/>
    </row>
    <row r="81" spans="1:33" ht="15.75" customHeight="1">
      <c r="A81" s="316"/>
      <c r="B81" s="98"/>
      <c r="C81" s="297"/>
      <c r="D81" s="298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8"/>
      <c r="S81" s="46"/>
      <c r="T81" s="118"/>
      <c r="U81" s="109"/>
      <c r="V81" s="110"/>
      <c r="W81" s="111"/>
      <c r="X81" s="125"/>
      <c r="Y81" s="12"/>
      <c r="Z81" s="196"/>
      <c r="AA81" s="299"/>
      <c r="AB81" s="300"/>
      <c r="AC81" s="12"/>
      <c r="AD81" s="196"/>
      <c r="AE81" s="115"/>
      <c r="AF81" s="108"/>
      <c r="AG81" s="313"/>
    </row>
    <row r="82" spans="1:33" ht="15.75" customHeight="1">
      <c r="A82" s="316"/>
      <c r="B82" s="98"/>
      <c r="C82" s="297"/>
      <c r="D82" s="298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8"/>
      <c r="S82" s="46"/>
      <c r="T82" s="118"/>
      <c r="U82" s="109"/>
      <c r="V82" s="110"/>
      <c r="W82" s="111"/>
      <c r="X82" s="125"/>
      <c r="Y82" s="12"/>
      <c r="Z82" s="196"/>
      <c r="AA82" s="299"/>
      <c r="AB82" s="300"/>
      <c r="AC82" s="12"/>
      <c r="AD82" s="196"/>
      <c r="AE82" s="115"/>
      <c r="AF82" s="108"/>
      <c r="AG82" s="313"/>
    </row>
    <row r="83" spans="1:33" ht="15.75" customHeight="1">
      <c r="A83" s="316"/>
      <c r="B83" s="98"/>
      <c r="C83" s="297"/>
      <c r="D83" s="298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8"/>
      <c r="S83" s="46"/>
      <c r="T83" s="118"/>
      <c r="U83" s="109"/>
      <c r="V83" s="110"/>
      <c r="W83" s="111"/>
      <c r="X83" s="125"/>
      <c r="Y83" s="12"/>
      <c r="Z83" s="196"/>
      <c r="AA83" s="299"/>
      <c r="AB83" s="300"/>
      <c r="AC83" s="12"/>
      <c r="AD83" s="196"/>
      <c r="AE83" s="115"/>
      <c r="AF83" s="108"/>
      <c r="AG83" s="313"/>
    </row>
    <row r="84" spans="1:33" ht="15.75" customHeight="1">
      <c r="A84" s="316"/>
      <c r="B84" s="98"/>
      <c r="C84" s="297"/>
      <c r="D84" s="298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8"/>
      <c r="S84" s="46"/>
      <c r="T84" s="118"/>
      <c r="U84" s="109"/>
      <c r="V84" s="110"/>
      <c r="W84" s="111"/>
      <c r="X84" s="125"/>
      <c r="Y84" s="12"/>
      <c r="Z84" s="196"/>
      <c r="AA84" s="299"/>
      <c r="AB84" s="300"/>
      <c r="AC84" s="12"/>
      <c r="AD84" s="196"/>
      <c r="AE84" s="115"/>
      <c r="AF84" s="108"/>
      <c r="AG84" s="313"/>
    </row>
    <row r="85" spans="1:33" ht="15.75" customHeight="1">
      <c r="A85" s="316"/>
      <c r="B85" s="98"/>
      <c r="C85" s="297"/>
      <c r="D85" s="298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8"/>
      <c r="S85" s="46"/>
      <c r="T85" s="118"/>
      <c r="U85" s="109"/>
      <c r="V85" s="110"/>
      <c r="W85" s="111"/>
      <c r="X85" s="125"/>
      <c r="Y85" s="12"/>
      <c r="Z85" s="196"/>
      <c r="AA85" s="299"/>
      <c r="AB85" s="300"/>
      <c r="AC85" s="12"/>
      <c r="AD85" s="196"/>
      <c r="AE85" s="115"/>
      <c r="AF85" s="108"/>
      <c r="AG85" s="313"/>
    </row>
    <row r="86" spans="1:33" ht="15.75" customHeight="1">
      <c r="A86" s="316"/>
      <c r="B86" s="98"/>
      <c r="C86" s="297"/>
      <c r="D86" s="298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8"/>
      <c r="S86" s="46"/>
      <c r="T86" s="118"/>
      <c r="U86" s="109"/>
      <c r="V86" s="110"/>
      <c r="W86" s="111"/>
      <c r="X86" s="125"/>
      <c r="Y86" s="12"/>
      <c r="Z86" s="196"/>
      <c r="AA86" s="299"/>
      <c r="AB86" s="300"/>
      <c r="AC86" s="12"/>
      <c r="AD86" s="196"/>
      <c r="AE86" s="115"/>
      <c r="AF86" s="108"/>
      <c r="AG86" s="313"/>
    </row>
    <row r="87" spans="1:33" ht="15.75" customHeight="1">
      <c r="A87" s="316"/>
      <c r="B87" s="98"/>
      <c r="C87" s="297"/>
      <c r="D87" s="298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8"/>
      <c r="S87" s="46"/>
      <c r="T87" s="118"/>
      <c r="U87" s="109"/>
      <c r="V87" s="110"/>
      <c r="W87" s="111"/>
      <c r="X87" s="125"/>
      <c r="Y87" s="12"/>
      <c r="Z87" s="196"/>
      <c r="AA87" s="299"/>
      <c r="AB87" s="300"/>
      <c r="AC87" s="12"/>
      <c r="AD87" s="196"/>
      <c r="AE87" s="115"/>
      <c r="AF87" s="108"/>
      <c r="AG87" s="313"/>
    </row>
    <row r="88" spans="1:33" ht="15.75" customHeight="1">
      <c r="A88" s="316"/>
      <c r="B88" s="161"/>
      <c r="C88" s="297"/>
      <c r="D88" s="298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8"/>
      <c r="S88" s="117"/>
      <c r="T88" s="118"/>
      <c r="U88" s="128"/>
      <c r="V88" s="129"/>
      <c r="W88" s="124"/>
      <c r="X88" s="125"/>
      <c r="Y88" s="12"/>
      <c r="Z88" s="196"/>
      <c r="AA88" s="299"/>
      <c r="AB88" s="300"/>
      <c r="AC88" s="12"/>
      <c r="AD88" s="196"/>
      <c r="AE88" s="163"/>
      <c r="AF88" s="123"/>
      <c r="AG88" s="313"/>
    </row>
    <row r="89" spans="1:33" ht="15.75" customHeight="1" thickBot="1">
      <c r="A89" s="317"/>
      <c r="B89" s="131" t="s">
        <v>115</v>
      </c>
      <c r="C89" s="294"/>
      <c r="D89" s="294"/>
      <c r="E89" s="132"/>
      <c r="F89" s="165"/>
      <c r="G89" s="133"/>
      <c r="H89" s="67"/>
      <c r="I89" s="134">
        <f t="shared" ref="I89:J89" si="37">AVERAGE(I73:I88)</f>
        <v>5.666666666666667</v>
      </c>
      <c r="J89" s="135">
        <f t="shared" si="37"/>
        <v>2757.6666666666665</v>
      </c>
      <c r="K89" s="136">
        <f t="shared" ref="K89" si="38">J89/I89</f>
        <v>486.64705882352933</v>
      </c>
      <c r="L89" s="134">
        <f t="shared" ref="L89:M89" si="39">AVERAGE(L73:L88)</f>
        <v>5.666666666666667</v>
      </c>
      <c r="M89" s="135">
        <f t="shared" si="39"/>
        <v>2497.4121553828013</v>
      </c>
      <c r="N89" s="136">
        <f>M89/L89</f>
        <v>440.71979212637666</v>
      </c>
      <c r="O89" s="137">
        <f>L89-I89</f>
        <v>0</v>
      </c>
      <c r="P89" s="138">
        <f>N89-K89</f>
        <v>-45.927266697152675</v>
      </c>
      <c r="Q89" s="139">
        <f>N89/K89</f>
        <v>0.90562510167392773</v>
      </c>
      <c r="R89" s="309"/>
      <c r="S89" s="140">
        <v>0.25</v>
      </c>
      <c r="T89" s="141">
        <v>0.47968749999999988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5"/>
      <c r="AB89" s="296"/>
      <c r="AC89" s="177">
        <f>SUM(AC73:AC88)</f>
        <v>0</v>
      </c>
      <c r="AD89" s="189">
        <f>SUM(AD73:AD88)</f>
        <v>0</v>
      </c>
      <c r="AE89" s="166">
        <f>M89-J89</f>
        <v>-260.25451128386521</v>
      </c>
      <c r="AF89" s="139">
        <f>M89/J89</f>
        <v>0.90562510167392773</v>
      </c>
      <c r="AG89" s="314"/>
    </row>
    <row r="90" spans="1:33" ht="15.75" customHeight="1">
      <c r="A90" s="301" t="s">
        <v>120</v>
      </c>
      <c r="B90" s="112" t="s">
        <v>188</v>
      </c>
      <c r="C90" s="305" t="s">
        <v>201</v>
      </c>
      <c r="D90" s="306"/>
      <c r="E90" s="145">
        <v>15.51</v>
      </c>
      <c r="F90" s="95">
        <v>2416</v>
      </c>
      <c r="G90" s="146">
        <f t="shared" ref="G90:G91" si="40">E90*F90</f>
        <v>37472.159999999996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3800.3898834130505</v>
      </c>
      <c r="N90" s="150">
        <f>M90/L90</f>
        <v>633.39831390217512</v>
      </c>
      <c r="O90" s="152">
        <f>L90-I90</f>
        <v>0</v>
      </c>
      <c r="P90" s="153">
        <f>N90-K90</f>
        <v>-66.601686097824881</v>
      </c>
      <c r="Q90" s="154">
        <f>N90/K90</f>
        <v>0.9048547341459644</v>
      </c>
      <c r="R90" s="307">
        <f>Q106</f>
        <v>0.90473040185190257</v>
      </c>
      <c r="S90" s="155">
        <v>0.25</v>
      </c>
      <c r="T90" s="156">
        <v>0.27648148148148149</v>
      </c>
      <c r="U90" s="157"/>
      <c r="V90" s="158">
        <v>38.143454868323794</v>
      </c>
      <c r="W90" s="156"/>
      <c r="X90" s="167"/>
      <c r="Y90" s="12"/>
      <c r="Z90" s="196"/>
      <c r="AA90" s="310"/>
      <c r="AB90" s="311"/>
      <c r="AC90" s="12"/>
      <c r="AD90" s="196"/>
      <c r="AE90" s="113">
        <f>M90-J90</f>
        <v>-399.61011658694952</v>
      </c>
      <c r="AF90" s="154">
        <f>M90/J90</f>
        <v>0.9048547341459644</v>
      </c>
      <c r="AG90" s="312">
        <f>AF106</f>
        <v>0.90473040185190257</v>
      </c>
    </row>
    <row r="91" spans="1:33" ht="15.75" customHeight="1">
      <c r="A91" s="302"/>
      <c r="B91" s="98" t="s">
        <v>188</v>
      </c>
      <c r="C91" s="297" t="s">
        <v>202</v>
      </c>
      <c r="D91" s="298"/>
      <c r="E91" s="99">
        <v>15.01</v>
      </c>
      <c r="F91" s="100">
        <v>2367</v>
      </c>
      <c r="G91" s="101">
        <f t="shared" si="40"/>
        <v>35528.67</v>
      </c>
      <c r="H91" s="26"/>
      <c r="I91" s="102">
        <v>6</v>
      </c>
      <c r="J91" s="103">
        <v>4200</v>
      </c>
      <c r="K91" s="104">
        <f t="shared" si="32"/>
        <v>700</v>
      </c>
      <c r="L91" s="105">
        <v>6</v>
      </c>
      <c r="M91" s="103">
        <f>F91/V91*60</f>
        <v>3799.3454921429307</v>
      </c>
      <c r="N91" s="104">
        <f>M91/L91</f>
        <v>633.22424869048848</v>
      </c>
      <c r="O91" s="106">
        <f>L91-I91</f>
        <v>0</v>
      </c>
      <c r="P91" s="107">
        <f>N91-K91</f>
        <v>-66.77575130951152</v>
      </c>
      <c r="Q91" s="108">
        <f>N91/K91</f>
        <v>0.90460606955784073</v>
      </c>
      <c r="R91" s="308"/>
      <c r="S91" s="46">
        <v>0.27986111111111112</v>
      </c>
      <c r="T91" s="47">
        <v>0.30581018518518521</v>
      </c>
      <c r="U91" s="109">
        <v>4.8666666666666547</v>
      </c>
      <c r="V91" s="110">
        <v>37.380122522076029</v>
      </c>
      <c r="W91" s="111"/>
      <c r="X91" s="13"/>
      <c r="Y91" s="12"/>
      <c r="Z91" s="196"/>
      <c r="AA91" s="299"/>
      <c r="AB91" s="300"/>
      <c r="AC91" s="12"/>
      <c r="AD91" s="196"/>
      <c r="AE91" s="115">
        <f>M91-J91</f>
        <v>-400.65450785706935</v>
      </c>
      <c r="AF91" s="108">
        <f>M91/J91</f>
        <v>0.90460606955784062</v>
      </c>
      <c r="AG91" s="313"/>
    </row>
    <row r="92" spans="1:33" ht="15.75" customHeight="1">
      <c r="A92" s="302"/>
      <c r="B92" s="98"/>
      <c r="C92" s="297"/>
      <c r="D92" s="298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8"/>
      <c r="S92" s="46"/>
      <c r="T92" s="47"/>
      <c r="U92" s="109"/>
      <c r="V92" s="110"/>
      <c r="W92" s="111"/>
      <c r="X92" s="13"/>
      <c r="Y92" s="12"/>
      <c r="Z92" s="196"/>
      <c r="AA92" s="299"/>
      <c r="AB92" s="300"/>
      <c r="AC92" s="12"/>
      <c r="AD92" s="196"/>
      <c r="AE92" s="115"/>
      <c r="AF92" s="108"/>
      <c r="AG92" s="313"/>
    </row>
    <row r="93" spans="1:33" ht="15.75" customHeight="1">
      <c r="A93" s="302"/>
      <c r="B93" s="98"/>
      <c r="C93" s="297"/>
      <c r="D93" s="298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8"/>
      <c r="S93" s="46"/>
      <c r="T93" s="47"/>
      <c r="U93" s="109"/>
      <c r="V93" s="110"/>
      <c r="W93" s="111"/>
      <c r="X93" s="114"/>
      <c r="Y93" s="12"/>
      <c r="Z93" s="196"/>
      <c r="AA93" s="299"/>
      <c r="AB93" s="300"/>
      <c r="AC93" s="12"/>
      <c r="AD93" s="196"/>
      <c r="AE93" s="115"/>
      <c r="AF93" s="108"/>
      <c r="AG93" s="313"/>
    </row>
    <row r="94" spans="1:33" ht="15.75" customHeight="1">
      <c r="A94" s="303"/>
      <c r="B94" s="98"/>
      <c r="C94" s="297"/>
      <c r="D94" s="298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8"/>
      <c r="S94" s="46"/>
      <c r="T94" s="47"/>
      <c r="U94" s="109"/>
      <c r="V94" s="110"/>
      <c r="W94" s="111"/>
      <c r="X94" s="13"/>
      <c r="Y94" s="12"/>
      <c r="Z94" s="196"/>
      <c r="AA94" s="299"/>
      <c r="AB94" s="300"/>
      <c r="AC94" s="12"/>
      <c r="AD94" s="196"/>
      <c r="AE94" s="115"/>
      <c r="AF94" s="108"/>
      <c r="AG94" s="313"/>
    </row>
    <row r="95" spans="1:33" ht="15.75" customHeight="1">
      <c r="A95" s="303"/>
      <c r="B95" s="98"/>
      <c r="C95" s="297"/>
      <c r="D95" s="298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8"/>
      <c r="S95" s="46"/>
      <c r="T95" s="118"/>
      <c r="U95" s="109"/>
      <c r="V95" s="110"/>
      <c r="W95" s="111"/>
      <c r="X95" s="49"/>
      <c r="Y95" s="12"/>
      <c r="Z95" s="196"/>
      <c r="AA95" s="299"/>
      <c r="AB95" s="300"/>
      <c r="AC95" s="12"/>
      <c r="AD95" s="196"/>
      <c r="AE95" s="115"/>
      <c r="AF95" s="108"/>
      <c r="AG95" s="313"/>
    </row>
    <row r="96" spans="1:33" ht="15.75" customHeight="1">
      <c r="A96" s="303"/>
      <c r="B96" s="98"/>
      <c r="C96" s="297"/>
      <c r="D96" s="298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8"/>
      <c r="S96" s="46"/>
      <c r="T96" s="118"/>
      <c r="U96" s="109"/>
      <c r="V96" s="110"/>
      <c r="W96" s="111"/>
      <c r="X96" s="114"/>
      <c r="Y96" s="12"/>
      <c r="Z96" s="196"/>
      <c r="AA96" s="299"/>
      <c r="AB96" s="300"/>
      <c r="AC96" s="12"/>
      <c r="AD96" s="196"/>
      <c r="AE96" s="115"/>
      <c r="AF96" s="108"/>
      <c r="AG96" s="313"/>
    </row>
    <row r="97" spans="1:33" ht="15.75" customHeight="1">
      <c r="A97" s="303"/>
      <c r="B97" s="98"/>
      <c r="C97" s="297"/>
      <c r="D97" s="298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8"/>
      <c r="S97" s="46"/>
      <c r="T97" s="118"/>
      <c r="U97" s="109"/>
      <c r="V97" s="110"/>
      <c r="W97" s="111"/>
      <c r="X97" s="114"/>
      <c r="Y97" s="12"/>
      <c r="Z97" s="196"/>
      <c r="AA97" s="299"/>
      <c r="AB97" s="300"/>
      <c r="AC97" s="12"/>
      <c r="AD97" s="196"/>
      <c r="AE97" s="115"/>
      <c r="AF97" s="108"/>
      <c r="AG97" s="313"/>
    </row>
    <row r="98" spans="1:33" ht="15.75" customHeight="1">
      <c r="A98" s="303"/>
      <c r="B98" s="98"/>
      <c r="C98" s="297"/>
      <c r="D98" s="298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8"/>
      <c r="S98" s="117"/>
      <c r="T98" s="118"/>
      <c r="U98" s="109"/>
      <c r="V98" s="129"/>
      <c r="W98" s="111"/>
      <c r="X98" s="114"/>
      <c r="Y98" s="12"/>
      <c r="Z98" s="196"/>
      <c r="AA98" s="299"/>
      <c r="AB98" s="300"/>
      <c r="AC98" s="12"/>
      <c r="AD98" s="196"/>
      <c r="AE98" s="115"/>
      <c r="AF98" s="108"/>
      <c r="AG98" s="313"/>
    </row>
    <row r="99" spans="1:33" ht="15.75" customHeight="1">
      <c r="A99" s="303"/>
      <c r="B99" s="98"/>
      <c r="C99" s="297"/>
      <c r="D99" s="298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8"/>
      <c r="S99" s="117"/>
      <c r="T99" s="118"/>
      <c r="U99" s="109"/>
      <c r="V99" s="129"/>
      <c r="W99" s="124"/>
      <c r="X99" s="125"/>
      <c r="Y99" s="12"/>
      <c r="Z99" s="196"/>
      <c r="AA99" s="299"/>
      <c r="AB99" s="300"/>
      <c r="AC99" s="12"/>
      <c r="AD99" s="196"/>
      <c r="AE99" s="115"/>
      <c r="AF99" s="108"/>
      <c r="AG99" s="313"/>
    </row>
    <row r="100" spans="1:33" ht="15.75" customHeight="1">
      <c r="A100" s="303"/>
      <c r="B100" s="98"/>
      <c r="C100" s="297"/>
      <c r="D100" s="298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8"/>
      <c r="S100" s="117"/>
      <c r="T100" s="118"/>
      <c r="U100" s="109"/>
      <c r="V100" s="129"/>
      <c r="W100" s="124"/>
      <c r="X100" s="125"/>
      <c r="Y100" s="12"/>
      <c r="Z100" s="196"/>
      <c r="AA100" s="299"/>
      <c r="AB100" s="300"/>
      <c r="AC100" s="12"/>
      <c r="AD100" s="196"/>
      <c r="AE100" s="115"/>
      <c r="AF100" s="108"/>
      <c r="AG100" s="313"/>
    </row>
    <row r="101" spans="1:33" ht="15.75" customHeight="1">
      <c r="A101" s="303"/>
      <c r="B101" s="98"/>
      <c r="C101" s="297"/>
      <c r="D101" s="298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8"/>
      <c r="S101" s="117"/>
      <c r="T101" s="118"/>
      <c r="U101" s="109"/>
      <c r="V101" s="129"/>
      <c r="W101" s="124"/>
      <c r="X101" s="125"/>
      <c r="Y101" s="12"/>
      <c r="Z101" s="196"/>
      <c r="AA101" s="299"/>
      <c r="AB101" s="300"/>
      <c r="AC101" s="12"/>
      <c r="AD101" s="196"/>
      <c r="AE101" s="115"/>
      <c r="AF101" s="108"/>
      <c r="AG101" s="313"/>
    </row>
    <row r="102" spans="1:33" ht="15.75" customHeight="1">
      <c r="A102" s="303"/>
      <c r="B102" s="98"/>
      <c r="C102" s="297"/>
      <c r="D102" s="298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8"/>
      <c r="S102" s="117"/>
      <c r="T102" s="118"/>
      <c r="U102" s="109"/>
      <c r="V102" s="129"/>
      <c r="W102" s="124"/>
      <c r="X102" s="125"/>
      <c r="Y102" s="12"/>
      <c r="Z102" s="196"/>
      <c r="AA102" s="299"/>
      <c r="AB102" s="300"/>
      <c r="AC102" s="12"/>
      <c r="AD102" s="196"/>
      <c r="AE102" s="115"/>
      <c r="AF102" s="108"/>
      <c r="AG102" s="313"/>
    </row>
    <row r="103" spans="1:33" ht="15.75" customHeight="1">
      <c r="A103" s="303"/>
      <c r="B103" s="98"/>
      <c r="C103" s="297"/>
      <c r="D103" s="298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8"/>
      <c r="S103" s="117"/>
      <c r="T103" s="118"/>
      <c r="U103" s="109"/>
      <c r="V103" s="129"/>
      <c r="W103" s="124"/>
      <c r="X103" s="125"/>
      <c r="Y103" s="12"/>
      <c r="Z103" s="196"/>
      <c r="AA103" s="299"/>
      <c r="AB103" s="300"/>
      <c r="AC103" s="12"/>
      <c r="AD103" s="196"/>
      <c r="AE103" s="115"/>
      <c r="AF103" s="108"/>
      <c r="AG103" s="313"/>
    </row>
    <row r="104" spans="1:33" ht="15.75" customHeight="1">
      <c r="A104" s="303"/>
      <c r="B104" s="98"/>
      <c r="C104" s="297"/>
      <c r="D104" s="298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8"/>
      <c r="S104" s="117"/>
      <c r="T104" s="118"/>
      <c r="U104" s="109"/>
      <c r="V104" s="129"/>
      <c r="W104" s="124"/>
      <c r="X104" s="125"/>
      <c r="Y104" s="12"/>
      <c r="Z104" s="196"/>
      <c r="AA104" s="299"/>
      <c r="AB104" s="300"/>
      <c r="AC104" s="12"/>
      <c r="AD104" s="196"/>
      <c r="AE104" s="115"/>
      <c r="AF104" s="108"/>
      <c r="AG104" s="313"/>
    </row>
    <row r="105" spans="1:33" ht="15.75" customHeight="1">
      <c r="A105" s="303"/>
      <c r="B105" s="98"/>
      <c r="C105" s="297"/>
      <c r="D105" s="298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8"/>
      <c r="S105" s="117"/>
      <c r="T105" s="118"/>
      <c r="U105" s="128"/>
      <c r="V105" s="129"/>
      <c r="W105" s="124"/>
      <c r="X105" s="125"/>
      <c r="Y105" s="12"/>
      <c r="Z105" s="196"/>
      <c r="AA105" s="299"/>
      <c r="AB105" s="300"/>
      <c r="AC105" s="12"/>
      <c r="AD105" s="196"/>
      <c r="AE105" s="163"/>
      <c r="AF105" s="123"/>
      <c r="AG105" s="313"/>
    </row>
    <row r="106" spans="1:33" ht="15.75" customHeight="1" thickBot="1">
      <c r="A106" s="304"/>
      <c r="B106" s="131" t="s">
        <v>115</v>
      </c>
      <c r="C106" s="294"/>
      <c r="D106" s="294"/>
      <c r="E106" s="132"/>
      <c r="F106" s="165"/>
      <c r="G106" s="133"/>
      <c r="H106" s="67"/>
      <c r="I106" s="134">
        <f t="shared" ref="I106:J106" si="41">AVERAGE(I90:I105)</f>
        <v>6</v>
      </c>
      <c r="J106" s="135">
        <f t="shared" si="41"/>
        <v>4200</v>
      </c>
      <c r="K106" s="136">
        <f t="shared" ref="K106" si="42">J106/I106</f>
        <v>700</v>
      </c>
      <c r="L106" s="134">
        <f t="shared" ref="L106:M106" si="43">AVERAGE(L90:L105)</f>
        <v>6</v>
      </c>
      <c r="M106" s="135">
        <f t="shared" si="43"/>
        <v>3799.8676877779908</v>
      </c>
      <c r="N106" s="136">
        <f>M106/L106</f>
        <v>633.3112812963318</v>
      </c>
      <c r="O106" s="137">
        <f>L106-I106</f>
        <v>0</v>
      </c>
      <c r="P106" s="138">
        <f>N106-K106</f>
        <v>-66.688718703668201</v>
      </c>
      <c r="Q106" s="139">
        <f>N106/K106</f>
        <v>0.90473040185190257</v>
      </c>
      <c r="R106" s="309"/>
      <c r="S106" s="140">
        <v>0.25</v>
      </c>
      <c r="T106" s="141">
        <v>0.30581018518518521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5"/>
      <c r="AB106" s="296"/>
      <c r="AC106" s="177">
        <f>SUM(AC90:AC105)</f>
        <v>0</v>
      </c>
      <c r="AD106" s="189">
        <f>SUM(AD90:AD105)</f>
        <v>0</v>
      </c>
      <c r="AE106" s="166">
        <f>M106-J106</f>
        <v>-400.1323122220092</v>
      </c>
      <c r="AF106" s="139">
        <f>M106/J106</f>
        <v>0.90473040185190257</v>
      </c>
      <c r="AG106" s="314"/>
    </row>
    <row r="107" spans="1:33" ht="15.75" customHeight="1">
      <c r="A107" s="315" t="s">
        <v>189</v>
      </c>
      <c r="B107" s="144" t="s">
        <v>169</v>
      </c>
      <c r="C107" s="305" t="s">
        <v>198</v>
      </c>
      <c r="D107" s="306"/>
      <c r="E107" s="145">
        <v>58.17</v>
      </c>
      <c r="F107" s="95">
        <v>1768</v>
      </c>
      <c r="G107" s="146">
        <f t="shared" ref="G107:G109" si="44">E107*F107</f>
        <v>102844.56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1806.6</v>
      </c>
      <c r="N107" s="150">
        <f>M107/L107</f>
        <v>106.27058823529411</v>
      </c>
      <c r="O107" s="152">
        <f>L107-I107</f>
        <v>-1</v>
      </c>
      <c r="P107" s="153">
        <f>N107-K107</f>
        <v>-4.8405228758170011</v>
      </c>
      <c r="Q107" s="154">
        <f>N107/K107</f>
        <v>0.95643529411764694</v>
      </c>
      <c r="R107" s="307">
        <f>Q123</f>
        <v>0.95155059523809515</v>
      </c>
      <c r="S107" s="155">
        <v>0.70833333333333337</v>
      </c>
      <c r="T107" s="156">
        <v>0.74910879629629634</v>
      </c>
      <c r="U107" s="157"/>
      <c r="V107" s="158">
        <v>58.718033875788777</v>
      </c>
      <c r="W107" s="156"/>
      <c r="X107" s="167"/>
      <c r="Y107" s="194"/>
      <c r="Z107" s="195"/>
      <c r="AA107" s="310"/>
      <c r="AB107" s="311"/>
      <c r="AC107" s="194"/>
      <c r="AD107" s="195"/>
      <c r="AE107" s="113">
        <f>M107-J107</f>
        <v>-193.40000000000009</v>
      </c>
      <c r="AF107" s="154">
        <f>M107/J107</f>
        <v>0.90329999999999999</v>
      </c>
      <c r="AG107" s="312">
        <f>AF123</f>
        <v>0.90316666666666667</v>
      </c>
    </row>
    <row r="108" spans="1:33" ht="15.75" customHeight="1">
      <c r="A108" s="316"/>
      <c r="B108" s="161" t="s">
        <v>169</v>
      </c>
      <c r="C108" s="297" t="s">
        <v>190</v>
      </c>
      <c r="D108" s="298"/>
      <c r="E108" s="99">
        <v>50.67</v>
      </c>
      <c r="F108" s="100">
        <v>1997</v>
      </c>
      <c r="G108" s="101">
        <f t="shared" si="44"/>
        <v>101187.99</v>
      </c>
      <c r="H108" s="26"/>
      <c r="I108" s="102">
        <v>20</v>
      </c>
      <c r="J108" s="103">
        <v>2000</v>
      </c>
      <c r="K108" s="104">
        <f t="shared" ref="K108:K109" si="45">J108/I108</f>
        <v>100</v>
      </c>
      <c r="L108" s="105">
        <v>19</v>
      </c>
      <c r="M108" s="103">
        <f>F108/V108*60</f>
        <v>1806.7999999999995</v>
      </c>
      <c r="N108" s="104">
        <f>M108/L108</f>
        <v>95.094736842105235</v>
      </c>
      <c r="O108" s="106">
        <f>L108-I108</f>
        <v>-1</v>
      </c>
      <c r="P108" s="107">
        <f>N108-K108</f>
        <v>-4.9052631578947654</v>
      </c>
      <c r="Q108" s="108">
        <f>N108/K108</f>
        <v>0.95094736842105232</v>
      </c>
      <c r="R108" s="308"/>
      <c r="S108" s="46">
        <v>0.75208333333333333</v>
      </c>
      <c r="T108" s="47">
        <v>0.79812499999999997</v>
      </c>
      <c r="U108" s="109">
        <v>5</v>
      </c>
      <c r="V108" s="110">
        <v>66.316139030329879</v>
      </c>
      <c r="W108" s="111"/>
      <c r="X108" s="114"/>
      <c r="Y108" s="12"/>
      <c r="Z108" s="196"/>
      <c r="AA108" s="299"/>
      <c r="AB108" s="300"/>
      <c r="AC108" s="12"/>
      <c r="AD108" s="196"/>
      <c r="AE108" s="115">
        <f>M108-J108</f>
        <v>-193.2000000000005</v>
      </c>
      <c r="AF108" s="108">
        <f>M108/J108</f>
        <v>0.90339999999999976</v>
      </c>
      <c r="AG108" s="313"/>
    </row>
    <row r="109" spans="1:33" ht="15.75" customHeight="1">
      <c r="A109" s="316"/>
      <c r="B109" s="161" t="s">
        <v>169</v>
      </c>
      <c r="C109" s="297" t="s">
        <v>205</v>
      </c>
      <c r="D109" s="298"/>
      <c r="E109" s="99">
        <v>57.3</v>
      </c>
      <c r="F109" s="100">
        <v>1516</v>
      </c>
      <c r="G109" s="101">
        <f t="shared" si="44"/>
        <v>86866.8</v>
      </c>
      <c r="H109" s="26"/>
      <c r="I109" s="102">
        <v>21</v>
      </c>
      <c r="J109" s="103">
        <v>2000</v>
      </c>
      <c r="K109" s="104">
        <f t="shared" si="45"/>
        <v>95.238095238095241</v>
      </c>
      <c r="L109" s="105">
        <v>20</v>
      </c>
      <c r="M109" s="103">
        <f>F109/V109*60</f>
        <v>1805.6</v>
      </c>
      <c r="N109" s="104">
        <f>M109/L109</f>
        <v>90.28</v>
      </c>
      <c r="O109" s="106">
        <f>L109-I109</f>
        <v>-1</v>
      </c>
      <c r="P109" s="107">
        <f>N109-K109</f>
        <v>-4.9580952380952397</v>
      </c>
      <c r="Q109" s="108">
        <f>N109/K109</f>
        <v>0.94794</v>
      </c>
      <c r="R109" s="308"/>
      <c r="S109" s="46">
        <v>0.80138888888888882</v>
      </c>
      <c r="T109" s="47">
        <v>0.83636574074074066</v>
      </c>
      <c r="U109" s="109">
        <v>4.6999999999999353</v>
      </c>
      <c r="V109" s="110">
        <v>50.376606114311031</v>
      </c>
      <c r="W109" s="111"/>
      <c r="X109" s="114"/>
      <c r="Y109" s="12"/>
      <c r="Z109" s="196"/>
      <c r="AA109" s="299"/>
      <c r="AB109" s="300"/>
      <c r="AC109" s="12"/>
      <c r="AD109" s="196"/>
      <c r="AE109" s="115">
        <f>M109-J109</f>
        <v>-194.40000000000009</v>
      </c>
      <c r="AF109" s="108">
        <f>M109/J109</f>
        <v>0.90279999999999994</v>
      </c>
      <c r="AG109" s="313"/>
    </row>
    <row r="110" spans="1:33" ht="15.75" customHeight="1">
      <c r="A110" s="316"/>
      <c r="B110" s="161"/>
      <c r="C110" s="297"/>
      <c r="D110" s="298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8"/>
      <c r="S110" s="46"/>
      <c r="T110" s="47"/>
      <c r="U110" s="109"/>
      <c r="V110" s="110"/>
      <c r="W110" s="111"/>
      <c r="X110" s="114"/>
      <c r="Y110" s="12"/>
      <c r="Z110" s="196"/>
      <c r="AA110" s="299"/>
      <c r="AB110" s="300"/>
      <c r="AC110" s="12"/>
      <c r="AD110" s="196"/>
      <c r="AE110" s="115"/>
      <c r="AF110" s="108"/>
      <c r="AG110" s="313"/>
    </row>
    <row r="111" spans="1:33" ht="15.75" customHeight="1">
      <c r="A111" s="316"/>
      <c r="B111" s="161"/>
      <c r="C111" s="297"/>
      <c r="D111" s="298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8"/>
      <c r="S111" s="46"/>
      <c r="T111" s="47"/>
      <c r="U111" s="109"/>
      <c r="V111" s="110"/>
      <c r="W111" s="111"/>
      <c r="X111" s="114"/>
      <c r="Y111" s="12"/>
      <c r="Z111" s="196"/>
      <c r="AA111" s="299"/>
      <c r="AB111" s="300"/>
      <c r="AC111" s="12"/>
      <c r="AD111" s="196"/>
      <c r="AE111" s="115"/>
      <c r="AF111" s="108"/>
      <c r="AG111" s="313"/>
    </row>
    <row r="112" spans="1:33" ht="15.75" customHeight="1">
      <c r="A112" s="316"/>
      <c r="B112" s="161"/>
      <c r="C112" s="297"/>
      <c r="D112" s="298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8"/>
      <c r="S112" s="46"/>
      <c r="T112" s="118"/>
      <c r="U112" s="109"/>
      <c r="V112" s="110"/>
      <c r="W112" s="111"/>
      <c r="X112" s="114"/>
      <c r="Y112" s="12"/>
      <c r="Z112" s="196"/>
      <c r="AA112" s="299"/>
      <c r="AB112" s="300"/>
      <c r="AC112" s="12"/>
      <c r="AD112" s="196"/>
      <c r="AE112" s="115"/>
      <c r="AF112" s="108"/>
      <c r="AG112" s="313"/>
    </row>
    <row r="113" spans="1:33" ht="15.75" customHeight="1">
      <c r="A113" s="316"/>
      <c r="B113" s="161"/>
      <c r="C113" s="297"/>
      <c r="D113" s="298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8"/>
      <c r="S113" s="117"/>
      <c r="T113" s="118"/>
      <c r="U113" s="109"/>
      <c r="V113" s="110"/>
      <c r="W113" s="118"/>
      <c r="X113" s="187"/>
      <c r="Y113" s="12"/>
      <c r="Z113" s="196"/>
      <c r="AA113" s="299"/>
      <c r="AB113" s="300"/>
      <c r="AC113" s="12"/>
      <c r="AD113" s="196"/>
      <c r="AE113" s="115"/>
      <c r="AF113" s="108"/>
      <c r="AG113" s="313"/>
    </row>
    <row r="114" spans="1:33" ht="15.75" customHeight="1">
      <c r="A114" s="316"/>
      <c r="B114" s="161"/>
      <c r="C114" s="297"/>
      <c r="D114" s="298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8"/>
      <c r="S114" s="117"/>
      <c r="T114" s="118"/>
      <c r="U114" s="109"/>
      <c r="V114" s="110"/>
      <c r="W114" s="118"/>
      <c r="X114" s="187"/>
      <c r="Y114" s="12"/>
      <c r="Z114" s="196"/>
      <c r="AA114" s="299"/>
      <c r="AB114" s="300"/>
      <c r="AC114" s="12"/>
      <c r="AD114" s="196"/>
      <c r="AE114" s="115"/>
      <c r="AF114" s="108"/>
      <c r="AG114" s="313"/>
    </row>
    <row r="115" spans="1:33" ht="15.75" customHeight="1">
      <c r="A115" s="316"/>
      <c r="B115" s="161"/>
      <c r="C115" s="297"/>
      <c r="D115" s="298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8"/>
      <c r="S115" s="117"/>
      <c r="T115" s="118"/>
      <c r="U115" s="109"/>
      <c r="V115" s="110"/>
      <c r="W115" s="118"/>
      <c r="X115" s="187"/>
      <c r="Y115" s="12"/>
      <c r="Z115" s="196"/>
      <c r="AA115" s="299"/>
      <c r="AB115" s="300"/>
      <c r="AC115" s="12"/>
      <c r="AD115" s="196"/>
      <c r="AE115" s="115"/>
      <c r="AF115" s="108"/>
      <c r="AG115" s="313"/>
    </row>
    <row r="116" spans="1:33" ht="15.75" customHeight="1">
      <c r="A116" s="316"/>
      <c r="B116" s="161"/>
      <c r="C116" s="297"/>
      <c r="D116" s="298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8"/>
      <c r="S116" s="117"/>
      <c r="T116" s="118"/>
      <c r="U116" s="109"/>
      <c r="V116" s="110"/>
      <c r="W116" s="118"/>
      <c r="X116" s="187"/>
      <c r="Y116" s="12"/>
      <c r="Z116" s="196"/>
      <c r="AA116" s="299"/>
      <c r="AB116" s="300"/>
      <c r="AC116" s="12"/>
      <c r="AD116" s="196"/>
      <c r="AE116" s="115"/>
      <c r="AF116" s="108"/>
      <c r="AG116" s="313"/>
    </row>
    <row r="117" spans="1:33" ht="15.75" customHeight="1">
      <c r="A117" s="316"/>
      <c r="B117" s="161"/>
      <c r="C117" s="297"/>
      <c r="D117" s="298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8"/>
      <c r="S117" s="117"/>
      <c r="T117" s="118"/>
      <c r="U117" s="109"/>
      <c r="V117" s="110"/>
      <c r="W117" s="118"/>
      <c r="X117" s="187"/>
      <c r="Y117" s="12"/>
      <c r="Z117" s="196"/>
      <c r="AA117" s="299"/>
      <c r="AB117" s="300"/>
      <c r="AC117" s="12"/>
      <c r="AD117" s="196"/>
      <c r="AE117" s="115"/>
      <c r="AF117" s="108"/>
      <c r="AG117" s="313"/>
    </row>
    <row r="118" spans="1:33" ht="15.75" customHeight="1">
      <c r="A118" s="316"/>
      <c r="B118" s="161"/>
      <c r="C118" s="297"/>
      <c r="D118" s="298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8"/>
      <c r="S118" s="117"/>
      <c r="T118" s="118"/>
      <c r="U118" s="109"/>
      <c r="V118" s="110"/>
      <c r="W118" s="118"/>
      <c r="X118" s="187"/>
      <c r="Y118" s="12"/>
      <c r="Z118" s="196"/>
      <c r="AA118" s="299"/>
      <c r="AB118" s="300"/>
      <c r="AC118" s="12"/>
      <c r="AD118" s="196"/>
      <c r="AE118" s="115"/>
      <c r="AF118" s="108"/>
      <c r="AG118" s="313"/>
    </row>
    <row r="119" spans="1:33" ht="15.75" customHeight="1">
      <c r="A119" s="316"/>
      <c r="B119" s="161"/>
      <c r="C119" s="297"/>
      <c r="D119" s="298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8"/>
      <c r="S119" s="117"/>
      <c r="T119" s="118"/>
      <c r="U119" s="109"/>
      <c r="V119" s="110"/>
      <c r="W119" s="118"/>
      <c r="X119" s="187"/>
      <c r="Y119" s="12"/>
      <c r="Z119" s="196"/>
      <c r="AA119" s="299"/>
      <c r="AB119" s="300"/>
      <c r="AC119" s="12"/>
      <c r="AD119" s="196"/>
      <c r="AE119" s="115"/>
      <c r="AF119" s="108"/>
      <c r="AG119" s="313"/>
    </row>
    <row r="120" spans="1:33" ht="15.75" customHeight="1">
      <c r="A120" s="316"/>
      <c r="B120" s="161"/>
      <c r="C120" s="297"/>
      <c r="D120" s="298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8"/>
      <c r="S120" s="117"/>
      <c r="T120" s="118"/>
      <c r="U120" s="109"/>
      <c r="V120" s="110"/>
      <c r="W120" s="118"/>
      <c r="X120" s="187"/>
      <c r="Y120" s="12"/>
      <c r="Z120" s="196"/>
      <c r="AA120" s="299"/>
      <c r="AB120" s="300"/>
      <c r="AC120" s="12"/>
      <c r="AD120" s="196"/>
      <c r="AE120" s="115"/>
      <c r="AF120" s="108"/>
      <c r="AG120" s="313"/>
    </row>
    <row r="121" spans="1:33" ht="15.75" customHeight="1">
      <c r="A121" s="316"/>
      <c r="B121" s="161"/>
      <c r="C121" s="297"/>
      <c r="D121" s="298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8"/>
      <c r="S121" s="117"/>
      <c r="T121" s="118"/>
      <c r="U121" s="109"/>
      <c r="V121" s="110"/>
      <c r="W121" s="118"/>
      <c r="X121" s="187"/>
      <c r="Y121" s="12"/>
      <c r="Z121" s="196"/>
      <c r="AA121" s="299"/>
      <c r="AB121" s="300"/>
      <c r="AC121" s="12"/>
      <c r="AD121" s="196"/>
      <c r="AE121" s="115"/>
      <c r="AF121" s="108"/>
      <c r="AG121" s="313"/>
    </row>
    <row r="122" spans="1:33" ht="15.75" customHeight="1">
      <c r="A122" s="316"/>
      <c r="B122" s="161"/>
      <c r="C122" s="297"/>
      <c r="D122" s="298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8"/>
      <c r="S122" s="117"/>
      <c r="T122" s="118"/>
      <c r="U122" s="128"/>
      <c r="V122" s="129"/>
      <c r="W122" s="124"/>
      <c r="X122" s="125"/>
      <c r="Y122" s="12"/>
      <c r="Z122" s="196"/>
      <c r="AA122" s="299"/>
      <c r="AB122" s="300"/>
      <c r="AC122" s="12"/>
      <c r="AD122" s="196"/>
      <c r="AE122" s="163"/>
      <c r="AF122" s="123"/>
      <c r="AG122" s="313"/>
    </row>
    <row r="123" spans="1:33" ht="15.75" customHeight="1" thickBot="1">
      <c r="A123" s="317"/>
      <c r="B123" s="131" t="s">
        <v>115</v>
      </c>
      <c r="C123" s="294"/>
      <c r="D123" s="294"/>
      <c r="E123" s="132"/>
      <c r="F123" s="165"/>
      <c r="G123" s="133"/>
      <c r="H123" s="67"/>
      <c r="I123" s="134">
        <f t="shared" ref="I123:J123" si="46">AVERAGE(I107:I122)</f>
        <v>19.666666666666668</v>
      </c>
      <c r="J123" s="135">
        <f t="shared" si="46"/>
        <v>2000</v>
      </c>
      <c r="K123" s="136">
        <f t="shared" ref="K123" si="47">J123/I123</f>
        <v>101.69491525423729</v>
      </c>
      <c r="L123" s="134">
        <f t="shared" ref="L123:M123" si="48">AVERAGE(L107:L122)</f>
        <v>18.666666666666668</v>
      </c>
      <c r="M123" s="135">
        <f t="shared" si="48"/>
        <v>1806.3333333333333</v>
      </c>
      <c r="N123" s="136">
        <f>M123/L123</f>
        <v>96.767857142857139</v>
      </c>
      <c r="O123" s="137">
        <f>L123-I123</f>
        <v>-1</v>
      </c>
      <c r="P123" s="138">
        <f>N123-K123</f>
        <v>-4.9270581113801484</v>
      </c>
      <c r="Q123" s="139">
        <f>N123/K123</f>
        <v>0.95155059523809515</v>
      </c>
      <c r="R123" s="309"/>
      <c r="S123" s="140">
        <v>0.70833333333333337</v>
      </c>
      <c r="T123" s="141">
        <v>0.83636574074074066</v>
      </c>
      <c r="U123" s="142"/>
      <c r="V123" s="164"/>
      <c r="W123" s="165"/>
      <c r="X123" s="136"/>
      <c r="Y123" s="177">
        <f t="shared" ref="Y123:Z123" si="49">SUM(Y107:Y122)</f>
        <v>0</v>
      </c>
      <c r="Z123" s="178">
        <f t="shared" si="49"/>
        <v>0</v>
      </c>
      <c r="AA123" s="295"/>
      <c r="AB123" s="296"/>
      <c r="AC123" s="177">
        <f t="shared" ref="AC123:AD123" si="50">SUM(AC107:AC122)</f>
        <v>0</v>
      </c>
      <c r="AD123" s="178">
        <f t="shared" si="50"/>
        <v>0</v>
      </c>
      <c r="AE123" s="166">
        <f>M123-J123</f>
        <v>-193.66666666666674</v>
      </c>
      <c r="AF123" s="139">
        <f>M123/J123</f>
        <v>0.90316666666666667</v>
      </c>
      <c r="AG123" s="314"/>
    </row>
    <row r="124" spans="1:33" ht="15.75" customHeight="1">
      <c r="A124" s="301" t="s">
        <v>179</v>
      </c>
      <c r="B124" s="144" t="s">
        <v>169</v>
      </c>
      <c r="C124" s="305" t="s">
        <v>181</v>
      </c>
      <c r="D124" s="306"/>
      <c r="E124" s="145">
        <v>56.87</v>
      </c>
      <c r="F124" s="157">
        <v>1717</v>
      </c>
      <c r="G124" s="146">
        <f t="shared" ref="G124:G126" si="51">E124*F124</f>
        <v>97645.79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1803.6185642727748</v>
      </c>
      <c r="N124" s="150">
        <f>M124/L124</f>
        <v>78.418198446642378</v>
      </c>
      <c r="O124" s="152">
        <f>L124-I124</f>
        <v>0</v>
      </c>
      <c r="P124" s="153">
        <f>N124-K124</f>
        <v>-8.5383232924880588</v>
      </c>
      <c r="Q124" s="154">
        <f>N124/K124</f>
        <v>0.90180928213638734</v>
      </c>
      <c r="R124" s="307">
        <f>Q140</f>
        <v>0.90224396510085592</v>
      </c>
      <c r="S124" s="155">
        <v>0.70833333333333337</v>
      </c>
      <c r="T124" s="156">
        <v>0.74799768518518528</v>
      </c>
      <c r="U124" s="157"/>
      <c r="V124" s="158">
        <v>57.118507228016924</v>
      </c>
      <c r="W124" s="95"/>
      <c r="X124" s="96"/>
      <c r="Y124" s="194"/>
      <c r="Z124" s="195"/>
      <c r="AA124" s="310"/>
      <c r="AB124" s="311"/>
      <c r="AC124" s="194"/>
      <c r="AD124" s="195"/>
      <c r="AE124" s="113">
        <f>M124-J124</f>
        <v>-196.38143572722515</v>
      </c>
      <c r="AF124" s="154">
        <f>M124/J124</f>
        <v>0.90180928213638745</v>
      </c>
      <c r="AG124" s="379">
        <f>AF140</f>
        <v>0.90224396510085592</v>
      </c>
    </row>
    <row r="125" spans="1:33" ht="15.75" customHeight="1">
      <c r="A125" s="302"/>
      <c r="B125" s="161" t="s">
        <v>169</v>
      </c>
      <c r="C125" s="297" t="s">
        <v>180</v>
      </c>
      <c r="D125" s="298"/>
      <c r="E125" s="99">
        <v>56.79</v>
      </c>
      <c r="F125" s="109">
        <v>2394</v>
      </c>
      <c r="G125" s="101">
        <f t="shared" si="51"/>
        <v>135955.26</v>
      </c>
      <c r="H125" s="26"/>
      <c r="I125" s="102">
        <v>23</v>
      </c>
      <c r="J125" s="103">
        <v>2000</v>
      </c>
      <c r="K125" s="104">
        <f t="shared" ref="K125:K126" si="52">J125/I125</f>
        <v>86.956521739130437</v>
      </c>
      <c r="L125" s="105">
        <v>23</v>
      </c>
      <c r="M125" s="103">
        <f>F125/V125*60</f>
        <v>1801.7667199915472</v>
      </c>
      <c r="N125" s="104">
        <f>M125/L125</f>
        <v>78.337683477893364</v>
      </c>
      <c r="O125" s="106">
        <f>L125-I125</f>
        <v>0</v>
      </c>
      <c r="P125" s="107">
        <f>N125-K125</f>
        <v>-8.6188382612370731</v>
      </c>
      <c r="Q125" s="108">
        <f>N125/K125</f>
        <v>0.90088335999577362</v>
      </c>
      <c r="R125" s="308"/>
      <c r="S125" s="46">
        <v>0.75208333333333333</v>
      </c>
      <c r="T125" s="47">
        <v>0.80744212962962958</v>
      </c>
      <c r="U125" s="109">
        <v>5.8833333333331872</v>
      </c>
      <c r="V125" s="110">
        <v>79.72175221477832</v>
      </c>
      <c r="W125" s="111"/>
      <c r="X125" s="114"/>
      <c r="Y125" s="12"/>
      <c r="Z125" s="196"/>
      <c r="AA125" s="299"/>
      <c r="AB125" s="300"/>
      <c r="AC125" s="12"/>
      <c r="AD125" s="196"/>
      <c r="AE125" s="115">
        <f>M125-J125</f>
        <v>-198.23328000845277</v>
      </c>
      <c r="AF125" s="108">
        <f>M125/J125</f>
        <v>0.90088335999577362</v>
      </c>
      <c r="AG125" s="380"/>
    </row>
    <row r="126" spans="1:33" ht="15.75" customHeight="1">
      <c r="A126" s="302"/>
      <c r="B126" s="161" t="s">
        <v>169</v>
      </c>
      <c r="C126" s="297" t="s">
        <v>220</v>
      </c>
      <c r="D126" s="298"/>
      <c r="E126" s="99">
        <v>47.6</v>
      </c>
      <c r="F126" s="109">
        <v>3016</v>
      </c>
      <c r="G126" s="101">
        <f t="shared" si="51"/>
        <v>143561.60000000001</v>
      </c>
      <c r="H126" s="26"/>
      <c r="I126" s="102">
        <v>23</v>
      </c>
      <c r="J126" s="103">
        <v>2000</v>
      </c>
      <c r="K126" s="104">
        <f t="shared" si="52"/>
        <v>86.956521739130437</v>
      </c>
      <c r="L126" s="105">
        <v>23</v>
      </c>
      <c r="M126" s="103">
        <f>F126/V126*60</f>
        <v>1808.0785063408136</v>
      </c>
      <c r="N126" s="104">
        <f>M126/L126</f>
        <v>78.612108971339723</v>
      </c>
      <c r="O126" s="106">
        <f>L126-I126</f>
        <v>0</v>
      </c>
      <c r="P126" s="107">
        <f>N126-K126</f>
        <v>-8.3444127677907147</v>
      </c>
      <c r="Q126" s="108">
        <f>N126/K126</f>
        <v>0.90403925317040679</v>
      </c>
      <c r="R126" s="308"/>
      <c r="S126" s="46">
        <v>0.81041666666666667</v>
      </c>
      <c r="T126" s="47">
        <v>0.87991898148148151</v>
      </c>
      <c r="U126" s="109">
        <v>5</v>
      </c>
      <c r="V126" s="110">
        <v>100.08414975643207</v>
      </c>
      <c r="W126" s="111"/>
      <c r="X126" s="114"/>
      <c r="Y126" s="12"/>
      <c r="Z126" s="196"/>
      <c r="AA126" s="299"/>
      <c r="AB126" s="300"/>
      <c r="AC126" s="12"/>
      <c r="AD126" s="196"/>
      <c r="AE126" s="115">
        <f>M126-J126</f>
        <v>-191.92149365918635</v>
      </c>
      <c r="AF126" s="108">
        <f>M126/J126</f>
        <v>0.90403925317040679</v>
      </c>
      <c r="AG126" s="380"/>
    </row>
    <row r="127" spans="1:33" ht="15.75" customHeight="1">
      <c r="A127" s="302"/>
      <c r="B127" s="161"/>
      <c r="C127" s="297"/>
      <c r="D127" s="298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8"/>
      <c r="S127" s="46"/>
      <c r="T127" s="47"/>
      <c r="U127" s="109"/>
      <c r="V127" s="110"/>
      <c r="W127" s="111"/>
      <c r="X127" s="114"/>
      <c r="Y127" s="12"/>
      <c r="Z127" s="196"/>
      <c r="AA127" s="299"/>
      <c r="AB127" s="300"/>
      <c r="AC127" s="12"/>
      <c r="AD127" s="196"/>
      <c r="AE127" s="115"/>
      <c r="AF127" s="108"/>
      <c r="AG127" s="380"/>
    </row>
    <row r="128" spans="1:33" ht="15.75" customHeight="1">
      <c r="A128" s="303"/>
      <c r="B128" s="161"/>
      <c r="C128" s="297"/>
      <c r="D128" s="298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8"/>
      <c r="S128" s="46"/>
      <c r="T128" s="47"/>
      <c r="U128" s="109"/>
      <c r="V128" s="110"/>
      <c r="W128" s="111"/>
      <c r="X128" s="114"/>
      <c r="Y128" s="12"/>
      <c r="Z128" s="196"/>
      <c r="AA128" s="299"/>
      <c r="AB128" s="300"/>
      <c r="AC128" s="12"/>
      <c r="AD128" s="196"/>
      <c r="AE128" s="115"/>
      <c r="AF128" s="108"/>
      <c r="AG128" s="380"/>
    </row>
    <row r="129" spans="1:33" ht="15.75" customHeight="1">
      <c r="A129" s="303"/>
      <c r="B129" s="161"/>
      <c r="C129" s="297"/>
      <c r="D129" s="298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8"/>
      <c r="S129" s="46"/>
      <c r="T129" s="118"/>
      <c r="U129" s="109"/>
      <c r="V129" s="110"/>
      <c r="W129" s="111"/>
      <c r="X129" s="114"/>
      <c r="Y129" s="12"/>
      <c r="Z129" s="196"/>
      <c r="AA129" s="299"/>
      <c r="AB129" s="300"/>
      <c r="AC129" s="12"/>
      <c r="AD129" s="196"/>
      <c r="AE129" s="115"/>
      <c r="AF129" s="108"/>
      <c r="AG129" s="380"/>
    </row>
    <row r="130" spans="1:33" ht="15.75" customHeight="1">
      <c r="A130" s="303"/>
      <c r="B130" s="161"/>
      <c r="C130" s="297"/>
      <c r="D130" s="298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8"/>
      <c r="S130" s="46"/>
      <c r="T130" s="118"/>
      <c r="U130" s="109"/>
      <c r="V130" s="110"/>
      <c r="W130" s="111"/>
      <c r="X130" s="114"/>
      <c r="Y130" s="12"/>
      <c r="Z130" s="196"/>
      <c r="AA130" s="299"/>
      <c r="AB130" s="300"/>
      <c r="AC130" s="12"/>
      <c r="AD130" s="196"/>
      <c r="AE130" s="115"/>
      <c r="AF130" s="108"/>
      <c r="AG130" s="380"/>
    </row>
    <row r="131" spans="1:33" ht="15.75" customHeight="1">
      <c r="A131" s="303"/>
      <c r="B131" s="161"/>
      <c r="C131" s="297"/>
      <c r="D131" s="298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8"/>
      <c r="S131" s="46"/>
      <c r="T131" s="118"/>
      <c r="U131" s="109"/>
      <c r="V131" s="110"/>
      <c r="W131" s="111"/>
      <c r="X131" s="114"/>
      <c r="Y131" s="12"/>
      <c r="Z131" s="196"/>
      <c r="AA131" s="299"/>
      <c r="AB131" s="300"/>
      <c r="AC131" s="12"/>
      <c r="AD131" s="196"/>
      <c r="AE131" s="115"/>
      <c r="AF131" s="108"/>
      <c r="AG131" s="380"/>
    </row>
    <row r="132" spans="1:33" ht="15.75" customHeight="1">
      <c r="A132" s="303"/>
      <c r="B132" s="161"/>
      <c r="C132" s="297"/>
      <c r="D132" s="298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8"/>
      <c r="S132" s="46"/>
      <c r="T132" s="118"/>
      <c r="U132" s="109"/>
      <c r="V132" s="110"/>
      <c r="W132" s="111"/>
      <c r="X132" s="114"/>
      <c r="Y132" s="12"/>
      <c r="Z132" s="196"/>
      <c r="AA132" s="299"/>
      <c r="AB132" s="300"/>
      <c r="AC132" s="12"/>
      <c r="AD132" s="196"/>
      <c r="AE132" s="115"/>
      <c r="AF132" s="108"/>
      <c r="AG132" s="380"/>
    </row>
    <row r="133" spans="1:33" ht="15.75" customHeight="1">
      <c r="A133" s="303"/>
      <c r="B133" s="161"/>
      <c r="C133" s="297"/>
      <c r="D133" s="298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8"/>
      <c r="S133" s="46"/>
      <c r="T133" s="118"/>
      <c r="U133" s="109"/>
      <c r="V133" s="110"/>
      <c r="W133" s="111"/>
      <c r="X133" s="114"/>
      <c r="Y133" s="12"/>
      <c r="Z133" s="196"/>
      <c r="AA133" s="299"/>
      <c r="AB133" s="300"/>
      <c r="AC133" s="12"/>
      <c r="AD133" s="196"/>
      <c r="AE133" s="115"/>
      <c r="AF133" s="108"/>
      <c r="AG133" s="380"/>
    </row>
    <row r="134" spans="1:33" ht="15.75" customHeight="1">
      <c r="A134" s="303"/>
      <c r="B134" s="161"/>
      <c r="C134" s="297"/>
      <c r="D134" s="298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8"/>
      <c r="S134" s="46"/>
      <c r="T134" s="118"/>
      <c r="U134" s="109"/>
      <c r="V134" s="110"/>
      <c r="W134" s="111"/>
      <c r="X134" s="114"/>
      <c r="Y134" s="12"/>
      <c r="Z134" s="196"/>
      <c r="AA134" s="299"/>
      <c r="AB134" s="300"/>
      <c r="AC134" s="12"/>
      <c r="AD134" s="196"/>
      <c r="AE134" s="115"/>
      <c r="AF134" s="108"/>
      <c r="AG134" s="380"/>
    </row>
    <row r="135" spans="1:33" ht="15.75" customHeight="1">
      <c r="A135" s="303"/>
      <c r="B135" s="161"/>
      <c r="C135" s="297"/>
      <c r="D135" s="298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8"/>
      <c r="S135" s="46"/>
      <c r="T135" s="118"/>
      <c r="U135" s="109"/>
      <c r="V135" s="110"/>
      <c r="W135" s="111"/>
      <c r="X135" s="114"/>
      <c r="Y135" s="12"/>
      <c r="Z135" s="196"/>
      <c r="AA135" s="299"/>
      <c r="AB135" s="300"/>
      <c r="AC135" s="12"/>
      <c r="AD135" s="196"/>
      <c r="AE135" s="115"/>
      <c r="AF135" s="108"/>
      <c r="AG135" s="380"/>
    </row>
    <row r="136" spans="1:33" ht="15.75" customHeight="1">
      <c r="A136" s="303"/>
      <c r="B136" s="161"/>
      <c r="C136" s="297"/>
      <c r="D136" s="298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8"/>
      <c r="S136" s="46"/>
      <c r="T136" s="118"/>
      <c r="U136" s="109"/>
      <c r="V136" s="110"/>
      <c r="W136" s="111"/>
      <c r="X136" s="114"/>
      <c r="Y136" s="12"/>
      <c r="Z136" s="196"/>
      <c r="AA136" s="299"/>
      <c r="AB136" s="300"/>
      <c r="AC136" s="12"/>
      <c r="AD136" s="196"/>
      <c r="AE136" s="115"/>
      <c r="AF136" s="108"/>
      <c r="AG136" s="380"/>
    </row>
    <row r="137" spans="1:33" ht="15.75" customHeight="1">
      <c r="A137" s="303"/>
      <c r="B137" s="161"/>
      <c r="C137" s="297"/>
      <c r="D137" s="298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8"/>
      <c r="S137" s="46"/>
      <c r="T137" s="118"/>
      <c r="U137" s="109"/>
      <c r="V137" s="110"/>
      <c r="W137" s="181"/>
      <c r="X137" s="182"/>
      <c r="Y137" s="12"/>
      <c r="Z137" s="196"/>
      <c r="AA137" s="299"/>
      <c r="AB137" s="300"/>
      <c r="AC137" s="12"/>
      <c r="AD137" s="196"/>
      <c r="AE137" s="115"/>
      <c r="AF137" s="108"/>
      <c r="AG137" s="380"/>
    </row>
    <row r="138" spans="1:33" ht="15.75" customHeight="1">
      <c r="A138" s="303"/>
      <c r="B138" s="161"/>
      <c r="C138" s="297"/>
      <c r="D138" s="298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8"/>
      <c r="S138" s="46"/>
      <c r="T138" s="118"/>
      <c r="U138" s="109"/>
      <c r="V138" s="110"/>
      <c r="W138" s="183"/>
      <c r="X138" s="184"/>
      <c r="Y138" s="12"/>
      <c r="Z138" s="196"/>
      <c r="AA138" s="299"/>
      <c r="AB138" s="300"/>
      <c r="AC138" s="12"/>
      <c r="AD138" s="196"/>
      <c r="AE138" s="115"/>
      <c r="AF138" s="108"/>
      <c r="AG138" s="380"/>
    </row>
    <row r="139" spans="1:33" ht="15.75" customHeight="1">
      <c r="A139" s="303"/>
      <c r="B139" s="98"/>
      <c r="C139" s="297"/>
      <c r="D139" s="298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8"/>
      <c r="S139" s="46"/>
      <c r="T139" s="118"/>
      <c r="U139" s="128"/>
      <c r="V139" s="110"/>
      <c r="W139" s="183"/>
      <c r="X139" s="184"/>
      <c r="Y139" s="12"/>
      <c r="Z139" s="196"/>
      <c r="AA139" s="299"/>
      <c r="AB139" s="300"/>
      <c r="AC139" s="12"/>
      <c r="AD139" s="196"/>
      <c r="AE139" s="115"/>
      <c r="AF139" s="108"/>
      <c r="AG139" s="380"/>
    </row>
    <row r="140" spans="1:33" ht="15.75" customHeight="1" thickBot="1">
      <c r="A140" s="304"/>
      <c r="B140" s="131" t="s">
        <v>115</v>
      </c>
      <c r="C140" s="294"/>
      <c r="D140" s="294"/>
      <c r="E140" s="132"/>
      <c r="F140" s="165"/>
      <c r="G140" s="133"/>
      <c r="H140" s="67"/>
      <c r="I140" s="134">
        <f t="shared" ref="I140:J140" si="53">AVERAGE(I124:I139)</f>
        <v>23</v>
      </c>
      <c r="J140" s="135">
        <f t="shared" si="53"/>
        <v>2000</v>
      </c>
      <c r="K140" s="136">
        <f t="shared" ref="K140" si="54">J140/I140</f>
        <v>86.956521739130437</v>
      </c>
      <c r="L140" s="134">
        <f t="shared" ref="L140:M140" si="55">AVERAGE(L124:L139)</f>
        <v>23</v>
      </c>
      <c r="M140" s="135">
        <f t="shared" si="55"/>
        <v>1804.4879302017118</v>
      </c>
      <c r="N140" s="136">
        <f>M140/L140</f>
        <v>78.455996965291817</v>
      </c>
      <c r="O140" s="137">
        <f>L140-I140</f>
        <v>0</v>
      </c>
      <c r="P140" s="138">
        <f>N140-K140</f>
        <v>-8.5005247738386203</v>
      </c>
      <c r="Q140" s="139">
        <f>N140/K140</f>
        <v>0.90224396510085592</v>
      </c>
      <c r="R140" s="309"/>
      <c r="S140" s="140">
        <v>0.70833333333333337</v>
      </c>
      <c r="T140" s="141">
        <v>0.87991898148148151</v>
      </c>
      <c r="U140" s="142"/>
      <c r="V140" s="164"/>
      <c r="W140" s="185"/>
      <c r="X140" s="186"/>
      <c r="Y140" s="177">
        <f t="shared" ref="Y140:Z140" si="56">SUM(Y124:Y139)</f>
        <v>0</v>
      </c>
      <c r="Z140" s="178">
        <f t="shared" si="56"/>
        <v>0</v>
      </c>
      <c r="AA140" s="295"/>
      <c r="AB140" s="296"/>
      <c r="AC140" s="177">
        <f t="shared" ref="AC140:AD140" si="57">SUM(AC124:AC139)</f>
        <v>0</v>
      </c>
      <c r="AD140" s="178">
        <f t="shared" si="57"/>
        <v>0</v>
      </c>
      <c r="AE140" s="166">
        <f>M140-J140</f>
        <v>-195.51206979828817</v>
      </c>
      <c r="AF140" s="139">
        <f>M140/J140</f>
        <v>0.90224396510085592</v>
      </c>
      <c r="AG140" s="381"/>
    </row>
    <row r="142" spans="1:33">
      <c r="AA142" s="293" t="s">
        <v>147</v>
      </c>
      <c r="AB142" s="293"/>
    </row>
    <row r="143" spans="1:33">
      <c r="AA143" s="293" t="s">
        <v>148</v>
      </c>
      <c r="AB143" s="293"/>
    </row>
    <row r="144" spans="1:33">
      <c r="AA144" s="293" t="s">
        <v>149</v>
      </c>
      <c r="AB144" s="293"/>
    </row>
    <row r="145" spans="27:28">
      <c r="AA145" s="293" t="s">
        <v>150</v>
      </c>
      <c r="AB145" s="293"/>
    </row>
    <row r="146" spans="27:28">
      <c r="AA146" s="293" t="s">
        <v>151</v>
      </c>
      <c r="AB146" s="293"/>
    </row>
    <row r="147" spans="27:28">
      <c r="AA147" s="293" t="s">
        <v>152</v>
      </c>
      <c r="AB147" s="293"/>
    </row>
    <row r="148" spans="27:28">
      <c r="AA148" s="293" t="s">
        <v>153</v>
      </c>
      <c r="AB148" s="293"/>
    </row>
    <row r="149" spans="27:28">
      <c r="AA149" s="293" t="s">
        <v>154</v>
      </c>
      <c r="AB149" s="293"/>
    </row>
    <row r="150" spans="27:28">
      <c r="AA150" s="293" t="s">
        <v>155</v>
      </c>
      <c r="AB150" s="293"/>
    </row>
    <row r="151" spans="27:28">
      <c r="AA151" s="293" t="s">
        <v>156</v>
      </c>
      <c r="AB151" s="293"/>
    </row>
    <row r="152" spans="27:28">
      <c r="AA152" s="293" t="s">
        <v>157</v>
      </c>
      <c r="AB152" s="293"/>
    </row>
    <row r="153" spans="27:28">
      <c r="AA153" s="293" t="s">
        <v>158</v>
      </c>
      <c r="AB153" s="293"/>
    </row>
    <row r="154" spans="27:28">
      <c r="AA154" s="293" t="s">
        <v>159</v>
      </c>
      <c r="AB154" s="293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111:AB111"/>
    <mergeCell ref="C112:D112"/>
    <mergeCell ref="AA127:AB127"/>
    <mergeCell ref="C128:D128"/>
    <mergeCell ref="AA101:AB101"/>
    <mergeCell ref="C102:D102"/>
    <mergeCell ref="AA102:AB102"/>
    <mergeCell ref="C106:D106"/>
    <mergeCell ref="AA106:AB106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79" priority="2" operator="greaterThan">
      <formula>0</formula>
    </cfRule>
  </conditionalFormatting>
  <conditionalFormatting sqref="P5:P140 AE5:AE140">
    <cfRule type="cellIs" dxfId="78" priority="5" operator="lessThan">
      <formula>0</formula>
    </cfRule>
  </conditionalFormatting>
  <conditionalFormatting sqref="Q5:Q140 AF5:AF140">
    <cfRule type="cellIs" dxfId="77" priority="3" operator="greaterThan">
      <formula>1</formula>
    </cfRule>
    <cfRule type="cellIs" dxfId="76" priority="4" operator="lessThan">
      <formula>0.8</formula>
    </cfRule>
  </conditionalFormatting>
  <conditionalFormatting sqref="AG5 R5:R140 AG107:AG124">
    <cfRule type="cellIs" dxfId="75" priority="6" operator="lessThan">
      <formula>0.8</formula>
    </cfRule>
  </conditionalFormatting>
  <conditionalFormatting sqref="AG22">
    <cfRule type="cellIs" dxfId="74" priority="11" operator="lessThan">
      <formula>0.8</formula>
    </cfRule>
  </conditionalFormatting>
  <conditionalFormatting sqref="AG37">
    <cfRule type="cellIs" dxfId="73" priority="10" operator="lessThan">
      <formula>0.8</formula>
    </cfRule>
  </conditionalFormatting>
  <conditionalFormatting sqref="AG39:AG74">
    <cfRule type="cellIs" dxfId="72" priority="8" operator="lessThan">
      <formula>0.8</formula>
    </cfRule>
  </conditionalFormatting>
  <conditionalFormatting sqref="AG80:AG88">
    <cfRule type="cellIs" dxfId="71" priority="9" operator="lessThan">
      <formula>0.8</formula>
    </cfRule>
  </conditionalFormatting>
  <conditionalFormatting sqref="AG90:AG95">
    <cfRule type="cellIs" dxfId="70" priority="7" operator="lessThan">
      <formula>0.8</formula>
    </cfRule>
  </conditionalFormatting>
  <conditionalFormatting sqref="AG139">
    <cfRule type="cellIs" dxfId="69" priority="1" operator="lessThan">
      <formula>0.8</formula>
    </cfRule>
  </conditionalFormatting>
  <dataValidations count="1">
    <dataValidation type="list" allowBlank="1" showInputMessage="1" showErrorMessage="1" sqref="AA5:AB140" xr:uid="{837C2603-A2F2-4214-A7E5-E054F288254F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F32C0-0E14-4017-9F96-819BFA164FA4}">
  <sheetPr>
    <tabColor theme="9" tint="0.59999389629810485"/>
  </sheetPr>
  <dimension ref="B1:AR42"/>
  <sheetViews>
    <sheetView zoomScale="70" zoomScaleNormal="70" workbookViewId="0">
      <selection activeCell="J48" sqref="J48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0" t="s">
        <v>0</v>
      </c>
      <c r="C1" s="280"/>
      <c r="D1" s="280"/>
      <c r="E1" s="280"/>
      <c r="F1" s="280"/>
      <c r="G1" s="280"/>
      <c r="H1" s="280"/>
      <c r="I1" s="280"/>
      <c r="J1" s="280"/>
      <c r="K1" s="1"/>
      <c r="L1" s="1"/>
      <c r="M1" s="1"/>
      <c r="N1" s="1"/>
      <c r="O1" s="1"/>
      <c r="P1" s="1"/>
    </row>
    <row r="2" spans="2:34" ht="27.75" customHeight="1">
      <c r="B2" s="281"/>
      <c r="C2" s="281"/>
      <c r="D2" s="281"/>
      <c r="E2" s="281"/>
      <c r="F2" s="281"/>
      <c r="G2" s="281"/>
      <c r="H2" s="281"/>
      <c r="I2" s="281"/>
      <c r="J2" s="28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2" t="s">
        <v>228</v>
      </c>
      <c r="D3" s="283"/>
      <c r="E3" s="3" t="s">
        <v>2</v>
      </c>
      <c r="F3" s="284">
        <f>'1003(18度C)'!D1+'1003(4度C)'!D1</f>
        <v>120922</v>
      </c>
      <c r="G3" s="285"/>
      <c r="H3" s="3" t="s">
        <v>3</v>
      </c>
      <c r="I3" s="286">
        <f>'1003(18度C)'!F1+'1003(4度C)'!F1</f>
        <v>3760894.9299999997</v>
      </c>
      <c r="J3" s="287"/>
      <c r="K3" s="4"/>
      <c r="L3" s="5"/>
      <c r="M3" s="1"/>
      <c r="N3" s="1"/>
      <c r="O3" s="1"/>
      <c r="P3" s="1"/>
    </row>
    <row r="4" spans="2:34" ht="28.5" customHeight="1">
      <c r="B4" s="288" t="s">
        <v>4</v>
      </c>
      <c r="C4" s="268" t="s">
        <v>5</v>
      </c>
      <c r="D4" s="269"/>
      <c r="E4" s="291" t="s">
        <v>6</v>
      </c>
      <c r="F4" s="292"/>
      <c r="G4" s="291" t="s">
        <v>7</v>
      </c>
      <c r="H4" s="292"/>
      <c r="I4" s="291" t="s">
        <v>8</v>
      </c>
      <c r="J4" s="292"/>
      <c r="K4" s="264" t="s">
        <v>9</v>
      </c>
      <c r="L4" s="265"/>
      <c r="M4" s="264" t="s">
        <v>10</v>
      </c>
      <c r="N4" s="265"/>
      <c r="O4" s="266" t="s">
        <v>11</v>
      </c>
      <c r="P4" s="267"/>
      <c r="Q4" s="267" t="s">
        <v>12</v>
      </c>
      <c r="R4" s="267"/>
    </row>
    <row r="5" spans="2:34" ht="28.5" customHeight="1">
      <c r="B5" s="289"/>
      <c r="C5" s="268" t="s">
        <v>13</v>
      </c>
      <c r="D5" s="269"/>
      <c r="E5" s="270" t="s">
        <v>14</v>
      </c>
      <c r="F5" s="271"/>
      <c r="G5" s="272" t="s">
        <v>15</v>
      </c>
      <c r="H5" s="273"/>
      <c r="I5" s="274" t="s">
        <v>16</v>
      </c>
      <c r="J5" s="275"/>
      <c r="K5" s="276" t="s">
        <v>17</v>
      </c>
      <c r="L5" s="277"/>
      <c r="M5" s="278" t="s">
        <v>18</v>
      </c>
      <c r="N5" s="27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9"/>
      <c r="C6" s="268" t="s">
        <v>22</v>
      </c>
      <c r="D6" s="269"/>
      <c r="E6" s="258">
        <f>AVERAGE(D14:O14,D32:X32)</f>
        <v>474.54095580375059</v>
      </c>
      <c r="F6" s="259" t="e">
        <f>AVERAGE(#REF!,D14:K14)</f>
        <v>#REF!</v>
      </c>
      <c r="G6" s="260">
        <f>AVERAGE(D14:K14)</f>
        <v>277.63526672682565</v>
      </c>
      <c r="H6" s="261"/>
      <c r="I6" s="260">
        <f>AVERAGE(L14:O14)</f>
        <v>94.325718496683862</v>
      </c>
      <c r="J6" s="261"/>
      <c r="K6" s="260">
        <f>AVERAGE(D32:O32)</f>
        <v>716.2788331071913</v>
      </c>
      <c r="L6" s="261"/>
      <c r="M6" s="260">
        <f>AVERAGE(P32:X32)</f>
        <v>718.26923076923072</v>
      </c>
      <c r="N6" s="261"/>
      <c r="O6" s="249">
        <f>'1003(4度C)'!Y2</f>
        <v>0</v>
      </c>
      <c r="P6" s="249">
        <f>'1003(4度C)'!Z2</f>
        <v>0</v>
      </c>
      <c r="Q6" s="249">
        <f>'1003(4度C)'!AC2</f>
        <v>0</v>
      </c>
      <c r="R6" s="249">
        <f>'1003(4度C)'!AD2</f>
        <v>0</v>
      </c>
    </row>
    <row r="7" spans="2:34" ht="28.5" customHeight="1">
      <c r="B7" s="289"/>
      <c r="C7" s="252" t="s">
        <v>23</v>
      </c>
      <c r="D7" s="253"/>
      <c r="E7" s="254">
        <f>AVERAGE(D15:O15,D33:X33)</f>
        <v>432.31563302601518</v>
      </c>
      <c r="F7" s="255" t="e">
        <f>AVERAGE(#REF!,D15:K15)</f>
        <v>#REF!</v>
      </c>
      <c r="G7" s="256">
        <f>AVERAGE(D15:K15)</f>
        <v>250.99157069025716</v>
      </c>
      <c r="H7" s="257"/>
      <c r="I7" s="256">
        <f>AVERAGE(L15:O15)</f>
        <v>87.599090615151084</v>
      </c>
      <c r="J7" s="257"/>
      <c r="K7" s="256">
        <f>AVERAGE(D33:O33)</f>
        <v>653.06764392843138</v>
      </c>
      <c r="L7" s="257"/>
      <c r="M7" s="256">
        <f>AVERAGE(P33:X33)</f>
        <v>655.90798683266837</v>
      </c>
      <c r="N7" s="257"/>
      <c r="O7" s="250"/>
      <c r="P7" s="250"/>
      <c r="Q7" s="250"/>
      <c r="R7" s="250"/>
    </row>
    <row r="8" spans="2:34" ht="28.5" customHeight="1">
      <c r="B8" s="290"/>
      <c r="C8" s="252" t="s">
        <v>24</v>
      </c>
      <c r="D8" s="253"/>
      <c r="E8" s="262">
        <f>AVERAGE(D16:O16,D34:X34)</f>
        <v>0.90758245204390509</v>
      </c>
      <c r="F8" s="263" t="e">
        <f>AVERAGE(D16:K16,#REF!)</f>
        <v>#REF!</v>
      </c>
      <c r="G8" s="241">
        <f>AVERAGE(D16:K16)</f>
        <v>0.90276567796929053</v>
      </c>
      <c r="H8" s="242"/>
      <c r="I8" s="241">
        <f>AVERAGE(L16:O16)</f>
        <v>0.92677347064566606</v>
      </c>
      <c r="J8" s="242"/>
      <c r="K8" s="241">
        <f>AVERAGE(D34:O34)</f>
        <v>0.90660373055480414</v>
      </c>
      <c r="L8" s="242"/>
      <c r="M8" s="241">
        <f>AVERAGE(P34:X34)</f>
        <v>0.90619082534404694</v>
      </c>
      <c r="N8" s="242"/>
      <c r="O8" s="251"/>
      <c r="P8" s="251"/>
      <c r="Q8" s="251"/>
      <c r="R8" s="25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9" t="s">
        <v>26</v>
      </c>
      <c r="C11" s="220"/>
      <c r="D11" s="243" t="s">
        <v>27</v>
      </c>
      <c r="E11" s="244"/>
      <c r="F11" s="244"/>
      <c r="G11" s="244"/>
      <c r="H11" s="244"/>
      <c r="I11" s="244"/>
      <c r="J11" s="244"/>
      <c r="K11" s="244"/>
      <c r="L11" s="245" t="s">
        <v>28</v>
      </c>
      <c r="M11" s="246"/>
      <c r="N11" s="246"/>
      <c r="O11" s="247"/>
    </row>
    <row r="12" spans="2:34" ht="17.25" customHeight="1">
      <c r="B12" s="235" t="s">
        <v>29</v>
      </c>
      <c r="C12" s="23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5"/>
      <c r="C13" s="23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U13" s="205"/>
      <c r="AB13" s="25"/>
      <c r="AC13" s="25"/>
      <c r="AD13" s="25"/>
      <c r="AE13" s="25"/>
    </row>
    <row r="14" spans="2:34" ht="40.15" customHeight="1">
      <c r="B14" s="248" t="s">
        <v>40</v>
      </c>
      <c r="C14" s="26" t="s">
        <v>41</v>
      </c>
      <c r="D14" s="27" t="s">
        <v>42</v>
      </c>
      <c r="E14" s="28">
        <v>85.245901639344268</v>
      </c>
      <c r="F14" s="28">
        <v>121.06796116504853</v>
      </c>
      <c r="G14" s="28">
        <v>88.235294117647058</v>
      </c>
      <c r="H14" s="28">
        <v>184.61538461538461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8"/>
      <c r="C15" s="33" t="s">
        <v>43</v>
      </c>
      <c r="D15" s="34" t="s">
        <v>42</v>
      </c>
      <c r="E15" s="35">
        <v>76.9795458809878</v>
      </c>
      <c r="F15" s="35">
        <v>109.21070613016173</v>
      </c>
      <c r="G15" s="35">
        <v>79.664855620873382</v>
      </c>
      <c r="H15" s="35">
        <v>165.7431631312318</v>
      </c>
      <c r="I15" s="35">
        <v>440.79487208195656</v>
      </c>
      <c r="J15" s="35">
        <v>633.55628129633169</v>
      </c>
      <c r="K15" s="36" t="s">
        <v>42</v>
      </c>
      <c r="L15" s="34" t="s">
        <v>42</v>
      </c>
      <c r="M15" s="204">
        <v>96.7392857142857</v>
      </c>
      <c r="N15" s="35">
        <v>78.458895516016455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8"/>
      <c r="C16" s="40" t="s">
        <v>44</v>
      </c>
      <c r="D16" s="41" t="s">
        <v>42</v>
      </c>
      <c r="E16" s="42">
        <f t="shared" ref="E16:J16" si="0">E15/E14</f>
        <v>0.90302928821927986</v>
      </c>
      <c r="F16" s="42">
        <f t="shared" si="0"/>
        <v>0.90206116530927494</v>
      </c>
      <c r="G16" s="42">
        <f t="shared" si="0"/>
        <v>0.90286836370323165</v>
      </c>
      <c r="H16" s="42">
        <f t="shared" si="0"/>
        <v>0.89777546696083887</v>
      </c>
      <c r="I16" s="42">
        <f t="shared" si="0"/>
        <v>0.90577938177121509</v>
      </c>
      <c r="J16" s="42">
        <f t="shared" si="0"/>
        <v>0.90508040185190242</v>
      </c>
      <c r="K16" s="43" t="s">
        <v>42</v>
      </c>
      <c r="L16" s="41" t="s">
        <v>42</v>
      </c>
      <c r="M16" s="44">
        <f>M15/M14</f>
        <v>0.95126964285714277</v>
      </c>
      <c r="N16" s="42">
        <f>N15/N14</f>
        <v>0.90227729843418925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34" t="s">
        <v>45</v>
      </c>
      <c r="C17" s="13" t="s">
        <v>46</v>
      </c>
      <c r="D17" s="46" t="s">
        <v>42</v>
      </c>
      <c r="E17" s="47">
        <v>0.25</v>
      </c>
      <c r="F17" s="47">
        <v>0.25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5"/>
      <c r="C18" s="13" t="s">
        <v>47</v>
      </c>
      <c r="D18" s="46" t="s">
        <v>42</v>
      </c>
      <c r="E18" s="47">
        <v>0.6067245370370371</v>
      </c>
      <c r="F18" s="47">
        <v>0.44613425925925915</v>
      </c>
      <c r="G18" s="47">
        <v>0.53259259259259251</v>
      </c>
      <c r="H18" s="47">
        <v>0.38552083333333331</v>
      </c>
      <c r="I18" s="47">
        <v>0.4143402777777776</v>
      </c>
      <c r="J18" s="47">
        <v>0.28923611111111108</v>
      </c>
      <c r="K18" s="47" t="s">
        <v>42</v>
      </c>
      <c r="L18" s="46" t="s">
        <v>42</v>
      </c>
      <c r="M18" s="48">
        <v>0.81170138888888888</v>
      </c>
      <c r="N18" s="47">
        <v>0.84915509259259259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6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7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6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7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5" t="s">
        <v>53</v>
      </c>
      <c r="C23" s="238"/>
      <c r="D23" s="56" t="s">
        <v>42</v>
      </c>
      <c r="E23" s="57">
        <v>20.333333333333332</v>
      </c>
      <c r="F23" s="57">
        <v>21.2</v>
      </c>
      <c r="G23" s="57">
        <v>22.666666666666668</v>
      </c>
      <c r="H23" s="57">
        <v>19.5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9" t="s">
        <v>54</v>
      </c>
      <c r="C24" s="240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9" t="s">
        <v>59</v>
      </c>
      <c r="C25" s="240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7" t="s">
        <v>60</v>
      </c>
      <c r="C26" s="218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9" t="s">
        <v>26</v>
      </c>
      <c r="C29" s="220"/>
      <c r="D29" s="221" t="s">
        <v>64</v>
      </c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3"/>
      <c r="P29" s="224" t="s">
        <v>65</v>
      </c>
      <c r="Q29" s="225"/>
      <c r="R29" s="225"/>
      <c r="S29" s="225"/>
      <c r="T29" s="225"/>
      <c r="U29" s="225"/>
      <c r="V29" s="225"/>
      <c r="W29" s="225"/>
      <c r="X29" s="226"/>
    </row>
    <row r="30" spans="2:44" ht="17.25" customHeight="1">
      <c r="B30" s="227" t="s">
        <v>29</v>
      </c>
      <c r="C30" s="22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9"/>
      <c r="C31" s="230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3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322.38805970149258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750</v>
      </c>
      <c r="N32" s="28">
        <v>920</v>
      </c>
      <c r="O32" s="28">
        <v>872.72727272727275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750</v>
      </c>
      <c r="W32" s="28">
        <v>923.07692307692298</v>
      </c>
      <c r="X32" s="31">
        <v>900</v>
      </c>
    </row>
    <row r="33" spans="2:24" ht="39.6" customHeight="1">
      <c r="B33" s="232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283.02160068060459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689.69723528920053</v>
      </c>
      <c r="N33" s="35">
        <v>844.56854000334499</v>
      </c>
      <c r="O33" s="35">
        <v>794.9831997405754</v>
      </c>
      <c r="P33" s="34">
        <v>260.10177158529615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697.98697238270063</v>
      </c>
      <c r="W33" s="35">
        <v>845.83654956945998</v>
      </c>
      <c r="X33" s="37">
        <v>819.70665379321656</v>
      </c>
    </row>
    <row r="34" spans="2:24" ht="40.15" customHeight="1">
      <c r="B34" s="233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0.87789107618520856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0.91959631371893402</v>
      </c>
      <c r="N34" s="42">
        <f>N33/N32</f>
        <v>0.9180092826123315</v>
      </c>
      <c r="O34" s="42">
        <f>O33/O32</f>
        <v>0.9109182497027426</v>
      </c>
      <c r="P34" s="41">
        <f>P33/P32</f>
        <v>0.86700590528432053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0.93064929651026751</v>
      </c>
      <c r="W34" s="42">
        <f>W33/W32</f>
        <v>0.91632292870024845</v>
      </c>
      <c r="X34" s="45">
        <f>X33/X32</f>
        <v>0.91078517088135169</v>
      </c>
    </row>
    <row r="35" spans="2:24" ht="17.25" customHeight="1">
      <c r="B35" s="211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0.30624999999999997</v>
      </c>
      <c r="N35" s="47">
        <v>0.25</v>
      </c>
      <c r="O35" s="47">
        <v>0.25</v>
      </c>
      <c r="P35" s="46">
        <v>0.73749999999999993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0.7319444444444444</v>
      </c>
      <c r="X35" s="49">
        <v>0.7319444444444444</v>
      </c>
    </row>
    <row r="36" spans="2:24" ht="17.25" customHeight="1">
      <c r="B36" s="212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0.4143402777777776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0.36796296296296294</v>
      </c>
      <c r="N36" s="47">
        <v>0.42571759259259268</v>
      </c>
      <c r="O36" s="47">
        <v>0.42209490740740757</v>
      </c>
      <c r="P36" s="46">
        <v>0.75008101851851849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0.7201967592592593</v>
      </c>
      <c r="W36" s="47">
        <v>1.0954050925925918</v>
      </c>
      <c r="X36" s="49">
        <v>1.0840972222222216</v>
      </c>
    </row>
    <row r="37" spans="2:24" ht="17.25" customHeight="1">
      <c r="B37" s="213" t="s">
        <v>53</v>
      </c>
      <c r="C37" s="214"/>
      <c r="D37" s="57" t="s">
        <v>42</v>
      </c>
      <c r="E37" s="57" t="s">
        <v>42</v>
      </c>
      <c r="F37" s="57" t="s">
        <v>42</v>
      </c>
      <c r="G37" s="57">
        <v>11.166666666666666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3.75</v>
      </c>
      <c r="O37" s="57">
        <v>4.125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</v>
      </c>
      <c r="W37" s="57">
        <v>3.7142857142857144</v>
      </c>
      <c r="X37" s="59">
        <v>4</v>
      </c>
    </row>
    <row r="38" spans="2:24" ht="17.25" customHeight="1">
      <c r="B38" s="213" t="s">
        <v>54</v>
      </c>
      <c r="C38" s="214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13" t="s">
        <v>59</v>
      </c>
      <c r="C39" s="21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5" t="s">
        <v>60</v>
      </c>
      <c r="C40" s="21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B2ED5-8B3F-4C3B-80D3-C39D10F12CE5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J48" sqref="J48"/>
      <selection pane="bottomLeft" activeCell="J48" sqref="J48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64163</v>
      </c>
      <c r="E1" s="86" t="s">
        <v>3</v>
      </c>
      <c r="F1" s="87">
        <f>SUM(G5:G140)</f>
        <v>1266322.9400000002</v>
      </c>
      <c r="G1" s="88" t="s">
        <v>84</v>
      </c>
      <c r="H1" s="89" t="e">
        <f>#REF!+#REF!+#REF!+#REF!+L21+#REF!+L38+L55+L72+#REF!+#REF!+L89+L106+L123+L140</f>
        <v>#REF!</v>
      </c>
      <c r="I1" s="359" t="s">
        <v>85</v>
      </c>
      <c r="J1" s="360"/>
      <c r="K1" s="361"/>
      <c r="L1" s="365" t="s">
        <v>86</v>
      </c>
      <c r="M1" s="366"/>
      <c r="N1" s="367"/>
      <c r="O1" s="360" t="s">
        <v>87</v>
      </c>
      <c r="P1" s="360"/>
      <c r="Q1" s="360"/>
      <c r="R1" s="371"/>
      <c r="S1" s="359" t="s">
        <v>88</v>
      </c>
      <c r="T1" s="360"/>
      <c r="U1" s="360"/>
      <c r="V1" s="360"/>
      <c r="W1" s="360"/>
      <c r="X1" s="371"/>
      <c r="Y1" s="360" t="s">
        <v>89</v>
      </c>
      <c r="Z1" s="360"/>
      <c r="AA1" s="359" t="s">
        <v>90</v>
      </c>
      <c r="AB1" s="374"/>
      <c r="AC1" s="375"/>
    </row>
    <row r="2" spans="1:29" ht="26.25" customHeight="1" thickBot="1">
      <c r="A2" s="352">
        <v>46298</v>
      </c>
      <c r="B2" s="353"/>
      <c r="C2" s="90" t="s">
        <v>40</v>
      </c>
      <c r="D2" s="91" t="e">
        <f>AVERAGE(#REF!,#REF!,#REF!,#REF!,N21,#REF!,N38,N55,N72,#REF!,#REF!,N89,N106,N123,N140)</f>
        <v>#REF!</v>
      </c>
      <c r="E2" s="91" t="s">
        <v>91</v>
      </c>
      <c r="F2" s="92">
        <f>F1/D1</f>
        <v>19.736030734223778</v>
      </c>
      <c r="G2" s="93" t="s">
        <v>92</v>
      </c>
      <c r="H2" s="94">
        <f>COUNT(H5:H140)</f>
        <v>14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93</v>
      </c>
      <c r="B3" s="356" t="s">
        <v>94</v>
      </c>
      <c r="C3" s="326" t="s">
        <v>95</v>
      </c>
      <c r="D3" s="326"/>
      <c r="E3" s="346" t="s">
        <v>96</v>
      </c>
      <c r="F3" s="326" t="s">
        <v>97</v>
      </c>
      <c r="G3" s="346" t="s">
        <v>98</v>
      </c>
      <c r="H3" s="348" t="s">
        <v>99</v>
      </c>
      <c r="I3" s="338" t="s">
        <v>100</v>
      </c>
      <c r="J3" s="334" t="s">
        <v>101</v>
      </c>
      <c r="K3" s="336" t="s">
        <v>40</v>
      </c>
      <c r="L3" s="350" t="s">
        <v>100</v>
      </c>
      <c r="M3" s="334" t="s">
        <v>101</v>
      </c>
      <c r="N3" s="336" t="s">
        <v>40</v>
      </c>
      <c r="O3" s="338" t="s">
        <v>100</v>
      </c>
      <c r="P3" s="340" t="s">
        <v>40</v>
      </c>
      <c r="Q3" s="342" t="s">
        <v>102</v>
      </c>
      <c r="R3" s="344" t="s">
        <v>103</v>
      </c>
      <c r="S3" s="322" t="s">
        <v>104</v>
      </c>
      <c r="T3" s="323"/>
      <c r="U3" s="324" t="s">
        <v>105</v>
      </c>
      <c r="V3" s="324" t="s">
        <v>106</v>
      </c>
      <c r="W3" s="326" t="s">
        <v>107</v>
      </c>
      <c r="X3" s="327"/>
      <c r="Y3" s="328" t="s">
        <v>108</v>
      </c>
      <c r="Z3" s="329"/>
      <c r="AA3" s="332" t="s">
        <v>101</v>
      </c>
      <c r="AB3" s="318" t="s">
        <v>102</v>
      </c>
      <c r="AC3" s="320" t="s">
        <v>109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201" t="s">
        <v>110</v>
      </c>
      <c r="T4" s="202" t="s">
        <v>111</v>
      </c>
      <c r="U4" s="325"/>
      <c r="V4" s="325"/>
      <c r="W4" s="97" t="s">
        <v>112</v>
      </c>
      <c r="X4" s="67" t="s">
        <v>113</v>
      </c>
      <c r="Y4" s="330"/>
      <c r="Z4" s="331"/>
      <c r="AA4" s="333"/>
      <c r="AB4" s="319"/>
      <c r="AC4" s="321"/>
    </row>
    <row r="5" spans="1:29" ht="15.75" customHeight="1">
      <c r="A5" s="315" t="s">
        <v>116</v>
      </c>
      <c r="B5" s="144" t="s">
        <v>114</v>
      </c>
      <c r="C5" s="305" t="s">
        <v>117</v>
      </c>
      <c r="D5" s="306"/>
      <c r="E5" s="145">
        <v>25.64</v>
      </c>
      <c r="F5" s="95">
        <v>842</v>
      </c>
      <c r="G5" s="146">
        <f t="shared" ref="G5:G10" si="0">E5*F5</f>
        <v>21588.880000000001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 t="shared" ref="M5:M10" si="1">F5/V5*60</f>
        <v>3215.4495511531827</v>
      </c>
      <c r="N5" s="150">
        <f t="shared" ref="N5:N10" si="2">M5/L5</f>
        <v>321.54495511531826</v>
      </c>
      <c r="O5" s="152">
        <f t="shared" ref="O5:O10" si="3">L5-I5</f>
        <v>0</v>
      </c>
      <c r="P5" s="153">
        <f t="shared" ref="P5:P10" si="4">N5-K5</f>
        <v>-38.45504488468174</v>
      </c>
      <c r="Q5" s="154">
        <f t="shared" ref="Q5:Q10" si="5">N5/K5</f>
        <v>0.89318043087588406</v>
      </c>
      <c r="R5" s="307">
        <f>Q21</f>
        <v>0.87789107618520856</v>
      </c>
      <c r="S5" s="155">
        <v>0.25</v>
      </c>
      <c r="T5" s="156">
        <v>0.26090277777777776</v>
      </c>
      <c r="U5" s="157"/>
      <c r="V5" s="158">
        <v>15.711644420569934</v>
      </c>
      <c r="W5" s="159"/>
      <c r="X5" s="160"/>
      <c r="Y5" s="310"/>
      <c r="Z5" s="311"/>
      <c r="AA5" s="113">
        <f t="shared" ref="AA5:AA10" si="6">M5-J5</f>
        <v>-384.55044884681729</v>
      </c>
      <c r="AB5" s="154">
        <f t="shared" ref="AB5:AB10" si="7">M5/J5</f>
        <v>0.89318043087588406</v>
      </c>
      <c r="AC5" s="312">
        <f>AB21</f>
        <v>0.87789107618520867</v>
      </c>
    </row>
    <row r="6" spans="1:29" ht="15.75" customHeight="1">
      <c r="A6" s="316"/>
      <c r="B6" s="98" t="s">
        <v>114</v>
      </c>
      <c r="C6" s="297" t="s">
        <v>191</v>
      </c>
      <c r="D6" s="298"/>
      <c r="E6" s="99">
        <v>29.52</v>
      </c>
      <c r="F6" s="100">
        <v>1368</v>
      </c>
      <c r="G6" s="101">
        <f t="shared" si="0"/>
        <v>40383.360000000001</v>
      </c>
      <c r="H6" s="26"/>
      <c r="I6" s="102">
        <v>11</v>
      </c>
      <c r="J6" s="103">
        <v>3600</v>
      </c>
      <c r="K6" s="104">
        <f t="shared" ref="K6:K10" si="8">J6/I6</f>
        <v>327.27272727272725</v>
      </c>
      <c r="L6" s="105">
        <v>11</v>
      </c>
      <c r="M6" s="103">
        <f t="shared" si="1"/>
        <v>3156.4434890742377</v>
      </c>
      <c r="N6" s="104">
        <f t="shared" si="2"/>
        <v>286.94940809765797</v>
      </c>
      <c r="O6" s="106">
        <f t="shared" si="3"/>
        <v>0</v>
      </c>
      <c r="P6" s="107">
        <f t="shared" si="4"/>
        <v>-40.323319175069287</v>
      </c>
      <c r="Q6" s="108">
        <f t="shared" si="5"/>
        <v>0.87678985807617715</v>
      </c>
      <c r="R6" s="308"/>
      <c r="S6" s="46">
        <v>0.26458333333333334</v>
      </c>
      <c r="T6" s="47">
        <v>0.28263888888888888</v>
      </c>
      <c r="U6" s="109">
        <v>5.3000000000000291</v>
      </c>
      <c r="V6" s="110">
        <v>26.003950422085168</v>
      </c>
      <c r="W6" s="111"/>
      <c r="X6" s="114"/>
      <c r="Y6" s="299"/>
      <c r="Z6" s="300"/>
      <c r="AA6" s="115">
        <f t="shared" si="6"/>
        <v>-443.55651092576227</v>
      </c>
      <c r="AB6" s="108">
        <f t="shared" si="7"/>
        <v>0.87678985807617715</v>
      </c>
      <c r="AC6" s="313"/>
    </row>
    <row r="7" spans="1:29" ht="15.75" customHeight="1">
      <c r="A7" s="316"/>
      <c r="B7" s="98" t="s">
        <v>114</v>
      </c>
      <c r="C7" s="297" t="s">
        <v>192</v>
      </c>
      <c r="D7" s="298"/>
      <c r="E7" s="99">
        <v>29.85</v>
      </c>
      <c r="F7" s="100">
        <v>1676</v>
      </c>
      <c r="G7" s="101">
        <f t="shared" si="0"/>
        <v>50028.600000000006</v>
      </c>
      <c r="H7" s="26"/>
      <c r="I7" s="102">
        <v>11</v>
      </c>
      <c r="J7" s="103">
        <v>3600</v>
      </c>
      <c r="K7" s="104">
        <f t="shared" si="8"/>
        <v>327.27272727272725</v>
      </c>
      <c r="L7" s="105">
        <v>11</v>
      </c>
      <c r="M7" s="103">
        <f t="shared" si="1"/>
        <v>3155.4904513590132</v>
      </c>
      <c r="N7" s="104">
        <f t="shared" si="2"/>
        <v>286.86276830536485</v>
      </c>
      <c r="O7" s="106">
        <f t="shared" si="3"/>
        <v>0</v>
      </c>
      <c r="P7" s="107">
        <f t="shared" si="4"/>
        <v>-40.4099589673624</v>
      </c>
      <c r="Q7" s="108">
        <f t="shared" si="5"/>
        <v>0.87652512537750382</v>
      </c>
      <c r="R7" s="308"/>
      <c r="S7" s="46">
        <v>0.28680555555555554</v>
      </c>
      <c r="T7" s="47">
        <v>0.30893518518518515</v>
      </c>
      <c r="U7" s="109">
        <v>5.9999999999999787</v>
      </c>
      <c r="V7" s="110">
        <v>31.868263127429401</v>
      </c>
      <c r="W7" s="111"/>
      <c r="X7" s="114"/>
      <c r="Y7" s="299"/>
      <c r="Z7" s="300"/>
      <c r="AA7" s="115">
        <f t="shared" si="6"/>
        <v>-444.50954864098685</v>
      </c>
      <c r="AB7" s="108">
        <f t="shared" si="7"/>
        <v>0.8765251253775036</v>
      </c>
      <c r="AC7" s="313"/>
    </row>
    <row r="8" spans="1:29" ht="15.75" customHeight="1">
      <c r="A8" s="316"/>
      <c r="B8" s="98" t="s">
        <v>114</v>
      </c>
      <c r="C8" s="297" t="s">
        <v>208</v>
      </c>
      <c r="D8" s="298"/>
      <c r="E8" s="99">
        <v>30</v>
      </c>
      <c r="F8" s="100">
        <v>99</v>
      </c>
      <c r="G8" s="101">
        <f t="shared" si="0"/>
        <v>2970</v>
      </c>
      <c r="H8" s="26"/>
      <c r="I8" s="102">
        <v>11</v>
      </c>
      <c r="J8" s="103">
        <v>3600</v>
      </c>
      <c r="K8" s="104">
        <f t="shared" si="8"/>
        <v>327.27272727272725</v>
      </c>
      <c r="L8" s="105">
        <v>11</v>
      </c>
      <c r="M8" s="103">
        <f t="shared" si="1"/>
        <v>3157.347290250761</v>
      </c>
      <c r="N8" s="104">
        <f t="shared" si="2"/>
        <v>287.0315718409783</v>
      </c>
      <c r="O8" s="106">
        <f t="shared" si="3"/>
        <v>0</v>
      </c>
      <c r="P8" s="107">
        <f t="shared" si="4"/>
        <v>-40.24115543174895</v>
      </c>
      <c r="Q8" s="108">
        <f t="shared" si="5"/>
        <v>0.87704091395854489</v>
      </c>
      <c r="R8" s="308"/>
      <c r="S8" s="46">
        <v>0.3118055555555555</v>
      </c>
      <c r="T8" s="47">
        <v>0.3131018518518518</v>
      </c>
      <c r="U8" s="109">
        <v>5</v>
      </c>
      <c r="V8" s="110">
        <v>1.8813261431016786</v>
      </c>
      <c r="W8" s="111"/>
      <c r="X8" s="114"/>
      <c r="Y8" s="299"/>
      <c r="Z8" s="300"/>
      <c r="AA8" s="115">
        <f t="shared" si="6"/>
        <v>-442.65270974923897</v>
      </c>
      <c r="AB8" s="108">
        <f t="shared" si="7"/>
        <v>0.87704091395854478</v>
      </c>
      <c r="AC8" s="313"/>
    </row>
    <row r="9" spans="1:29" ht="15.75" customHeight="1">
      <c r="A9" s="316"/>
      <c r="B9" s="98" t="s">
        <v>114</v>
      </c>
      <c r="C9" s="297" t="s">
        <v>224</v>
      </c>
      <c r="D9" s="298"/>
      <c r="E9" s="99">
        <v>30.95</v>
      </c>
      <c r="F9" s="100">
        <v>2183</v>
      </c>
      <c r="G9" s="101">
        <f t="shared" si="0"/>
        <v>67563.849999999991</v>
      </c>
      <c r="H9" s="13"/>
      <c r="I9" s="102">
        <v>12</v>
      </c>
      <c r="J9" s="103">
        <v>3600</v>
      </c>
      <c r="K9" s="104">
        <f t="shared" si="8"/>
        <v>300</v>
      </c>
      <c r="L9" s="105">
        <v>12</v>
      </c>
      <c r="M9" s="103">
        <f t="shared" si="1"/>
        <v>3156.729008064478</v>
      </c>
      <c r="N9" s="104">
        <f t="shared" si="2"/>
        <v>263.06075067203983</v>
      </c>
      <c r="O9" s="106">
        <f t="shared" si="3"/>
        <v>0</v>
      </c>
      <c r="P9" s="107">
        <f t="shared" si="4"/>
        <v>-36.939249327960169</v>
      </c>
      <c r="Q9" s="108">
        <f t="shared" si="5"/>
        <v>0.87686916890679945</v>
      </c>
      <c r="R9" s="308"/>
      <c r="S9" s="46">
        <v>0.3166666666666666</v>
      </c>
      <c r="T9" s="47">
        <v>0.34547453703703696</v>
      </c>
      <c r="U9" s="109">
        <v>5.1333333333333098</v>
      </c>
      <c r="V9" s="110">
        <v>41.492316782779298</v>
      </c>
      <c r="W9" s="111"/>
      <c r="X9" s="114"/>
      <c r="Y9" s="299"/>
      <c r="Z9" s="300"/>
      <c r="AA9" s="115">
        <f t="shared" si="6"/>
        <v>-443.27099193552203</v>
      </c>
      <c r="AB9" s="108">
        <f t="shared" si="7"/>
        <v>0.87686916890679945</v>
      </c>
      <c r="AC9" s="313"/>
    </row>
    <row r="10" spans="1:29" ht="15.75" customHeight="1">
      <c r="A10" s="316"/>
      <c r="B10" s="98" t="s">
        <v>118</v>
      </c>
      <c r="C10" s="297" t="s">
        <v>119</v>
      </c>
      <c r="D10" s="298"/>
      <c r="E10" s="99">
        <v>28.57</v>
      </c>
      <c r="F10" s="100">
        <v>508</v>
      </c>
      <c r="G10" s="119">
        <f t="shared" si="0"/>
        <v>14513.56</v>
      </c>
      <c r="H10" s="120"/>
      <c r="I10" s="102">
        <v>12</v>
      </c>
      <c r="J10" s="103">
        <v>3600</v>
      </c>
      <c r="K10" s="104">
        <f t="shared" si="8"/>
        <v>300</v>
      </c>
      <c r="L10" s="105">
        <v>12</v>
      </c>
      <c r="M10" s="103">
        <f t="shared" si="1"/>
        <v>3120.9874556988339</v>
      </c>
      <c r="N10" s="104">
        <f t="shared" si="2"/>
        <v>260.08228797490284</v>
      </c>
      <c r="O10" s="106">
        <f t="shared" si="3"/>
        <v>0</v>
      </c>
      <c r="P10" s="107">
        <f t="shared" si="4"/>
        <v>-39.91771202509716</v>
      </c>
      <c r="Q10" s="108">
        <f t="shared" si="5"/>
        <v>0.86694095991634279</v>
      </c>
      <c r="R10" s="308"/>
      <c r="S10" s="46">
        <v>0.34930555555555548</v>
      </c>
      <c r="T10" s="118">
        <v>0.35607638888888882</v>
      </c>
      <c r="U10" s="109">
        <v>5.5166666666666764</v>
      </c>
      <c r="V10" s="110">
        <v>9.7661398620312916</v>
      </c>
      <c r="W10" s="111"/>
      <c r="X10" s="114"/>
      <c r="Y10" s="299"/>
      <c r="Z10" s="300"/>
      <c r="AA10" s="115">
        <f t="shared" si="6"/>
        <v>-479.01254430116614</v>
      </c>
      <c r="AB10" s="108">
        <f t="shared" si="7"/>
        <v>0.86694095991634279</v>
      </c>
      <c r="AC10" s="313"/>
    </row>
    <row r="11" spans="1:29" ht="15.75" customHeight="1">
      <c r="A11" s="316"/>
      <c r="B11" s="98"/>
      <c r="C11" s="297"/>
      <c r="D11" s="298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8"/>
      <c r="S11" s="46"/>
      <c r="T11" s="118"/>
      <c r="U11" s="109"/>
      <c r="V11" s="110"/>
      <c r="W11" s="111"/>
      <c r="X11" s="114"/>
      <c r="Y11" s="299"/>
      <c r="Z11" s="300"/>
      <c r="AA11" s="115"/>
      <c r="AB11" s="108"/>
      <c r="AC11" s="313"/>
    </row>
    <row r="12" spans="1:29" ht="15.75" customHeight="1">
      <c r="A12" s="316"/>
      <c r="B12" s="98"/>
      <c r="C12" s="297"/>
      <c r="D12" s="298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8"/>
      <c r="S12" s="46"/>
      <c r="T12" s="118"/>
      <c r="U12" s="109"/>
      <c r="V12" s="110"/>
      <c r="W12" s="111"/>
      <c r="X12" s="114"/>
      <c r="Y12" s="299"/>
      <c r="Z12" s="300"/>
      <c r="AA12" s="115"/>
      <c r="AB12" s="108"/>
      <c r="AC12" s="313"/>
    </row>
    <row r="13" spans="1:29" ht="15.75" customHeight="1">
      <c r="A13" s="316"/>
      <c r="B13" s="98"/>
      <c r="C13" s="297"/>
      <c r="D13" s="298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8"/>
      <c r="S13" s="46"/>
      <c r="T13" s="118"/>
      <c r="U13" s="109"/>
      <c r="V13" s="110"/>
      <c r="W13" s="111"/>
      <c r="X13" s="125"/>
      <c r="Y13" s="299"/>
      <c r="Z13" s="300"/>
      <c r="AA13" s="115"/>
      <c r="AB13" s="108"/>
      <c r="AC13" s="313"/>
    </row>
    <row r="14" spans="1:29" ht="15.75" customHeight="1">
      <c r="A14" s="316"/>
      <c r="B14" s="98"/>
      <c r="C14" s="297"/>
      <c r="D14" s="298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8"/>
      <c r="S14" s="46"/>
      <c r="T14" s="118"/>
      <c r="U14" s="109"/>
      <c r="V14" s="110"/>
      <c r="W14" s="111"/>
      <c r="X14" s="125"/>
      <c r="Y14" s="299"/>
      <c r="Z14" s="300"/>
      <c r="AA14" s="115"/>
      <c r="AB14" s="108"/>
      <c r="AC14" s="313"/>
    </row>
    <row r="15" spans="1:29" ht="15.75" customHeight="1">
      <c r="A15" s="316"/>
      <c r="B15" s="98"/>
      <c r="C15" s="297"/>
      <c r="D15" s="298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8"/>
      <c r="S15" s="46"/>
      <c r="T15" s="118"/>
      <c r="U15" s="109"/>
      <c r="V15" s="110"/>
      <c r="W15" s="111"/>
      <c r="X15" s="125"/>
      <c r="Y15" s="299"/>
      <c r="Z15" s="300"/>
      <c r="AA15" s="115"/>
      <c r="AB15" s="108"/>
      <c r="AC15" s="313"/>
    </row>
    <row r="16" spans="1:29" ht="15.75" customHeight="1">
      <c r="A16" s="316"/>
      <c r="B16" s="98"/>
      <c r="C16" s="297"/>
      <c r="D16" s="298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8"/>
      <c r="S16" s="46"/>
      <c r="T16" s="118"/>
      <c r="U16" s="109"/>
      <c r="V16" s="110"/>
      <c r="W16" s="111"/>
      <c r="X16" s="125"/>
      <c r="Y16" s="299"/>
      <c r="Z16" s="300"/>
      <c r="AA16" s="115"/>
      <c r="AB16" s="108"/>
      <c r="AC16" s="313"/>
    </row>
    <row r="17" spans="1:29" ht="15.75" customHeight="1">
      <c r="A17" s="316"/>
      <c r="B17" s="98"/>
      <c r="C17" s="297"/>
      <c r="D17" s="298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8"/>
      <c r="S17" s="46"/>
      <c r="T17" s="118"/>
      <c r="U17" s="109"/>
      <c r="V17" s="110"/>
      <c r="W17" s="111"/>
      <c r="X17" s="125"/>
      <c r="Y17" s="299"/>
      <c r="Z17" s="300"/>
      <c r="AA17" s="115"/>
      <c r="AB17" s="108"/>
      <c r="AC17" s="313"/>
    </row>
    <row r="18" spans="1:29" ht="15.75" customHeight="1">
      <c r="A18" s="316"/>
      <c r="B18" s="98"/>
      <c r="C18" s="297"/>
      <c r="D18" s="298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8"/>
      <c r="S18" s="46"/>
      <c r="T18" s="118"/>
      <c r="U18" s="109"/>
      <c r="V18" s="110"/>
      <c r="W18" s="111"/>
      <c r="X18" s="125"/>
      <c r="Y18" s="299"/>
      <c r="Z18" s="300"/>
      <c r="AA18" s="115"/>
      <c r="AB18" s="108"/>
      <c r="AC18" s="313"/>
    </row>
    <row r="19" spans="1:29" ht="15.75" customHeight="1">
      <c r="A19" s="316"/>
      <c r="B19" s="98"/>
      <c r="C19" s="297"/>
      <c r="D19" s="298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8"/>
      <c r="S19" s="46"/>
      <c r="T19" s="118"/>
      <c r="U19" s="109"/>
      <c r="V19" s="110"/>
      <c r="W19" s="111"/>
      <c r="X19" s="125"/>
      <c r="Y19" s="299"/>
      <c r="Z19" s="300"/>
      <c r="AA19" s="115"/>
      <c r="AB19" s="108"/>
      <c r="AC19" s="313"/>
    </row>
    <row r="20" spans="1:29" ht="15.75" customHeight="1">
      <c r="A20" s="316"/>
      <c r="B20" s="161"/>
      <c r="C20" s="297"/>
      <c r="D20" s="298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8"/>
      <c r="S20" s="117"/>
      <c r="T20" s="118"/>
      <c r="U20" s="128"/>
      <c r="V20" s="129"/>
      <c r="W20" s="124"/>
      <c r="X20" s="125"/>
      <c r="Y20" s="299"/>
      <c r="Z20" s="300"/>
      <c r="AA20" s="163"/>
      <c r="AB20" s="123"/>
      <c r="AC20" s="313"/>
    </row>
    <row r="21" spans="1:29" ht="15.75" customHeight="1" thickBot="1">
      <c r="A21" s="317"/>
      <c r="B21" s="131" t="s">
        <v>115</v>
      </c>
      <c r="C21" s="294"/>
      <c r="D21" s="294"/>
      <c r="E21" s="132"/>
      <c r="F21" s="165"/>
      <c r="G21" s="133"/>
      <c r="H21" s="67"/>
      <c r="I21" s="134">
        <f t="shared" ref="I21:J21" si="9">AVERAGE(I5:I20)</f>
        <v>11.166666666666666</v>
      </c>
      <c r="J21" s="135">
        <f t="shared" si="9"/>
        <v>3600</v>
      </c>
      <c r="K21" s="136">
        <f t="shared" ref="K21" si="10">J21/I21</f>
        <v>322.38805970149258</v>
      </c>
      <c r="L21" s="134">
        <f t="shared" ref="L21:M21" si="11">AVERAGE(L5:L20)</f>
        <v>11.166666666666666</v>
      </c>
      <c r="M21" s="135">
        <f t="shared" si="11"/>
        <v>3160.4078742667512</v>
      </c>
      <c r="N21" s="136">
        <f>M21/L21</f>
        <v>283.02160068060459</v>
      </c>
      <c r="O21" s="137">
        <f>L21-I21</f>
        <v>0</v>
      </c>
      <c r="P21" s="138">
        <f>N21-K21</f>
        <v>-39.366459020887987</v>
      </c>
      <c r="Q21" s="139">
        <f>N21/K21</f>
        <v>0.87789107618520856</v>
      </c>
      <c r="R21" s="309"/>
      <c r="S21" s="140">
        <v>0.25</v>
      </c>
      <c r="T21" s="141">
        <v>0.4143402777777776</v>
      </c>
      <c r="U21" s="142"/>
      <c r="V21" s="164"/>
      <c r="W21" s="165"/>
      <c r="X21" s="136"/>
      <c r="Y21" s="295"/>
      <c r="Z21" s="296"/>
      <c r="AA21" s="166">
        <f>M21-J21</f>
        <v>-439.59212573324885</v>
      </c>
      <c r="AB21" s="139">
        <f>M21/J21</f>
        <v>0.87789107618520867</v>
      </c>
      <c r="AC21" s="314"/>
    </row>
    <row r="22" spans="1:29" ht="15.75" customHeight="1">
      <c r="A22" s="301" t="s">
        <v>121</v>
      </c>
      <c r="B22" s="112" t="s">
        <v>118</v>
      </c>
      <c r="C22" s="305" t="s">
        <v>182</v>
      </c>
      <c r="D22" s="306"/>
      <c r="E22" s="145">
        <v>18.53</v>
      </c>
      <c r="F22" s="95">
        <v>1030</v>
      </c>
      <c r="G22" s="146">
        <f t="shared" ref="G22:G23" si="12">E22*F22</f>
        <v>19085.900000000001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3074.5632105166587</v>
      </c>
      <c r="N22" s="150">
        <f>M22/L22</f>
        <v>1024.8544035055529</v>
      </c>
      <c r="O22" s="152">
        <f>L22-I22</f>
        <v>0</v>
      </c>
      <c r="P22" s="153">
        <f>N22-K22</f>
        <v>-75.145596494447091</v>
      </c>
      <c r="Q22" s="154">
        <f>N22/K22</f>
        <v>0.9316858213686845</v>
      </c>
      <c r="R22" s="307">
        <f>Q38</f>
        <v>0.91959631371893402</v>
      </c>
      <c r="S22" s="155">
        <v>0.30624999999999997</v>
      </c>
      <c r="T22" s="156">
        <v>0.32020833333333332</v>
      </c>
      <c r="U22" s="157"/>
      <c r="V22" s="110">
        <v>20.100416146466198</v>
      </c>
      <c r="W22" s="159"/>
      <c r="X22" s="160"/>
      <c r="Y22" s="310"/>
      <c r="Z22" s="311"/>
      <c r="AA22" s="113">
        <f>M22-J22</f>
        <v>-225.43678948334127</v>
      </c>
      <c r="AB22" s="154">
        <f>M22/J22</f>
        <v>0.9316858213686845</v>
      </c>
      <c r="AC22" s="312">
        <f>AB38</f>
        <v>0.91959631371893402</v>
      </c>
    </row>
    <row r="23" spans="1:29" ht="15.75" customHeight="1">
      <c r="A23" s="302"/>
      <c r="B23" s="98" t="s">
        <v>118</v>
      </c>
      <c r="C23" s="297" t="s">
        <v>225</v>
      </c>
      <c r="D23" s="298"/>
      <c r="E23" s="99">
        <v>22.95</v>
      </c>
      <c r="F23" s="100">
        <v>2560</v>
      </c>
      <c r="G23" s="101">
        <f t="shared" si="12"/>
        <v>58752</v>
      </c>
      <c r="H23" s="26"/>
      <c r="I23" s="102">
        <v>5</v>
      </c>
      <c r="J23" s="103">
        <v>2700</v>
      </c>
      <c r="K23" s="104">
        <f t="shared" ref="K23" si="13">J23/I23</f>
        <v>540</v>
      </c>
      <c r="L23" s="105">
        <v>5</v>
      </c>
      <c r="M23" s="103">
        <f>F23/V23*60</f>
        <v>2443.014671796946</v>
      </c>
      <c r="N23" s="104">
        <f>M23/L23</f>
        <v>488.60293435938922</v>
      </c>
      <c r="O23" s="106">
        <f>L23-I23</f>
        <v>0</v>
      </c>
      <c r="P23" s="107">
        <f>N23-K23</f>
        <v>-51.397065640610776</v>
      </c>
      <c r="Q23" s="108">
        <f>N23/K23</f>
        <v>0.90482024881368373</v>
      </c>
      <c r="R23" s="308"/>
      <c r="S23" s="46">
        <v>0.32430555555555551</v>
      </c>
      <c r="T23" s="47">
        <v>0.36796296296296294</v>
      </c>
      <c r="U23" s="109">
        <v>5.8999999999999631</v>
      </c>
      <c r="V23" s="110">
        <v>62.873138574734938</v>
      </c>
      <c r="W23" s="111"/>
      <c r="X23" s="114"/>
      <c r="Y23" s="299"/>
      <c r="Z23" s="300"/>
      <c r="AA23" s="115">
        <f>M23-J23</f>
        <v>-256.985328203054</v>
      </c>
      <c r="AB23" s="108">
        <f>M23/J23</f>
        <v>0.90482024881368373</v>
      </c>
      <c r="AC23" s="313"/>
    </row>
    <row r="24" spans="1:29" ht="15.75" customHeight="1">
      <c r="A24" s="302"/>
      <c r="B24" s="98"/>
      <c r="C24" s="297"/>
      <c r="D24" s="298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08"/>
      <c r="S24" s="46"/>
      <c r="T24" s="47"/>
      <c r="U24" s="109"/>
      <c r="V24" s="110"/>
      <c r="W24" s="111"/>
      <c r="X24" s="114"/>
      <c r="Y24" s="299"/>
      <c r="Z24" s="300"/>
      <c r="AA24" s="115"/>
      <c r="AB24" s="108"/>
      <c r="AC24" s="313"/>
    </row>
    <row r="25" spans="1:29" ht="15.75" customHeight="1">
      <c r="A25" s="302"/>
      <c r="B25" s="98"/>
      <c r="C25" s="297"/>
      <c r="D25" s="298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8"/>
      <c r="S25" s="46"/>
      <c r="T25" s="47"/>
      <c r="U25" s="109"/>
      <c r="V25" s="110"/>
      <c r="W25" s="111"/>
      <c r="X25" s="114"/>
      <c r="Y25" s="299"/>
      <c r="Z25" s="300"/>
      <c r="AA25" s="115"/>
      <c r="AB25" s="108"/>
      <c r="AC25" s="313"/>
    </row>
    <row r="26" spans="1:29" ht="15.75" customHeight="1">
      <c r="A26" s="303"/>
      <c r="B26" s="98"/>
      <c r="C26" s="297"/>
      <c r="D26" s="298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8"/>
      <c r="S26" s="46"/>
      <c r="T26" s="47"/>
      <c r="U26" s="109"/>
      <c r="V26" s="110"/>
      <c r="W26" s="111"/>
      <c r="X26" s="114"/>
      <c r="Y26" s="299"/>
      <c r="Z26" s="300"/>
      <c r="AA26" s="115"/>
      <c r="AB26" s="108"/>
      <c r="AC26" s="313"/>
    </row>
    <row r="27" spans="1:29" ht="15.75" customHeight="1">
      <c r="A27" s="303"/>
      <c r="B27" s="98"/>
      <c r="C27" s="297"/>
      <c r="D27" s="298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8"/>
      <c r="S27" s="46"/>
      <c r="T27" s="118"/>
      <c r="U27" s="109"/>
      <c r="V27" s="110"/>
      <c r="W27" s="111"/>
      <c r="X27" s="114"/>
      <c r="Y27" s="299"/>
      <c r="Z27" s="300"/>
      <c r="AA27" s="115"/>
      <c r="AB27" s="108"/>
      <c r="AC27" s="313"/>
    </row>
    <row r="28" spans="1:29" ht="15.75" customHeight="1">
      <c r="A28" s="303"/>
      <c r="B28" s="98"/>
      <c r="C28" s="297"/>
      <c r="D28" s="298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8"/>
      <c r="S28" s="46"/>
      <c r="T28" s="118"/>
      <c r="U28" s="109"/>
      <c r="V28" s="110"/>
      <c r="W28" s="111"/>
      <c r="X28" s="114"/>
      <c r="Y28" s="299"/>
      <c r="Z28" s="300"/>
      <c r="AA28" s="115"/>
      <c r="AB28" s="108"/>
      <c r="AC28" s="313"/>
    </row>
    <row r="29" spans="1:29" ht="15.75" customHeight="1">
      <c r="A29" s="303"/>
      <c r="B29" s="98"/>
      <c r="C29" s="297"/>
      <c r="D29" s="298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8"/>
      <c r="S29" s="46"/>
      <c r="T29" s="118"/>
      <c r="U29" s="109"/>
      <c r="V29" s="110"/>
      <c r="W29" s="111"/>
      <c r="X29" s="114"/>
      <c r="Y29" s="299"/>
      <c r="Z29" s="300"/>
      <c r="AA29" s="115"/>
      <c r="AB29" s="108"/>
      <c r="AC29" s="313"/>
    </row>
    <row r="30" spans="1:29" ht="15.75" customHeight="1">
      <c r="A30" s="303"/>
      <c r="B30" s="98"/>
      <c r="C30" s="297"/>
      <c r="D30" s="298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8"/>
      <c r="S30" s="46"/>
      <c r="T30" s="118"/>
      <c r="U30" s="109"/>
      <c r="V30" s="110"/>
      <c r="W30" s="111"/>
      <c r="X30" s="114"/>
      <c r="Y30" s="299"/>
      <c r="Z30" s="300"/>
      <c r="AA30" s="115"/>
      <c r="AB30" s="108"/>
      <c r="AC30" s="313"/>
    </row>
    <row r="31" spans="1:29" ht="15.75" customHeight="1">
      <c r="A31" s="303"/>
      <c r="B31" s="98"/>
      <c r="C31" s="297"/>
      <c r="D31" s="298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8"/>
      <c r="S31" s="46"/>
      <c r="T31" s="118"/>
      <c r="U31" s="109"/>
      <c r="V31" s="110"/>
      <c r="W31" s="111"/>
      <c r="X31" s="114"/>
      <c r="Y31" s="299"/>
      <c r="Z31" s="300"/>
      <c r="AA31" s="115"/>
      <c r="AB31" s="108"/>
      <c r="AC31" s="313"/>
    </row>
    <row r="32" spans="1:29" ht="15.75" customHeight="1">
      <c r="A32" s="303"/>
      <c r="B32" s="98"/>
      <c r="C32" s="297"/>
      <c r="D32" s="298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8"/>
      <c r="S32" s="46"/>
      <c r="T32" s="118"/>
      <c r="U32" s="109"/>
      <c r="V32" s="110"/>
      <c r="W32" s="111"/>
      <c r="X32" s="114"/>
      <c r="Y32" s="299"/>
      <c r="Z32" s="300"/>
      <c r="AA32" s="115"/>
      <c r="AB32" s="108"/>
      <c r="AC32" s="313"/>
    </row>
    <row r="33" spans="1:29" ht="15.75" customHeight="1">
      <c r="A33" s="303"/>
      <c r="B33" s="98"/>
      <c r="C33" s="297"/>
      <c r="D33" s="298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8"/>
      <c r="S33" s="46"/>
      <c r="T33" s="118"/>
      <c r="U33" s="109"/>
      <c r="V33" s="110"/>
      <c r="W33" s="111"/>
      <c r="X33" s="114"/>
      <c r="Y33" s="299"/>
      <c r="Z33" s="300"/>
      <c r="AA33" s="115"/>
      <c r="AB33" s="108"/>
      <c r="AC33" s="313"/>
    </row>
    <row r="34" spans="1:29" ht="15.75" customHeight="1">
      <c r="A34" s="303"/>
      <c r="B34" s="98"/>
      <c r="C34" s="297"/>
      <c r="D34" s="298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8"/>
      <c r="S34" s="46"/>
      <c r="T34" s="118"/>
      <c r="U34" s="109"/>
      <c r="V34" s="110"/>
      <c r="W34" s="111"/>
      <c r="X34" s="114"/>
      <c r="Y34" s="299"/>
      <c r="Z34" s="300"/>
      <c r="AA34" s="115"/>
      <c r="AB34" s="108"/>
      <c r="AC34" s="313"/>
    </row>
    <row r="35" spans="1:29" ht="15.75" customHeight="1">
      <c r="A35" s="303"/>
      <c r="B35" s="98"/>
      <c r="C35" s="297"/>
      <c r="D35" s="298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8"/>
      <c r="S35" s="46"/>
      <c r="T35" s="118"/>
      <c r="U35" s="109"/>
      <c r="V35" s="110"/>
      <c r="W35" s="111"/>
      <c r="X35" s="114"/>
      <c r="Y35" s="299"/>
      <c r="Z35" s="300"/>
      <c r="AA35" s="115"/>
      <c r="AB35" s="108"/>
      <c r="AC35" s="313"/>
    </row>
    <row r="36" spans="1:29" ht="15.75" customHeight="1">
      <c r="A36" s="303"/>
      <c r="B36" s="98"/>
      <c r="C36" s="297"/>
      <c r="D36" s="298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8"/>
      <c r="S36" s="46"/>
      <c r="T36" s="118"/>
      <c r="U36" s="109"/>
      <c r="V36" s="110"/>
      <c r="W36" s="111"/>
      <c r="X36" s="114"/>
      <c r="Y36" s="299"/>
      <c r="Z36" s="300"/>
      <c r="AA36" s="115"/>
      <c r="AB36" s="108"/>
      <c r="AC36" s="313"/>
    </row>
    <row r="37" spans="1:29" ht="15.75" customHeight="1">
      <c r="A37" s="303"/>
      <c r="B37" s="98"/>
      <c r="C37" s="297"/>
      <c r="D37" s="298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8"/>
      <c r="S37" s="117"/>
      <c r="T37" s="118"/>
      <c r="U37" s="128"/>
      <c r="V37" s="129"/>
      <c r="W37" s="124"/>
      <c r="X37" s="125"/>
      <c r="Y37" s="299"/>
      <c r="Z37" s="300"/>
      <c r="AA37" s="163"/>
      <c r="AB37" s="123"/>
      <c r="AC37" s="313"/>
    </row>
    <row r="38" spans="1:29" ht="15.75" customHeight="1" thickBot="1">
      <c r="A38" s="304"/>
      <c r="B38" s="131" t="s">
        <v>115</v>
      </c>
      <c r="C38" s="294"/>
      <c r="D38" s="294"/>
      <c r="E38" s="132"/>
      <c r="F38" s="97"/>
      <c r="G38" s="133"/>
      <c r="H38" s="67"/>
      <c r="I38" s="134">
        <f t="shared" ref="I38:J38" si="14">AVERAGE(I22:I37)</f>
        <v>4</v>
      </c>
      <c r="J38" s="135">
        <f t="shared" si="14"/>
        <v>3000</v>
      </c>
      <c r="K38" s="136">
        <f t="shared" ref="K38" si="15">J38/I38</f>
        <v>750</v>
      </c>
      <c r="L38" s="134">
        <f t="shared" ref="L38:M38" si="16">AVERAGE(L22:L37)</f>
        <v>4</v>
      </c>
      <c r="M38" s="135">
        <f t="shared" si="16"/>
        <v>2758.7889411568021</v>
      </c>
      <c r="N38" s="136">
        <f t="shared" ref="N38:N46" si="17">M38/L38</f>
        <v>689.69723528920053</v>
      </c>
      <c r="O38" s="137">
        <f t="shared" ref="O38:O46" si="18">L38-I38</f>
        <v>0</v>
      </c>
      <c r="P38" s="138">
        <f t="shared" ref="P38:P46" si="19">N38-K38</f>
        <v>-60.302764710799465</v>
      </c>
      <c r="Q38" s="139">
        <f t="shared" ref="Q38:Q46" si="20">N38/K38</f>
        <v>0.91959631371893402</v>
      </c>
      <c r="R38" s="309"/>
      <c r="S38" s="140">
        <v>0.30624999999999997</v>
      </c>
      <c r="T38" s="141">
        <v>0.36796296296296294</v>
      </c>
      <c r="U38" s="142"/>
      <c r="V38" s="164"/>
      <c r="W38" s="97"/>
      <c r="X38" s="67"/>
      <c r="Y38" s="295"/>
      <c r="Z38" s="296"/>
      <c r="AA38" s="166">
        <f t="shared" ref="AA38:AA46" si="21">M38-J38</f>
        <v>-241.21105884319786</v>
      </c>
      <c r="AB38" s="139">
        <f t="shared" ref="AB38:AB46" si="22">M38/J38</f>
        <v>0.91959631371893402</v>
      </c>
      <c r="AC38" s="314"/>
    </row>
    <row r="39" spans="1:29" ht="15.75" customHeight="1">
      <c r="A39" s="315" t="s">
        <v>71</v>
      </c>
      <c r="B39" s="112" t="s">
        <v>118</v>
      </c>
      <c r="C39" s="305" t="s">
        <v>129</v>
      </c>
      <c r="D39" s="306"/>
      <c r="E39" s="145">
        <v>24.82</v>
      </c>
      <c r="F39" s="95">
        <v>457</v>
      </c>
      <c r="G39" s="146">
        <f t="shared" ref="G39:G46" si="23">E39*F39</f>
        <v>11342.74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6" si="24">F39/V39*60</f>
        <v>3280.3107094272436</v>
      </c>
      <c r="N39" s="150">
        <f t="shared" si="17"/>
        <v>656.06214188544868</v>
      </c>
      <c r="O39" s="152">
        <f t="shared" si="18"/>
        <v>0</v>
      </c>
      <c r="P39" s="153">
        <f t="shared" si="19"/>
        <v>-63.937858114551318</v>
      </c>
      <c r="Q39" s="154">
        <f t="shared" si="20"/>
        <v>0.91119741928534537</v>
      </c>
      <c r="R39" s="307">
        <f>Q55</f>
        <v>0.9180092826123315</v>
      </c>
      <c r="S39" s="155">
        <v>0.25</v>
      </c>
      <c r="T39" s="156">
        <v>0.25579861111111113</v>
      </c>
      <c r="U39" s="157"/>
      <c r="V39" s="158">
        <v>8.3589642655489946</v>
      </c>
      <c r="W39" s="159"/>
      <c r="X39" s="160"/>
      <c r="Y39" s="310"/>
      <c r="Z39" s="311"/>
      <c r="AA39" s="113">
        <f t="shared" si="21"/>
        <v>-319.68929057275636</v>
      </c>
      <c r="AB39" s="154">
        <f t="shared" si="22"/>
        <v>0.91119741928534548</v>
      </c>
      <c r="AC39" s="312">
        <f>AB55</f>
        <v>0.9180092826123315</v>
      </c>
    </row>
    <row r="40" spans="1:29" ht="15.75" customHeight="1">
      <c r="A40" s="316"/>
      <c r="B40" s="98" t="s">
        <v>118</v>
      </c>
      <c r="C40" s="297" t="s">
        <v>128</v>
      </c>
      <c r="D40" s="298"/>
      <c r="E40" s="99">
        <v>25.03</v>
      </c>
      <c r="F40" s="100">
        <v>328</v>
      </c>
      <c r="G40" s="101">
        <f t="shared" si="23"/>
        <v>8209.84</v>
      </c>
      <c r="H40" s="26"/>
      <c r="I40" s="102">
        <v>5</v>
      </c>
      <c r="J40" s="103">
        <v>3600</v>
      </c>
      <c r="K40" s="104">
        <f t="shared" ref="K40:K63" si="25">J40/I40</f>
        <v>720</v>
      </c>
      <c r="L40" s="105">
        <v>5</v>
      </c>
      <c r="M40" s="103">
        <f t="shared" si="24"/>
        <v>3279.2802014957888</v>
      </c>
      <c r="N40" s="104">
        <f t="shared" si="17"/>
        <v>655.85604029915771</v>
      </c>
      <c r="O40" s="106">
        <f t="shared" si="18"/>
        <v>0</v>
      </c>
      <c r="P40" s="107">
        <f t="shared" si="19"/>
        <v>-64.143959700842288</v>
      </c>
      <c r="Q40" s="108">
        <f t="shared" si="20"/>
        <v>0.91091116708216346</v>
      </c>
      <c r="R40" s="308"/>
      <c r="S40" s="46">
        <v>0.26527777777777778</v>
      </c>
      <c r="T40" s="47">
        <v>0.26944444444444443</v>
      </c>
      <c r="U40" s="109">
        <v>13.649999999999975</v>
      </c>
      <c r="V40" s="110">
        <v>6.0013169935961246</v>
      </c>
      <c r="W40" s="111"/>
      <c r="X40" s="114"/>
      <c r="Y40" s="299"/>
      <c r="Z40" s="300"/>
      <c r="AA40" s="115">
        <f t="shared" si="21"/>
        <v>-320.71979850421121</v>
      </c>
      <c r="AB40" s="108">
        <f t="shared" si="22"/>
        <v>0.91091116708216358</v>
      </c>
      <c r="AC40" s="313"/>
    </row>
    <row r="41" spans="1:29" ht="15.75" customHeight="1">
      <c r="A41" s="316"/>
      <c r="B41" s="98" t="s">
        <v>118</v>
      </c>
      <c r="C41" s="297" t="s">
        <v>219</v>
      </c>
      <c r="D41" s="298"/>
      <c r="E41" s="99">
        <v>23.8</v>
      </c>
      <c r="F41" s="100">
        <v>285</v>
      </c>
      <c r="G41" s="101">
        <f t="shared" si="23"/>
        <v>6783</v>
      </c>
      <c r="H41" s="26"/>
      <c r="I41" s="102">
        <v>4</v>
      </c>
      <c r="J41" s="103">
        <v>3600</v>
      </c>
      <c r="K41" s="104">
        <f t="shared" si="25"/>
        <v>900</v>
      </c>
      <c r="L41" s="105">
        <v>4</v>
      </c>
      <c r="M41" s="103">
        <f t="shared" si="24"/>
        <v>3274.8322940382914</v>
      </c>
      <c r="N41" s="104">
        <f t="shared" si="17"/>
        <v>818.70807350957284</v>
      </c>
      <c r="O41" s="106">
        <f t="shared" si="18"/>
        <v>0</v>
      </c>
      <c r="P41" s="107">
        <f t="shared" si="19"/>
        <v>-81.291926490427159</v>
      </c>
      <c r="Q41" s="108">
        <f t="shared" si="20"/>
        <v>0.90967563723285871</v>
      </c>
      <c r="R41" s="308"/>
      <c r="S41" s="46">
        <v>0.27916666666666667</v>
      </c>
      <c r="T41" s="47">
        <v>0.28278935185185183</v>
      </c>
      <c r="U41" s="109">
        <v>14.00000000000003</v>
      </c>
      <c r="V41" s="110">
        <v>5.2216414352362115</v>
      </c>
      <c r="W41" s="111"/>
      <c r="X41" s="114"/>
      <c r="Y41" s="299"/>
      <c r="Z41" s="300"/>
      <c r="AA41" s="115">
        <f t="shared" si="21"/>
        <v>-325.16770596170863</v>
      </c>
      <c r="AB41" s="108">
        <f t="shared" si="22"/>
        <v>0.90967563723285871</v>
      </c>
      <c r="AC41" s="313"/>
    </row>
    <row r="42" spans="1:29" ht="15.75" customHeight="1">
      <c r="A42" s="316"/>
      <c r="B42" s="98" t="s">
        <v>118</v>
      </c>
      <c r="C42" s="297" t="s">
        <v>207</v>
      </c>
      <c r="D42" s="298"/>
      <c r="E42" s="99">
        <v>30</v>
      </c>
      <c r="F42" s="100">
        <v>340</v>
      </c>
      <c r="G42" s="101">
        <f t="shared" si="23"/>
        <v>10200</v>
      </c>
      <c r="H42" s="26"/>
      <c r="I42" s="102">
        <v>4</v>
      </c>
      <c r="J42" s="103">
        <v>3300</v>
      </c>
      <c r="K42" s="104">
        <f t="shared" si="25"/>
        <v>825</v>
      </c>
      <c r="L42" s="105">
        <v>4</v>
      </c>
      <c r="M42" s="103">
        <f t="shared" si="24"/>
        <v>3076.0212781355444</v>
      </c>
      <c r="N42" s="104">
        <f t="shared" si="17"/>
        <v>769.00531953388611</v>
      </c>
      <c r="O42" s="106">
        <f t="shared" si="18"/>
        <v>0</v>
      </c>
      <c r="P42" s="107">
        <f t="shared" si="19"/>
        <v>-55.994680466113891</v>
      </c>
      <c r="Q42" s="108">
        <f t="shared" si="20"/>
        <v>0.93212766004107406</v>
      </c>
      <c r="R42" s="308"/>
      <c r="S42" s="46">
        <v>0.29236111111111113</v>
      </c>
      <c r="T42" s="47">
        <v>0.29695601851851855</v>
      </c>
      <c r="U42" s="109">
        <v>13.783333333333383</v>
      </c>
      <c r="V42" s="110">
        <v>6.6319437206120249</v>
      </c>
      <c r="W42" s="111"/>
      <c r="X42" s="114"/>
      <c r="Y42" s="299"/>
      <c r="Z42" s="300"/>
      <c r="AA42" s="115">
        <f t="shared" si="21"/>
        <v>-223.97872186445557</v>
      </c>
      <c r="AB42" s="108">
        <f t="shared" si="22"/>
        <v>0.93212766004107406</v>
      </c>
      <c r="AC42" s="313"/>
    </row>
    <row r="43" spans="1:29" ht="15.75" customHeight="1">
      <c r="A43" s="316"/>
      <c r="B43" s="98" t="s">
        <v>118</v>
      </c>
      <c r="C43" s="297" t="s">
        <v>124</v>
      </c>
      <c r="D43" s="298"/>
      <c r="E43" s="99">
        <v>18.18</v>
      </c>
      <c r="F43" s="100">
        <v>550</v>
      </c>
      <c r="G43" s="101">
        <f t="shared" si="23"/>
        <v>9999</v>
      </c>
      <c r="H43" s="13"/>
      <c r="I43" s="102">
        <v>3</v>
      </c>
      <c r="J43" s="103">
        <v>3600</v>
      </c>
      <c r="K43" s="104">
        <f t="shared" si="25"/>
        <v>1200</v>
      </c>
      <c r="L43" s="105">
        <v>3</v>
      </c>
      <c r="M43" s="103">
        <f t="shared" si="24"/>
        <v>3276.3166838896223</v>
      </c>
      <c r="N43" s="104">
        <f t="shared" si="17"/>
        <v>1092.1055612965408</v>
      </c>
      <c r="O43" s="106">
        <f t="shared" si="18"/>
        <v>0</v>
      </c>
      <c r="P43" s="107">
        <f t="shared" si="19"/>
        <v>-107.89443870345917</v>
      </c>
      <c r="Q43" s="108">
        <f t="shared" si="20"/>
        <v>0.91008796774711731</v>
      </c>
      <c r="R43" s="308"/>
      <c r="S43" s="46">
        <v>0.30625000000000002</v>
      </c>
      <c r="T43" s="47">
        <v>0.31324074074074076</v>
      </c>
      <c r="U43" s="109">
        <v>13.38333333333332</v>
      </c>
      <c r="V43" s="110">
        <v>10.072286406948491</v>
      </c>
      <c r="W43" s="111"/>
      <c r="X43" s="114"/>
      <c r="Y43" s="299"/>
      <c r="Z43" s="300"/>
      <c r="AA43" s="115">
        <f t="shared" si="21"/>
        <v>-323.68331611037775</v>
      </c>
      <c r="AB43" s="108">
        <f t="shared" si="22"/>
        <v>0.91008796774711731</v>
      </c>
      <c r="AC43" s="313"/>
    </row>
    <row r="44" spans="1:29" ht="15.75" customHeight="1">
      <c r="A44" s="316"/>
      <c r="B44" s="98" t="s">
        <v>118</v>
      </c>
      <c r="C44" s="297" t="s">
        <v>199</v>
      </c>
      <c r="D44" s="298"/>
      <c r="E44" s="99">
        <v>17.07</v>
      </c>
      <c r="F44" s="100">
        <v>813</v>
      </c>
      <c r="G44" s="119">
        <f t="shared" si="23"/>
        <v>13877.91</v>
      </c>
      <c r="H44" s="120"/>
      <c r="I44" s="102">
        <v>3</v>
      </c>
      <c r="J44" s="103">
        <v>3300</v>
      </c>
      <c r="K44" s="104">
        <f t="shared" si="25"/>
        <v>1100</v>
      </c>
      <c r="L44" s="105">
        <v>3</v>
      </c>
      <c r="M44" s="103">
        <f t="shared" si="24"/>
        <v>3073.5225808972673</v>
      </c>
      <c r="N44" s="104">
        <f t="shared" si="17"/>
        <v>1024.5075269657557</v>
      </c>
      <c r="O44" s="106">
        <f t="shared" si="18"/>
        <v>0</v>
      </c>
      <c r="P44" s="107">
        <f t="shared" si="19"/>
        <v>-75.492473034244313</v>
      </c>
      <c r="Q44" s="108">
        <f t="shared" si="20"/>
        <v>0.93137047905977788</v>
      </c>
      <c r="R44" s="308"/>
      <c r="S44" s="46">
        <v>0.32291666666666669</v>
      </c>
      <c r="T44" s="118">
        <v>0.33393518518518522</v>
      </c>
      <c r="U44" s="109">
        <v>13.933333333333326</v>
      </c>
      <c r="V44" s="110">
        <v>15.871040057808663</v>
      </c>
      <c r="W44" s="111"/>
      <c r="X44" s="114"/>
      <c r="Y44" s="299"/>
      <c r="Z44" s="300"/>
      <c r="AA44" s="115">
        <f t="shared" si="21"/>
        <v>-226.47741910273271</v>
      </c>
      <c r="AB44" s="108">
        <f t="shared" si="22"/>
        <v>0.93137047905977799</v>
      </c>
      <c r="AC44" s="313"/>
    </row>
    <row r="45" spans="1:29" ht="15.75" customHeight="1">
      <c r="A45" s="316"/>
      <c r="B45" s="98" t="s">
        <v>118</v>
      </c>
      <c r="C45" s="297" t="s">
        <v>125</v>
      </c>
      <c r="D45" s="298"/>
      <c r="E45" s="99">
        <v>14.03</v>
      </c>
      <c r="F45" s="100">
        <v>2266</v>
      </c>
      <c r="G45" s="119">
        <f t="shared" si="23"/>
        <v>31791.98</v>
      </c>
      <c r="H45" s="60"/>
      <c r="I45" s="102">
        <v>3</v>
      </c>
      <c r="J45" s="103">
        <v>3000</v>
      </c>
      <c r="K45" s="104">
        <f t="shared" si="25"/>
        <v>1000</v>
      </c>
      <c r="L45" s="105">
        <v>3</v>
      </c>
      <c r="M45" s="103">
        <f t="shared" si="24"/>
        <v>2798.0555878084169</v>
      </c>
      <c r="N45" s="104">
        <f t="shared" si="17"/>
        <v>932.68519593613894</v>
      </c>
      <c r="O45" s="121">
        <f t="shared" si="18"/>
        <v>0</v>
      </c>
      <c r="P45" s="122">
        <f t="shared" si="19"/>
        <v>-67.314804063861061</v>
      </c>
      <c r="Q45" s="123">
        <f t="shared" si="20"/>
        <v>0.93268519593613897</v>
      </c>
      <c r="R45" s="308"/>
      <c r="S45" s="46">
        <v>0.34305555555555561</v>
      </c>
      <c r="T45" s="118">
        <v>0.37679398148148152</v>
      </c>
      <c r="U45" s="109">
        <v>13.133333333333361</v>
      </c>
      <c r="V45" s="110">
        <v>48.590885968241594</v>
      </c>
      <c r="W45" s="111"/>
      <c r="X45" s="114"/>
      <c r="Y45" s="299"/>
      <c r="Z45" s="300"/>
      <c r="AA45" s="115">
        <f t="shared" si="21"/>
        <v>-201.94441219158307</v>
      </c>
      <c r="AB45" s="108">
        <f t="shared" si="22"/>
        <v>0.93268519593613897</v>
      </c>
      <c r="AC45" s="313"/>
    </row>
    <row r="46" spans="1:29" ht="15.75" customHeight="1">
      <c r="A46" s="316"/>
      <c r="B46" s="98" t="s">
        <v>118</v>
      </c>
      <c r="C46" s="297" t="s">
        <v>127</v>
      </c>
      <c r="D46" s="298"/>
      <c r="E46" s="99">
        <v>14.28</v>
      </c>
      <c r="F46" s="100">
        <v>3117</v>
      </c>
      <c r="G46" s="119">
        <f t="shared" si="23"/>
        <v>44510.759999999995</v>
      </c>
      <c r="H46" s="60"/>
      <c r="I46" s="102">
        <v>3</v>
      </c>
      <c r="J46" s="103">
        <v>3600</v>
      </c>
      <c r="K46" s="104">
        <f t="shared" si="25"/>
        <v>1200</v>
      </c>
      <c r="L46" s="116">
        <v>3</v>
      </c>
      <c r="M46" s="103">
        <f t="shared" si="24"/>
        <v>3278.7168644081776</v>
      </c>
      <c r="N46" s="104">
        <f t="shared" si="17"/>
        <v>1092.9056214693926</v>
      </c>
      <c r="O46" s="121">
        <f t="shared" si="18"/>
        <v>0</v>
      </c>
      <c r="P46" s="122">
        <f t="shared" si="19"/>
        <v>-107.0943785306074</v>
      </c>
      <c r="Q46" s="123">
        <f t="shared" si="20"/>
        <v>0.91075468455782715</v>
      </c>
      <c r="R46" s="308"/>
      <c r="S46" s="46">
        <v>0.38611111111111118</v>
      </c>
      <c r="T46" s="118">
        <v>0.42571759259259268</v>
      </c>
      <c r="U46" s="109">
        <v>13.416666666666712</v>
      </c>
      <c r="V46" s="110">
        <v>57.040606961271699</v>
      </c>
      <c r="W46" s="111"/>
      <c r="X46" s="114"/>
      <c r="Y46" s="299"/>
      <c r="Z46" s="300"/>
      <c r="AA46" s="115">
        <f t="shared" si="21"/>
        <v>-321.28313559182243</v>
      </c>
      <c r="AB46" s="108">
        <f t="shared" si="22"/>
        <v>0.91075468455782715</v>
      </c>
      <c r="AC46" s="313"/>
    </row>
    <row r="47" spans="1:29" ht="15.75" customHeight="1">
      <c r="A47" s="316"/>
      <c r="B47" s="98"/>
      <c r="C47" s="297"/>
      <c r="D47" s="298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8"/>
      <c r="S47" s="46"/>
      <c r="T47" s="118"/>
      <c r="U47" s="109"/>
      <c r="V47" s="110"/>
      <c r="W47" s="111"/>
      <c r="X47" s="114"/>
      <c r="Y47" s="299"/>
      <c r="Z47" s="300"/>
      <c r="AA47" s="115"/>
      <c r="AB47" s="108"/>
      <c r="AC47" s="313"/>
    </row>
    <row r="48" spans="1:29" ht="15.75" customHeight="1">
      <c r="A48" s="316"/>
      <c r="B48" s="98"/>
      <c r="C48" s="297"/>
      <c r="D48" s="298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8"/>
      <c r="S48" s="46"/>
      <c r="T48" s="118"/>
      <c r="U48" s="109"/>
      <c r="V48" s="110"/>
      <c r="W48" s="111"/>
      <c r="X48" s="114"/>
      <c r="Y48" s="299"/>
      <c r="Z48" s="300"/>
      <c r="AA48" s="115"/>
      <c r="AB48" s="108"/>
      <c r="AC48" s="313"/>
    </row>
    <row r="49" spans="1:29" ht="15.75" customHeight="1">
      <c r="A49" s="316"/>
      <c r="B49" s="98"/>
      <c r="C49" s="297"/>
      <c r="D49" s="298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8"/>
      <c r="S49" s="46"/>
      <c r="T49" s="118"/>
      <c r="U49" s="109"/>
      <c r="V49" s="110"/>
      <c r="W49" s="124"/>
      <c r="X49" s="125"/>
      <c r="Y49" s="299"/>
      <c r="Z49" s="300"/>
      <c r="AA49" s="115"/>
      <c r="AB49" s="108"/>
      <c r="AC49" s="313"/>
    </row>
    <row r="50" spans="1:29" ht="15.75" customHeight="1">
      <c r="A50" s="316"/>
      <c r="B50" s="98"/>
      <c r="C50" s="297"/>
      <c r="D50" s="298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8"/>
      <c r="S50" s="46"/>
      <c r="T50" s="118"/>
      <c r="U50" s="109"/>
      <c r="V50" s="110"/>
      <c r="W50" s="124"/>
      <c r="X50" s="125"/>
      <c r="Y50" s="299"/>
      <c r="Z50" s="300"/>
      <c r="AA50" s="115"/>
      <c r="AB50" s="108"/>
      <c r="AC50" s="313"/>
    </row>
    <row r="51" spans="1:29" ht="15.75" customHeight="1">
      <c r="A51" s="316"/>
      <c r="B51" s="98"/>
      <c r="C51" s="297"/>
      <c r="D51" s="298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8"/>
      <c r="S51" s="46"/>
      <c r="T51" s="118"/>
      <c r="U51" s="109"/>
      <c r="V51" s="110"/>
      <c r="W51" s="124"/>
      <c r="X51" s="125"/>
      <c r="Y51" s="299"/>
      <c r="Z51" s="300"/>
      <c r="AA51" s="115"/>
      <c r="AB51" s="108"/>
      <c r="AC51" s="313"/>
    </row>
    <row r="52" spans="1:29" ht="15.75" customHeight="1">
      <c r="A52" s="316"/>
      <c r="B52" s="98"/>
      <c r="C52" s="297"/>
      <c r="D52" s="298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8"/>
      <c r="S52" s="46"/>
      <c r="T52" s="118"/>
      <c r="U52" s="109"/>
      <c r="V52" s="110"/>
      <c r="W52" s="124"/>
      <c r="X52" s="125"/>
      <c r="Y52" s="299"/>
      <c r="Z52" s="300"/>
      <c r="AA52" s="115"/>
      <c r="AB52" s="108"/>
      <c r="AC52" s="313"/>
    </row>
    <row r="53" spans="1:29" ht="15.75" customHeight="1">
      <c r="A53" s="316"/>
      <c r="B53" s="98"/>
      <c r="C53" s="297"/>
      <c r="D53" s="298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8"/>
      <c r="S53" s="46"/>
      <c r="T53" s="118"/>
      <c r="U53" s="109"/>
      <c r="V53" s="110"/>
      <c r="W53" s="124"/>
      <c r="X53" s="125"/>
      <c r="Y53" s="299"/>
      <c r="Z53" s="300"/>
      <c r="AA53" s="115"/>
      <c r="AB53" s="108"/>
      <c r="AC53" s="313"/>
    </row>
    <row r="54" spans="1:29" ht="15.75" customHeight="1">
      <c r="A54" s="316"/>
      <c r="B54" s="98"/>
      <c r="C54" s="297"/>
      <c r="D54" s="298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8"/>
      <c r="S54" s="117"/>
      <c r="T54" s="118"/>
      <c r="U54" s="128"/>
      <c r="V54" s="129"/>
      <c r="W54" s="124"/>
      <c r="X54" s="125"/>
      <c r="Y54" s="299"/>
      <c r="Z54" s="300"/>
      <c r="AA54" s="163"/>
      <c r="AB54" s="123"/>
      <c r="AC54" s="313"/>
    </row>
    <row r="55" spans="1:29" ht="15.75" customHeight="1" thickBot="1">
      <c r="A55" s="317"/>
      <c r="B55" s="131" t="s">
        <v>115</v>
      </c>
      <c r="C55" s="294"/>
      <c r="D55" s="294"/>
      <c r="E55" s="132"/>
      <c r="F55" s="97"/>
      <c r="G55" s="133"/>
      <c r="H55" s="67"/>
      <c r="I55" s="134">
        <f t="shared" ref="I55:J55" si="26">AVERAGE(I39:I54)</f>
        <v>3.75</v>
      </c>
      <c r="J55" s="135">
        <f t="shared" si="26"/>
        <v>3450</v>
      </c>
      <c r="K55" s="136">
        <f t="shared" ref="K55" si="27">J55/I55</f>
        <v>920</v>
      </c>
      <c r="L55" s="134">
        <f t="shared" ref="L55:M55" si="28">AVERAGE(L39:L54)</f>
        <v>3.75</v>
      </c>
      <c r="M55" s="135">
        <f t="shared" si="28"/>
        <v>3167.1320250125436</v>
      </c>
      <c r="N55" s="136">
        <f t="shared" ref="N55:N63" si="29">M55/L55</f>
        <v>844.56854000334499</v>
      </c>
      <c r="O55" s="137">
        <f t="shared" ref="O55:O63" si="30">L55-I55</f>
        <v>0</v>
      </c>
      <c r="P55" s="138">
        <f t="shared" ref="P55:P63" si="31">N55-K55</f>
        <v>-75.431459996655008</v>
      </c>
      <c r="Q55" s="139">
        <f t="shared" ref="Q55:Q63" si="32">N55/K55</f>
        <v>0.9180092826123315</v>
      </c>
      <c r="R55" s="309"/>
      <c r="S55" s="140">
        <v>0.25</v>
      </c>
      <c r="T55" s="141">
        <v>0.42571759259259268</v>
      </c>
      <c r="U55" s="142"/>
      <c r="V55" s="164"/>
      <c r="W55" s="97"/>
      <c r="X55" s="67"/>
      <c r="Y55" s="295"/>
      <c r="Z55" s="296"/>
      <c r="AA55" s="166">
        <f t="shared" ref="AA55:AA63" si="33">M55-J55</f>
        <v>-282.86797498745636</v>
      </c>
      <c r="AB55" s="139">
        <f t="shared" ref="AB55:AB63" si="34">M55/J55</f>
        <v>0.9180092826123315</v>
      </c>
      <c r="AC55" s="314"/>
    </row>
    <row r="56" spans="1:29" ht="15.75" customHeight="1">
      <c r="A56" s="301" t="s">
        <v>78</v>
      </c>
      <c r="B56" s="112" t="s">
        <v>118</v>
      </c>
      <c r="C56" s="305" t="s">
        <v>126</v>
      </c>
      <c r="D56" s="306"/>
      <c r="E56" s="145">
        <v>18.18</v>
      </c>
      <c r="F56" s="95">
        <v>919</v>
      </c>
      <c r="G56" s="146">
        <f t="shared" ref="G56:G63" si="35">E56*F56</f>
        <v>16707.419999999998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36">F56/V56*60</f>
        <v>3278.4563420882696</v>
      </c>
      <c r="N56" s="150">
        <f t="shared" si="29"/>
        <v>1092.8187806960898</v>
      </c>
      <c r="O56" s="152">
        <f t="shared" si="30"/>
        <v>0</v>
      </c>
      <c r="P56" s="153">
        <f t="shared" si="31"/>
        <v>-107.18121930391021</v>
      </c>
      <c r="Q56" s="154">
        <f t="shared" si="32"/>
        <v>0.91068231724674154</v>
      </c>
      <c r="R56" s="307">
        <f>Q72</f>
        <v>0.9109182497027426</v>
      </c>
      <c r="S56" s="155">
        <v>0.25</v>
      </c>
      <c r="T56" s="156">
        <v>0.26167824074074075</v>
      </c>
      <c r="U56" s="157"/>
      <c r="V56" s="158">
        <v>16.818891040921297</v>
      </c>
      <c r="W56" s="156"/>
      <c r="X56" s="167"/>
      <c r="Y56" s="310"/>
      <c r="Z56" s="311"/>
      <c r="AA56" s="113">
        <f t="shared" si="33"/>
        <v>-321.54365791173041</v>
      </c>
      <c r="AB56" s="154">
        <f t="shared" si="34"/>
        <v>0.91068231724674154</v>
      </c>
      <c r="AC56" s="312">
        <f>AB72</f>
        <v>0.9109182497027426</v>
      </c>
    </row>
    <row r="57" spans="1:29" ht="15.75" customHeight="1">
      <c r="A57" s="302"/>
      <c r="B57" s="98" t="s">
        <v>118</v>
      </c>
      <c r="C57" s="297" t="s">
        <v>203</v>
      </c>
      <c r="D57" s="298"/>
      <c r="E57" s="99">
        <v>20.72</v>
      </c>
      <c r="F57" s="100">
        <v>384</v>
      </c>
      <c r="G57" s="101">
        <f t="shared" si="35"/>
        <v>7956.48</v>
      </c>
      <c r="H57" s="26"/>
      <c r="I57" s="102">
        <v>3</v>
      </c>
      <c r="J57" s="103">
        <v>3600</v>
      </c>
      <c r="K57" s="104">
        <f t="shared" si="25"/>
        <v>1200</v>
      </c>
      <c r="L57" s="105">
        <v>3</v>
      </c>
      <c r="M57" s="103">
        <f t="shared" si="36"/>
        <v>3278.1171385718608</v>
      </c>
      <c r="N57" s="104">
        <f t="shared" si="29"/>
        <v>1092.7057128572869</v>
      </c>
      <c r="O57" s="106">
        <f t="shared" si="30"/>
        <v>0</v>
      </c>
      <c r="P57" s="107">
        <f t="shared" si="31"/>
        <v>-107.29428714271307</v>
      </c>
      <c r="Q57" s="108">
        <f t="shared" si="32"/>
        <v>0.91058809404773911</v>
      </c>
      <c r="R57" s="308"/>
      <c r="S57" s="46">
        <v>0.27083333333333337</v>
      </c>
      <c r="T57" s="47">
        <v>0.27570601851851856</v>
      </c>
      <c r="U57" s="109">
        <v>13.183333333333369</v>
      </c>
      <c r="V57" s="110">
        <v>7.0284248628276806</v>
      </c>
      <c r="W57" s="111"/>
      <c r="X57" s="13"/>
      <c r="Y57" s="299"/>
      <c r="Z57" s="300"/>
      <c r="AA57" s="115">
        <f t="shared" si="33"/>
        <v>-321.88286142813922</v>
      </c>
      <c r="AB57" s="108">
        <f t="shared" si="34"/>
        <v>0.91058809404773911</v>
      </c>
      <c r="AC57" s="313"/>
    </row>
    <row r="58" spans="1:29" ht="15.75" customHeight="1">
      <c r="A58" s="302"/>
      <c r="B58" s="98" t="s">
        <v>118</v>
      </c>
      <c r="C58" s="297" t="s">
        <v>130</v>
      </c>
      <c r="D58" s="298"/>
      <c r="E58" s="99">
        <v>30</v>
      </c>
      <c r="F58" s="100">
        <v>603</v>
      </c>
      <c r="G58" s="101">
        <f t="shared" si="35"/>
        <v>18090</v>
      </c>
      <c r="H58" s="26"/>
      <c r="I58" s="102">
        <v>4</v>
      </c>
      <c r="J58" s="103">
        <v>3600</v>
      </c>
      <c r="K58" s="104">
        <f t="shared" si="25"/>
        <v>900</v>
      </c>
      <c r="L58" s="105">
        <v>4</v>
      </c>
      <c r="M58" s="103">
        <f t="shared" si="36"/>
        <v>3282.4218628225626</v>
      </c>
      <c r="N58" s="104">
        <f t="shared" si="29"/>
        <v>820.60546570564065</v>
      </c>
      <c r="O58" s="106">
        <f t="shared" si="30"/>
        <v>0</v>
      </c>
      <c r="P58" s="107">
        <f t="shared" si="31"/>
        <v>-79.394534294359346</v>
      </c>
      <c r="Q58" s="108">
        <f t="shared" si="32"/>
        <v>0.91178385078404522</v>
      </c>
      <c r="R58" s="308"/>
      <c r="S58" s="46">
        <v>0.28541666666666671</v>
      </c>
      <c r="T58" s="47">
        <v>0.29306712962962966</v>
      </c>
      <c r="U58" s="109">
        <v>13.983333333333334</v>
      </c>
      <c r="V58" s="110">
        <v>11.022349201905671</v>
      </c>
      <c r="W58" s="111"/>
      <c r="X58" s="13"/>
      <c r="Y58" s="299"/>
      <c r="Z58" s="300"/>
      <c r="AA58" s="115">
        <f t="shared" si="33"/>
        <v>-317.57813717743738</v>
      </c>
      <c r="AB58" s="108">
        <f t="shared" si="34"/>
        <v>0.91178385078404522</v>
      </c>
      <c r="AC58" s="313"/>
    </row>
    <row r="59" spans="1:29" ht="15.75" customHeight="1">
      <c r="A59" s="302"/>
      <c r="B59" s="98" t="s">
        <v>118</v>
      </c>
      <c r="C59" s="297" t="s">
        <v>218</v>
      </c>
      <c r="D59" s="298"/>
      <c r="E59" s="99">
        <v>24.76</v>
      </c>
      <c r="F59" s="100">
        <v>660</v>
      </c>
      <c r="G59" s="101">
        <f t="shared" si="35"/>
        <v>16341.6</v>
      </c>
      <c r="H59" s="26"/>
      <c r="I59" s="102">
        <v>4</v>
      </c>
      <c r="J59" s="103">
        <v>3600</v>
      </c>
      <c r="K59" s="104">
        <f t="shared" si="25"/>
        <v>900</v>
      </c>
      <c r="L59" s="105">
        <v>4</v>
      </c>
      <c r="M59" s="103">
        <f t="shared" si="36"/>
        <v>3278.2633810557863</v>
      </c>
      <c r="N59" s="104">
        <f t="shared" si="29"/>
        <v>819.56584526394658</v>
      </c>
      <c r="O59" s="106">
        <f t="shared" si="30"/>
        <v>0</v>
      </c>
      <c r="P59" s="107">
        <f t="shared" si="31"/>
        <v>-80.434154736053415</v>
      </c>
      <c r="Q59" s="108">
        <f t="shared" si="32"/>
        <v>0.91062871695994063</v>
      </c>
      <c r="R59" s="308"/>
      <c r="S59" s="46">
        <v>0.30277777777777781</v>
      </c>
      <c r="T59" s="47">
        <v>0.31115740740740744</v>
      </c>
      <c r="U59" s="109">
        <v>13.983333333333334</v>
      </c>
      <c r="V59" s="110">
        <v>12.079566342606237</v>
      </c>
      <c r="W59" s="111"/>
      <c r="X59" s="114"/>
      <c r="Y59" s="299"/>
      <c r="Z59" s="300"/>
      <c r="AA59" s="115">
        <f t="shared" si="33"/>
        <v>-321.73661894421366</v>
      </c>
      <c r="AB59" s="108">
        <f t="shared" si="34"/>
        <v>0.91062871695994063</v>
      </c>
      <c r="AC59" s="313"/>
    </row>
    <row r="60" spans="1:29" ht="15.75" customHeight="1">
      <c r="A60" s="303"/>
      <c r="B60" s="98" t="s">
        <v>118</v>
      </c>
      <c r="C60" s="297" t="s">
        <v>122</v>
      </c>
      <c r="D60" s="298"/>
      <c r="E60" s="99">
        <v>17.89</v>
      </c>
      <c r="F60" s="100">
        <v>1326</v>
      </c>
      <c r="G60" s="101">
        <f t="shared" si="35"/>
        <v>23722.14</v>
      </c>
      <c r="H60" s="13"/>
      <c r="I60" s="102">
        <v>4</v>
      </c>
      <c r="J60" s="103">
        <v>3600</v>
      </c>
      <c r="K60" s="104">
        <f t="shared" si="25"/>
        <v>900</v>
      </c>
      <c r="L60" s="105">
        <v>4</v>
      </c>
      <c r="M60" s="103">
        <f t="shared" si="36"/>
        <v>3276.3226418975369</v>
      </c>
      <c r="N60" s="104">
        <f t="shared" si="29"/>
        <v>819.08066047438422</v>
      </c>
      <c r="O60" s="106">
        <f t="shared" si="30"/>
        <v>0</v>
      </c>
      <c r="P60" s="107">
        <f t="shared" si="31"/>
        <v>-80.919339525615783</v>
      </c>
      <c r="Q60" s="108">
        <f t="shared" si="32"/>
        <v>0.91008962274931582</v>
      </c>
      <c r="R60" s="308"/>
      <c r="S60" s="46">
        <v>0.32083333333333341</v>
      </c>
      <c r="T60" s="47">
        <v>0.33768518518518525</v>
      </c>
      <c r="U60" s="109">
        <v>13.933333333333406</v>
      </c>
      <c r="V60" s="110">
        <v>24.28332270533695</v>
      </c>
      <c r="W60" s="111"/>
      <c r="X60" s="114"/>
      <c r="Y60" s="299"/>
      <c r="Z60" s="300"/>
      <c r="AA60" s="115">
        <f t="shared" si="33"/>
        <v>-323.67735810246313</v>
      </c>
      <c r="AB60" s="108">
        <f t="shared" si="34"/>
        <v>0.91008962274931582</v>
      </c>
      <c r="AC60" s="313"/>
    </row>
    <row r="61" spans="1:29" ht="15.75" customHeight="1">
      <c r="A61" s="303"/>
      <c r="B61" s="98" t="s">
        <v>118</v>
      </c>
      <c r="C61" s="297" t="s">
        <v>213</v>
      </c>
      <c r="D61" s="298"/>
      <c r="E61" s="99">
        <v>22.32</v>
      </c>
      <c r="F61" s="100">
        <v>1071</v>
      </c>
      <c r="G61" s="119">
        <f t="shared" si="35"/>
        <v>23904.720000000001</v>
      </c>
      <c r="H61" s="120"/>
      <c r="I61" s="102">
        <v>5</v>
      </c>
      <c r="J61" s="103">
        <v>3600</v>
      </c>
      <c r="K61" s="104">
        <f t="shared" si="25"/>
        <v>720</v>
      </c>
      <c r="L61" s="105">
        <v>5</v>
      </c>
      <c r="M61" s="103">
        <f t="shared" si="36"/>
        <v>3279.2340562004256</v>
      </c>
      <c r="N61" s="104">
        <f t="shared" si="29"/>
        <v>655.84681124008512</v>
      </c>
      <c r="O61" s="106">
        <f t="shared" si="30"/>
        <v>0</v>
      </c>
      <c r="P61" s="107">
        <f t="shared" si="31"/>
        <v>-64.153188759914883</v>
      </c>
      <c r="Q61" s="108">
        <f t="shared" si="32"/>
        <v>0.91089834894456267</v>
      </c>
      <c r="R61" s="308"/>
      <c r="S61" s="46">
        <v>0.34722222222222232</v>
      </c>
      <c r="T61" s="118">
        <v>0.36082175925925936</v>
      </c>
      <c r="U61" s="109">
        <v>13.733333333333375</v>
      </c>
      <c r="V61" s="110">
        <v>19.596039471014951</v>
      </c>
      <c r="W61" s="111"/>
      <c r="X61" s="49"/>
      <c r="Y61" s="299"/>
      <c r="Z61" s="300"/>
      <c r="AA61" s="115">
        <f t="shared" si="33"/>
        <v>-320.76594379957442</v>
      </c>
      <c r="AB61" s="108">
        <f t="shared" si="34"/>
        <v>0.91089834894456267</v>
      </c>
      <c r="AC61" s="313"/>
    </row>
    <row r="62" spans="1:29" ht="15.75" customHeight="1">
      <c r="A62" s="303"/>
      <c r="B62" s="98" t="s">
        <v>118</v>
      </c>
      <c r="C62" s="297" t="s">
        <v>209</v>
      </c>
      <c r="D62" s="298"/>
      <c r="E62" s="99">
        <v>27.48</v>
      </c>
      <c r="F62" s="100">
        <v>724</v>
      </c>
      <c r="G62" s="119">
        <f t="shared" si="35"/>
        <v>19895.52</v>
      </c>
      <c r="H62" s="60"/>
      <c r="I62" s="102">
        <v>5</v>
      </c>
      <c r="J62" s="103">
        <v>3600</v>
      </c>
      <c r="K62" s="104">
        <f t="shared" si="25"/>
        <v>720</v>
      </c>
      <c r="L62" s="105">
        <v>5</v>
      </c>
      <c r="M62" s="103">
        <f t="shared" si="36"/>
        <v>3279.5464229689806</v>
      </c>
      <c r="N62" s="104">
        <f t="shared" si="29"/>
        <v>655.90928459379609</v>
      </c>
      <c r="O62" s="121">
        <f t="shared" si="30"/>
        <v>0</v>
      </c>
      <c r="P62" s="122">
        <f t="shared" si="31"/>
        <v>-64.090715406203913</v>
      </c>
      <c r="Q62" s="123">
        <f t="shared" si="32"/>
        <v>0.91098511749138344</v>
      </c>
      <c r="R62" s="308"/>
      <c r="S62" s="46">
        <v>0.37013888888888902</v>
      </c>
      <c r="T62" s="118">
        <v>0.37932870370370381</v>
      </c>
      <c r="U62" s="109">
        <v>13.416666666666712</v>
      </c>
      <c r="V62" s="110">
        <v>13.245734134378763</v>
      </c>
      <c r="W62" s="111"/>
      <c r="X62" s="114"/>
      <c r="Y62" s="299"/>
      <c r="Z62" s="300"/>
      <c r="AA62" s="115">
        <f t="shared" si="33"/>
        <v>-320.45357703101945</v>
      </c>
      <c r="AB62" s="108">
        <f t="shared" si="34"/>
        <v>0.91098511749138344</v>
      </c>
      <c r="AC62" s="313"/>
    </row>
    <row r="63" spans="1:29" ht="15.75" customHeight="1">
      <c r="A63" s="303"/>
      <c r="B63" s="98" t="s">
        <v>118</v>
      </c>
      <c r="C63" s="297" t="s">
        <v>123</v>
      </c>
      <c r="D63" s="298"/>
      <c r="E63" s="99">
        <v>16.66</v>
      </c>
      <c r="F63" s="100">
        <v>2616</v>
      </c>
      <c r="G63" s="119">
        <f t="shared" si="35"/>
        <v>43582.559999999998</v>
      </c>
      <c r="H63" s="60"/>
      <c r="I63" s="102">
        <v>5</v>
      </c>
      <c r="J63" s="103">
        <v>3600</v>
      </c>
      <c r="K63" s="104">
        <f t="shared" si="25"/>
        <v>720</v>
      </c>
      <c r="L63" s="116">
        <v>5</v>
      </c>
      <c r="M63" s="103">
        <f t="shared" si="36"/>
        <v>3282.08374583357</v>
      </c>
      <c r="N63" s="104">
        <f t="shared" si="29"/>
        <v>656.416749166714</v>
      </c>
      <c r="O63" s="121">
        <f t="shared" si="30"/>
        <v>0</v>
      </c>
      <c r="P63" s="122">
        <f t="shared" si="31"/>
        <v>-63.583250833286002</v>
      </c>
      <c r="Q63" s="123">
        <f t="shared" si="32"/>
        <v>0.91168992939821392</v>
      </c>
      <c r="R63" s="308"/>
      <c r="S63" s="46">
        <v>0.38888888888888906</v>
      </c>
      <c r="T63" s="118">
        <v>0.42209490740740757</v>
      </c>
      <c r="U63" s="109">
        <v>13.766666666666767</v>
      </c>
      <c r="V63" s="110">
        <v>47.823276965206126</v>
      </c>
      <c r="W63" s="111"/>
      <c r="X63" s="114"/>
      <c r="Y63" s="299"/>
      <c r="Z63" s="300"/>
      <c r="AA63" s="115">
        <f t="shared" si="33"/>
        <v>-317.91625416643001</v>
      </c>
      <c r="AB63" s="108">
        <f t="shared" si="34"/>
        <v>0.91168992939821392</v>
      </c>
      <c r="AC63" s="313"/>
    </row>
    <row r="64" spans="1:29" ht="15.75" customHeight="1">
      <c r="A64" s="303"/>
      <c r="B64" s="98"/>
      <c r="C64" s="297"/>
      <c r="D64" s="298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8"/>
      <c r="S64" s="46"/>
      <c r="T64" s="118"/>
      <c r="U64" s="109"/>
      <c r="V64" s="110"/>
      <c r="W64" s="124"/>
      <c r="X64" s="125"/>
      <c r="Y64" s="299"/>
      <c r="Z64" s="300"/>
      <c r="AA64" s="115"/>
      <c r="AB64" s="108"/>
      <c r="AC64" s="313"/>
    </row>
    <row r="65" spans="1:29" ht="15.75" customHeight="1">
      <c r="A65" s="303"/>
      <c r="B65" s="98"/>
      <c r="C65" s="297"/>
      <c r="D65" s="298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8"/>
      <c r="S65" s="46"/>
      <c r="T65" s="118"/>
      <c r="U65" s="109"/>
      <c r="V65" s="110"/>
      <c r="W65" s="124"/>
      <c r="X65" s="125"/>
      <c r="Y65" s="299"/>
      <c r="Z65" s="300"/>
      <c r="AA65" s="115"/>
      <c r="AB65" s="108"/>
      <c r="AC65" s="313"/>
    </row>
    <row r="66" spans="1:29" ht="15.75" customHeight="1">
      <c r="A66" s="303"/>
      <c r="B66" s="98"/>
      <c r="C66" s="297"/>
      <c r="D66" s="298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8"/>
      <c r="S66" s="46"/>
      <c r="T66" s="118"/>
      <c r="U66" s="109"/>
      <c r="V66" s="110"/>
      <c r="W66" s="124"/>
      <c r="X66" s="125"/>
      <c r="Y66" s="299"/>
      <c r="Z66" s="300"/>
      <c r="AA66" s="115"/>
      <c r="AB66" s="108"/>
      <c r="AC66" s="313"/>
    </row>
    <row r="67" spans="1:29" ht="15.75" customHeight="1">
      <c r="A67" s="303"/>
      <c r="B67" s="98"/>
      <c r="C67" s="297"/>
      <c r="D67" s="298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8"/>
      <c r="S67" s="46"/>
      <c r="T67" s="118"/>
      <c r="U67" s="109"/>
      <c r="V67" s="110"/>
      <c r="W67" s="124"/>
      <c r="X67" s="125"/>
      <c r="Y67" s="299"/>
      <c r="Z67" s="300"/>
      <c r="AA67" s="115"/>
      <c r="AB67" s="108"/>
      <c r="AC67" s="313"/>
    </row>
    <row r="68" spans="1:29" ht="15.75" customHeight="1">
      <c r="A68" s="303"/>
      <c r="B68" s="98"/>
      <c r="C68" s="297"/>
      <c r="D68" s="298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8"/>
      <c r="S68" s="46"/>
      <c r="T68" s="118"/>
      <c r="U68" s="109"/>
      <c r="V68" s="110"/>
      <c r="W68" s="124"/>
      <c r="X68" s="125"/>
      <c r="Y68" s="299"/>
      <c r="Z68" s="300"/>
      <c r="AA68" s="115"/>
      <c r="AB68" s="108"/>
      <c r="AC68" s="313"/>
    </row>
    <row r="69" spans="1:29" ht="15.75" customHeight="1">
      <c r="A69" s="303"/>
      <c r="B69" s="98"/>
      <c r="C69" s="297"/>
      <c r="D69" s="298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8"/>
      <c r="S69" s="46"/>
      <c r="T69" s="118"/>
      <c r="U69" s="109"/>
      <c r="V69" s="110"/>
      <c r="W69" s="124"/>
      <c r="X69" s="125"/>
      <c r="Y69" s="299"/>
      <c r="Z69" s="300"/>
      <c r="AA69" s="115"/>
      <c r="AB69" s="108"/>
      <c r="AC69" s="313"/>
    </row>
    <row r="70" spans="1:29" ht="15.75" customHeight="1">
      <c r="A70" s="303"/>
      <c r="B70" s="98"/>
      <c r="C70" s="297"/>
      <c r="D70" s="298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8"/>
      <c r="S70" s="46"/>
      <c r="T70" s="118"/>
      <c r="U70" s="109"/>
      <c r="V70" s="110"/>
      <c r="W70" s="124"/>
      <c r="X70" s="125"/>
      <c r="Y70" s="299"/>
      <c r="Z70" s="300"/>
      <c r="AA70" s="115"/>
      <c r="AB70" s="108"/>
      <c r="AC70" s="313"/>
    </row>
    <row r="71" spans="1:29" ht="15.75" customHeight="1">
      <c r="A71" s="303"/>
      <c r="B71" s="98"/>
      <c r="C71" s="297"/>
      <c r="D71" s="298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8"/>
      <c r="S71" s="117"/>
      <c r="T71" s="118"/>
      <c r="U71" s="128"/>
      <c r="V71" s="129"/>
      <c r="W71" s="124"/>
      <c r="X71" s="125"/>
      <c r="Y71" s="299"/>
      <c r="Z71" s="300"/>
      <c r="AA71" s="163"/>
      <c r="AB71" s="123"/>
      <c r="AC71" s="313"/>
    </row>
    <row r="72" spans="1:29" ht="15.75" customHeight="1" thickBot="1">
      <c r="A72" s="304"/>
      <c r="B72" s="131" t="s">
        <v>115</v>
      </c>
      <c r="C72" s="294"/>
      <c r="D72" s="294"/>
      <c r="E72" s="132"/>
      <c r="F72" s="165"/>
      <c r="G72" s="133"/>
      <c r="H72" s="67"/>
      <c r="I72" s="134">
        <f t="shared" ref="I72:J72" si="37">AVERAGE(I56:I71)</f>
        <v>4.125</v>
      </c>
      <c r="J72" s="135">
        <f t="shared" si="37"/>
        <v>3600</v>
      </c>
      <c r="K72" s="136">
        <f t="shared" ref="K72" si="38">J72/I72</f>
        <v>872.72727272727275</v>
      </c>
      <c r="L72" s="134">
        <f t="shared" ref="L72:M72" si="39">AVERAGE(L56:L71)</f>
        <v>4.125</v>
      </c>
      <c r="M72" s="135">
        <f t="shared" si="39"/>
        <v>3279.3056989298734</v>
      </c>
      <c r="N72" s="136">
        <f>M72/L72</f>
        <v>794.9831997405754</v>
      </c>
      <c r="O72" s="137">
        <f>L72-I72</f>
        <v>0</v>
      </c>
      <c r="P72" s="138">
        <f>N72-K72</f>
        <v>-77.744072986697347</v>
      </c>
      <c r="Q72" s="139">
        <f>N72/K72</f>
        <v>0.9109182497027426</v>
      </c>
      <c r="R72" s="309"/>
      <c r="S72" s="140">
        <v>0.25</v>
      </c>
      <c r="T72" s="141">
        <v>0.42209490740740757</v>
      </c>
      <c r="U72" s="142"/>
      <c r="V72" s="164"/>
      <c r="W72" s="165"/>
      <c r="X72" s="136"/>
      <c r="Y72" s="295"/>
      <c r="Z72" s="296"/>
      <c r="AA72" s="166">
        <f>M72-J72</f>
        <v>-320.69430107012658</v>
      </c>
      <c r="AB72" s="139">
        <f>M72/J72</f>
        <v>0.9109182497027426</v>
      </c>
      <c r="AC72" s="314"/>
    </row>
    <row r="73" spans="1:29" ht="15.75" customHeight="1">
      <c r="A73" s="315" t="s">
        <v>131</v>
      </c>
      <c r="B73" s="112" t="s">
        <v>118</v>
      </c>
      <c r="C73" s="305" t="s">
        <v>132</v>
      </c>
      <c r="D73" s="306"/>
      <c r="E73" s="145">
        <v>28.57</v>
      </c>
      <c r="F73" s="95">
        <v>943</v>
      </c>
      <c r="G73" s="146">
        <f t="shared" ref="G73" si="40">E73*F73</f>
        <v>26941.510000000002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3121.221259023554</v>
      </c>
      <c r="N73" s="150">
        <f>M73/L73</f>
        <v>260.10177158529615</v>
      </c>
      <c r="O73" s="152">
        <f>L73-I73</f>
        <v>0</v>
      </c>
      <c r="P73" s="153">
        <f>N73-K73</f>
        <v>-39.898228414703851</v>
      </c>
      <c r="Q73" s="154">
        <f>N73/K73</f>
        <v>0.86700590528432053</v>
      </c>
      <c r="R73" s="307">
        <f>Q89</f>
        <v>0.86700590528432053</v>
      </c>
      <c r="S73" s="155">
        <v>0.73749999999999993</v>
      </c>
      <c r="T73" s="156">
        <v>0.75008101851851849</v>
      </c>
      <c r="U73" s="157"/>
      <c r="V73" s="158">
        <v>18.127519744531199</v>
      </c>
      <c r="W73" s="156"/>
      <c r="X73" s="167"/>
      <c r="Y73" s="310"/>
      <c r="Z73" s="311"/>
      <c r="AA73" s="113">
        <f>M73-J73</f>
        <v>-478.77874097644599</v>
      </c>
      <c r="AB73" s="154">
        <f>M73/J73</f>
        <v>0.86700590528432053</v>
      </c>
      <c r="AC73" s="312">
        <f>AB89</f>
        <v>0.86700590528432053</v>
      </c>
    </row>
    <row r="74" spans="1:29" ht="15.75" customHeight="1">
      <c r="A74" s="316"/>
      <c r="B74" s="98"/>
      <c r="C74" s="297"/>
      <c r="D74" s="298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8"/>
      <c r="S74" s="46"/>
      <c r="T74" s="47"/>
      <c r="U74" s="109"/>
      <c r="V74" s="110"/>
      <c r="W74" s="111"/>
      <c r="X74" s="13"/>
      <c r="Y74" s="299"/>
      <c r="Z74" s="300"/>
      <c r="AA74" s="115"/>
      <c r="AB74" s="108"/>
      <c r="AC74" s="313"/>
    </row>
    <row r="75" spans="1:29" ht="15.75" customHeight="1">
      <c r="A75" s="316"/>
      <c r="B75" s="98"/>
      <c r="C75" s="297"/>
      <c r="D75" s="298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8"/>
      <c r="S75" s="46"/>
      <c r="T75" s="47"/>
      <c r="U75" s="109"/>
      <c r="V75" s="110"/>
      <c r="W75" s="111"/>
      <c r="X75" s="13"/>
      <c r="Y75" s="299"/>
      <c r="Z75" s="300"/>
      <c r="AA75" s="115"/>
      <c r="AB75" s="108"/>
      <c r="AC75" s="313"/>
    </row>
    <row r="76" spans="1:29" ht="15.75" customHeight="1">
      <c r="A76" s="316"/>
      <c r="B76" s="98"/>
      <c r="C76" s="297"/>
      <c r="D76" s="298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8"/>
      <c r="S76" s="46"/>
      <c r="T76" s="47"/>
      <c r="U76" s="109"/>
      <c r="V76" s="110"/>
      <c r="W76" s="111"/>
      <c r="X76" s="114"/>
      <c r="Y76" s="299"/>
      <c r="Z76" s="300"/>
      <c r="AA76" s="115"/>
      <c r="AB76" s="108"/>
      <c r="AC76" s="313"/>
    </row>
    <row r="77" spans="1:29" ht="15.75" customHeight="1">
      <c r="A77" s="316"/>
      <c r="B77" s="98"/>
      <c r="C77" s="297"/>
      <c r="D77" s="298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8"/>
      <c r="S77" s="46"/>
      <c r="T77" s="47"/>
      <c r="U77" s="109"/>
      <c r="V77" s="110"/>
      <c r="W77" s="111"/>
      <c r="X77" s="114"/>
      <c r="Y77" s="299"/>
      <c r="Z77" s="300"/>
      <c r="AA77" s="115"/>
      <c r="AB77" s="108"/>
      <c r="AC77" s="313"/>
    </row>
    <row r="78" spans="1:29" ht="15.75" customHeight="1">
      <c r="A78" s="316"/>
      <c r="B78" s="98"/>
      <c r="C78" s="297"/>
      <c r="D78" s="298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8"/>
      <c r="S78" s="46"/>
      <c r="T78" s="118"/>
      <c r="U78" s="109"/>
      <c r="V78" s="110"/>
      <c r="W78" s="111"/>
      <c r="X78" s="49"/>
      <c r="Y78" s="299"/>
      <c r="Z78" s="300"/>
      <c r="AA78" s="115"/>
      <c r="AB78" s="108"/>
      <c r="AC78" s="313"/>
    </row>
    <row r="79" spans="1:29" ht="15.75" customHeight="1">
      <c r="A79" s="316"/>
      <c r="B79" s="98"/>
      <c r="C79" s="297"/>
      <c r="D79" s="298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8"/>
      <c r="S79" s="46"/>
      <c r="T79" s="118"/>
      <c r="U79" s="109"/>
      <c r="V79" s="110"/>
      <c r="W79" s="111"/>
      <c r="X79" s="114"/>
      <c r="Y79" s="299"/>
      <c r="Z79" s="300"/>
      <c r="AA79" s="115"/>
      <c r="AB79" s="108"/>
      <c r="AC79" s="313"/>
    </row>
    <row r="80" spans="1:29" ht="15.75" customHeight="1">
      <c r="A80" s="316"/>
      <c r="B80" s="98"/>
      <c r="C80" s="297"/>
      <c r="D80" s="298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8"/>
      <c r="S80" s="46"/>
      <c r="T80" s="118"/>
      <c r="U80" s="109"/>
      <c r="V80" s="110"/>
      <c r="W80" s="111"/>
      <c r="X80" s="114"/>
      <c r="Y80" s="299"/>
      <c r="Z80" s="300"/>
      <c r="AA80" s="115"/>
      <c r="AB80" s="108"/>
      <c r="AC80" s="313"/>
    </row>
    <row r="81" spans="1:29" ht="15.75" customHeight="1">
      <c r="A81" s="316"/>
      <c r="B81" s="98"/>
      <c r="C81" s="297"/>
      <c r="D81" s="298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8"/>
      <c r="S81" s="46"/>
      <c r="T81" s="118"/>
      <c r="U81" s="109"/>
      <c r="V81" s="110"/>
      <c r="W81" s="124"/>
      <c r="X81" s="125"/>
      <c r="Y81" s="299"/>
      <c r="Z81" s="300"/>
      <c r="AA81" s="115"/>
      <c r="AB81" s="108"/>
      <c r="AC81" s="313"/>
    </row>
    <row r="82" spans="1:29" ht="15.75" customHeight="1">
      <c r="A82" s="316"/>
      <c r="B82" s="98"/>
      <c r="C82" s="297"/>
      <c r="D82" s="298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8"/>
      <c r="S82" s="46"/>
      <c r="T82" s="118"/>
      <c r="U82" s="109"/>
      <c r="V82" s="110"/>
      <c r="W82" s="124"/>
      <c r="X82" s="125"/>
      <c r="Y82" s="299"/>
      <c r="Z82" s="300"/>
      <c r="AA82" s="115"/>
      <c r="AB82" s="108"/>
      <c r="AC82" s="313"/>
    </row>
    <row r="83" spans="1:29" ht="15.75" customHeight="1">
      <c r="A83" s="316"/>
      <c r="B83" s="98"/>
      <c r="C83" s="297"/>
      <c r="D83" s="298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8"/>
      <c r="S83" s="46"/>
      <c r="T83" s="118"/>
      <c r="U83" s="109"/>
      <c r="V83" s="110"/>
      <c r="W83" s="124"/>
      <c r="X83" s="125"/>
      <c r="Y83" s="299"/>
      <c r="Z83" s="300"/>
      <c r="AA83" s="115"/>
      <c r="AB83" s="108"/>
      <c r="AC83" s="313"/>
    </row>
    <row r="84" spans="1:29" ht="15.75" customHeight="1">
      <c r="A84" s="316"/>
      <c r="B84" s="98"/>
      <c r="C84" s="297"/>
      <c r="D84" s="298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8"/>
      <c r="S84" s="46"/>
      <c r="T84" s="118"/>
      <c r="U84" s="109"/>
      <c r="V84" s="110"/>
      <c r="W84" s="124"/>
      <c r="X84" s="125"/>
      <c r="Y84" s="299"/>
      <c r="Z84" s="300"/>
      <c r="AA84" s="115"/>
      <c r="AB84" s="108"/>
      <c r="AC84" s="313"/>
    </row>
    <row r="85" spans="1:29" ht="15.75" customHeight="1">
      <c r="A85" s="316"/>
      <c r="B85" s="98"/>
      <c r="C85" s="297"/>
      <c r="D85" s="298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8"/>
      <c r="S85" s="46"/>
      <c r="T85" s="118"/>
      <c r="U85" s="109"/>
      <c r="V85" s="110"/>
      <c r="W85" s="124"/>
      <c r="X85" s="125"/>
      <c r="Y85" s="299"/>
      <c r="Z85" s="300"/>
      <c r="AA85" s="115"/>
      <c r="AB85" s="108"/>
      <c r="AC85" s="313"/>
    </row>
    <row r="86" spans="1:29" ht="15.75" customHeight="1">
      <c r="A86" s="316"/>
      <c r="B86" s="98"/>
      <c r="C86" s="297"/>
      <c r="D86" s="298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8"/>
      <c r="S86" s="46"/>
      <c r="T86" s="118"/>
      <c r="U86" s="109"/>
      <c r="V86" s="110"/>
      <c r="W86" s="124"/>
      <c r="X86" s="125"/>
      <c r="Y86" s="299"/>
      <c r="Z86" s="300"/>
      <c r="AA86" s="115"/>
      <c r="AB86" s="108"/>
      <c r="AC86" s="313"/>
    </row>
    <row r="87" spans="1:29" ht="15.75" customHeight="1">
      <c r="A87" s="316"/>
      <c r="B87" s="98"/>
      <c r="C87" s="297"/>
      <c r="D87" s="298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8"/>
      <c r="S87" s="46"/>
      <c r="T87" s="118"/>
      <c r="U87" s="109"/>
      <c r="V87" s="110"/>
      <c r="W87" s="124"/>
      <c r="X87" s="125"/>
      <c r="Y87" s="299"/>
      <c r="Z87" s="300"/>
      <c r="AA87" s="115"/>
      <c r="AB87" s="108"/>
      <c r="AC87" s="313"/>
    </row>
    <row r="88" spans="1:29" ht="15.75" customHeight="1">
      <c r="A88" s="316"/>
      <c r="B88" s="98"/>
      <c r="C88" s="297"/>
      <c r="D88" s="298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8"/>
      <c r="S88" s="117"/>
      <c r="T88" s="118"/>
      <c r="U88" s="128"/>
      <c r="V88" s="129"/>
      <c r="W88" s="124"/>
      <c r="X88" s="125"/>
      <c r="Y88" s="299"/>
      <c r="Z88" s="300"/>
      <c r="AA88" s="163"/>
      <c r="AB88" s="123"/>
      <c r="AC88" s="313"/>
    </row>
    <row r="89" spans="1:29" ht="15.75" customHeight="1" thickBot="1">
      <c r="A89" s="317"/>
      <c r="B89" s="131" t="s">
        <v>115</v>
      </c>
      <c r="C89" s="294"/>
      <c r="D89" s="294"/>
      <c r="E89" s="132"/>
      <c r="F89" s="165"/>
      <c r="G89" s="133"/>
      <c r="H89" s="67"/>
      <c r="I89" s="134">
        <f t="shared" ref="I89:J89" si="41">AVERAGE(I73:I88)</f>
        <v>12</v>
      </c>
      <c r="J89" s="135">
        <f t="shared" si="41"/>
        <v>3600</v>
      </c>
      <c r="K89" s="136">
        <f t="shared" ref="K89" si="42">J89/I89</f>
        <v>300</v>
      </c>
      <c r="L89" s="134">
        <f t="shared" ref="L89:M89" si="43">AVERAGE(L73:L88)</f>
        <v>12</v>
      </c>
      <c r="M89" s="135">
        <f t="shared" si="43"/>
        <v>3121.221259023554</v>
      </c>
      <c r="N89" s="136">
        <f>M89/L89</f>
        <v>260.10177158529615</v>
      </c>
      <c r="O89" s="137">
        <f>L89-I89</f>
        <v>0</v>
      </c>
      <c r="P89" s="138">
        <f>N89-K89</f>
        <v>-39.898228414703851</v>
      </c>
      <c r="Q89" s="139">
        <f>N89/K89</f>
        <v>0.86700590528432053</v>
      </c>
      <c r="R89" s="309"/>
      <c r="S89" s="140">
        <v>0.73749999999999993</v>
      </c>
      <c r="T89" s="141">
        <v>0.75008101851851849</v>
      </c>
      <c r="U89" s="142"/>
      <c r="V89" s="164"/>
      <c r="W89" s="165"/>
      <c r="X89" s="136"/>
      <c r="Y89" s="295"/>
      <c r="Z89" s="296"/>
      <c r="AA89" s="166">
        <f>M89-J89</f>
        <v>-478.77874097644599</v>
      </c>
      <c r="AB89" s="139">
        <f>M89/J89</f>
        <v>0.86700590528432053</v>
      </c>
      <c r="AC89" s="314"/>
    </row>
    <row r="90" spans="1:29" ht="15.75" customHeight="1">
      <c r="A90" s="301" t="s">
        <v>135</v>
      </c>
      <c r="B90" s="112" t="s">
        <v>118</v>
      </c>
      <c r="C90" s="305" t="s">
        <v>134</v>
      </c>
      <c r="D90" s="306"/>
      <c r="E90" s="145">
        <v>24.54</v>
      </c>
      <c r="F90" s="95">
        <v>795</v>
      </c>
      <c r="G90" s="146">
        <f t="shared" ref="G90" si="44">E90*F90</f>
        <v>19509.3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2791.9478895308025</v>
      </c>
      <c r="N90" s="150">
        <f>M90/L90</f>
        <v>697.98697238270063</v>
      </c>
      <c r="O90" s="152">
        <f>L90-I90</f>
        <v>0</v>
      </c>
      <c r="P90" s="153">
        <f>N90-K90</f>
        <v>-52.013027617299372</v>
      </c>
      <c r="Q90" s="154">
        <f>N90/K90</f>
        <v>0.93064929651026751</v>
      </c>
      <c r="R90" s="307">
        <f>Q106</f>
        <v>0.93064929651026751</v>
      </c>
      <c r="S90" s="155">
        <v>0.70833333333333337</v>
      </c>
      <c r="T90" s="156">
        <v>0.7201967592592593</v>
      </c>
      <c r="U90" s="157"/>
      <c r="V90" s="158">
        <v>17.084846095754376</v>
      </c>
      <c r="W90" s="159"/>
      <c r="X90" s="160"/>
      <c r="Y90" s="310"/>
      <c r="Z90" s="311"/>
      <c r="AA90" s="113">
        <f>M90-J90</f>
        <v>-208.05211046919749</v>
      </c>
      <c r="AB90" s="154">
        <f>M90/J90</f>
        <v>0.93064929651026751</v>
      </c>
      <c r="AC90" s="312">
        <f>AB106</f>
        <v>0.93064929651026751</v>
      </c>
    </row>
    <row r="91" spans="1:29" ht="15.75" customHeight="1">
      <c r="A91" s="302"/>
      <c r="B91" s="98"/>
      <c r="C91" s="297"/>
      <c r="D91" s="298"/>
      <c r="E91" s="99"/>
      <c r="F91" s="100"/>
      <c r="G91" s="101"/>
      <c r="H91" s="26"/>
      <c r="I91" s="102"/>
      <c r="J91" s="103"/>
      <c r="K91" s="104"/>
      <c r="L91" s="105"/>
      <c r="M91" s="103"/>
      <c r="N91" s="104"/>
      <c r="O91" s="106"/>
      <c r="P91" s="107"/>
      <c r="Q91" s="108"/>
      <c r="R91" s="308"/>
      <c r="S91" s="46"/>
      <c r="T91" s="47"/>
      <c r="U91" s="109"/>
      <c r="V91" s="110"/>
      <c r="W91" s="111"/>
      <c r="X91" s="114"/>
      <c r="Y91" s="299"/>
      <c r="Z91" s="300"/>
      <c r="AA91" s="115"/>
      <c r="AB91" s="108"/>
      <c r="AC91" s="313"/>
    </row>
    <row r="92" spans="1:29" ht="15.75" customHeight="1">
      <c r="A92" s="302"/>
      <c r="B92" s="98"/>
      <c r="C92" s="297"/>
      <c r="D92" s="298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8"/>
      <c r="S92" s="46"/>
      <c r="T92" s="47"/>
      <c r="U92" s="109"/>
      <c r="V92" s="110"/>
      <c r="W92" s="111"/>
      <c r="X92" s="114"/>
      <c r="Y92" s="299"/>
      <c r="Z92" s="300"/>
      <c r="AA92" s="115"/>
      <c r="AB92" s="108"/>
      <c r="AC92" s="313"/>
    </row>
    <row r="93" spans="1:29" ht="15.75" customHeight="1">
      <c r="A93" s="302"/>
      <c r="B93" s="98"/>
      <c r="C93" s="297"/>
      <c r="D93" s="298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8"/>
      <c r="S93" s="46"/>
      <c r="T93" s="47"/>
      <c r="U93" s="109"/>
      <c r="V93" s="110"/>
      <c r="W93" s="111"/>
      <c r="X93" s="114"/>
      <c r="Y93" s="299"/>
      <c r="Z93" s="300"/>
      <c r="AA93" s="115"/>
      <c r="AB93" s="108"/>
      <c r="AC93" s="313"/>
    </row>
    <row r="94" spans="1:29" ht="15.75" customHeight="1">
      <c r="A94" s="303"/>
      <c r="B94" s="98"/>
      <c r="C94" s="297"/>
      <c r="D94" s="298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8"/>
      <c r="S94" s="46"/>
      <c r="T94" s="47"/>
      <c r="U94" s="109"/>
      <c r="V94" s="110"/>
      <c r="W94" s="111"/>
      <c r="X94" s="114"/>
      <c r="Y94" s="299"/>
      <c r="Z94" s="300"/>
      <c r="AA94" s="115"/>
      <c r="AB94" s="108"/>
      <c r="AC94" s="313"/>
    </row>
    <row r="95" spans="1:29" ht="15.75" customHeight="1">
      <c r="A95" s="303"/>
      <c r="B95" s="98"/>
      <c r="C95" s="297"/>
      <c r="D95" s="298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8"/>
      <c r="S95" s="46"/>
      <c r="T95" s="118"/>
      <c r="U95" s="109"/>
      <c r="V95" s="110"/>
      <c r="W95" s="111"/>
      <c r="X95" s="114"/>
      <c r="Y95" s="299"/>
      <c r="Z95" s="300"/>
      <c r="AA95" s="115"/>
      <c r="AB95" s="108"/>
      <c r="AC95" s="313"/>
    </row>
    <row r="96" spans="1:29" ht="15.75" customHeight="1">
      <c r="A96" s="303"/>
      <c r="B96" s="98"/>
      <c r="C96" s="297"/>
      <c r="D96" s="298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8"/>
      <c r="S96" s="46"/>
      <c r="T96" s="118"/>
      <c r="U96" s="109"/>
      <c r="V96" s="110"/>
      <c r="W96" s="111"/>
      <c r="X96" s="114"/>
      <c r="Y96" s="299"/>
      <c r="Z96" s="300"/>
      <c r="AA96" s="115"/>
      <c r="AB96" s="108"/>
      <c r="AC96" s="313"/>
    </row>
    <row r="97" spans="1:29" ht="15.75" customHeight="1">
      <c r="A97" s="303"/>
      <c r="B97" s="98"/>
      <c r="C97" s="297"/>
      <c r="D97" s="298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8"/>
      <c r="S97" s="46"/>
      <c r="T97" s="118"/>
      <c r="U97" s="109"/>
      <c r="V97" s="110"/>
      <c r="W97" s="111"/>
      <c r="X97" s="114"/>
      <c r="Y97" s="299"/>
      <c r="Z97" s="300"/>
      <c r="AA97" s="115"/>
      <c r="AB97" s="108"/>
      <c r="AC97" s="313"/>
    </row>
    <row r="98" spans="1:29" ht="15.75" customHeight="1">
      <c r="A98" s="303"/>
      <c r="B98" s="98"/>
      <c r="C98" s="297"/>
      <c r="D98" s="298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8"/>
      <c r="S98" s="46"/>
      <c r="T98" s="118"/>
      <c r="U98" s="109"/>
      <c r="V98" s="110"/>
      <c r="W98" s="111"/>
      <c r="X98" s="114"/>
      <c r="Y98" s="299"/>
      <c r="Z98" s="300"/>
      <c r="AA98" s="115"/>
      <c r="AB98" s="108"/>
      <c r="AC98" s="313"/>
    </row>
    <row r="99" spans="1:29" ht="15.75" customHeight="1">
      <c r="A99" s="303"/>
      <c r="B99" s="98"/>
      <c r="C99" s="297"/>
      <c r="D99" s="298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8"/>
      <c r="S99" s="46"/>
      <c r="T99" s="118"/>
      <c r="U99" s="109"/>
      <c r="V99" s="110"/>
      <c r="W99" s="111"/>
      <c r="X99" s="114"/>
      <c r="Y99" s="299"/>
      <c r="Z99" s="300"/>
      <c r="AA99" s="115"/>
      <c r="AB99" s="108"/>
      <c r="AC99" s="313"/>
    </row>
    <row r="100" spans="1:29" ht="15.75" customHeight="1">
      <c r="A100" s="303"/>
      <c r="B100" s="98"/>
      <c r="C100" s="297"/>
      <c r="D100" s="298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8"/>
      <c r="S100" s="46"/>
      <c r="T100" s="118"/>
      <c r="U100" s="109"/>
      <c r="V100" s="110"/>
      <c r="W100" s="124"/>
      <c r="X100" s="125"/>
      <c r="Y100" s="299"/>
      <c r="Z100" s="300"/>
      <c r="AA100" s="115"/>
      <c r="AB100" s="108"/>
      <c r="AC100" s="313"/>
    </row>
    <row r="101" spans="1:29" ht="15.75" customHeight="1">
      <c r="A101" s="303"/>
      <c r="B101" s="98"/>
      <c r="C101" s="297"/>
      <c r="D101" s="298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8"/>
      <c r="S101" s="46"/>
      <c r="T101" s="118"/>
      <c r="U101" s="109"/>
      <c r="V101" s="110"/>
      <c r="W101" s="124"/>
      <c r="X101" s="125"/>
      <c r="Y101" s="299"/>
      <c r="Z101" s="300"/>
      <c r="AA101" s="115"/>
      <c r="AB101" s="108"/>
      <c r="AC101" s="313"/>
    </row>
    <row r="102" spans="1:29" ht="15.75" customHeight="1">
      <c r="A102" s="303"/>
      <c r="B102" s="98"/>
      <c r="C102" s="297"/>
      <c r="D102" s="298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8"/>
      <c r="S102" s="46"/>
      <c r="T102" s="118"/>
      <c r="U102" s="109"/>
      <c r="V102" s="110"/>
      <c r="W102" s="124"/>
      <c r="X102" s="125"/>
      <c r="Y102" s="299"/>
      <c r="Z102" s="300"/>
      <c r="AA102" s="115"/>
      <c r="AB102" s="108"/>
      <c r="AC102" s="313"/>
    </row>
    <row r="103" spans="1:29" ht="15.75" customHeight="1">
      <c r="A103" s="303"/>
      <c r="B103" s="98"/>
      <c r="C103" s="297"/>
      <c r="D103" s="298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8"/>
      <c r="S103" s="46"/>
      <c r="T103" s="118"/>
      <c r="U103" s="109"/>
      <c r="V103" s="110"/>
      <c r="W103" s="124"/>
      <c r="X103" s="125"/>
      <c r="Y103" s="299"/>
      <c r="Z103" s="300"/>
      <c r="AA103" s="115"/>
      <c r="AB103" s="108"/>
      <c r="AC103" s="313"/>
    </row>
    <row r="104" spans="1:29" ht="15.75" customHeight="1">
      <c r="A104" s="303"/>
      <c r="B104" s="98"/>
      <c r="C104" s="297"/>
      <c r="D104" s="298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8"/>
      <c r="S104" s="46"/>
      <c r="T104" s="118"/>
      <c r="U104" s="109"/>
      <c r="V104" s="110"/>
      <c r="W104" s="124"/>
      <c r="X104" s="125"/>
      <c r="Y104" s="299"/>
      <c r="Z104" s="300"/>
      <c r="AA104" s="115"/>
      <c r="AB104" s="108"/>
      <c r="AC104" s="313"/>
    </row>
    <row r="105" spans="1:29" ht="15.75" customHeight="1">
      <c r="A105" s="303"/>
      <c r="B105" s="98"/>
      <c r="C105" s="297"/>
      <c r="D105" s="298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8"/>
      <c r="S105" s="117"/>
      <c r="T105" s="118"/>
      <c r="U105" s="128"/>
      <c r="V105" s="129"/>
      <c r="W105" s="124"/>
      <c r="X105" s="125"/>
      <c r="Y105" s="299"/>
      <c r="Z105" s="300"/>
      <c r="AA105" s="163"/>
      <c r="AB105" s="123"/>
      <c r="AC105" s="313"/>
    </row>
    <row r="106" spans="1:29" ht="15.75" customHeight="1" thickBot="1">
      <c r="A106" s="304"/>
      <c r="B106" s="131" t="s">
        <v>115</v>
      </c>
      <c r="C106" s="294"/>
      <c r="D106" s="294"/>
      <c r="E106" s="132"/>
      <c r="F106" s="97"/>
      <c r="G106" s="133"/>
      <c r="H106" s="67"/>
      <c r="I106" s="134">
        <f t="shared" ref="I106:J106" si="45">AVERAGE(I90:I105)</f>
        <v>4</v>
      </c>
      <c r="J106" s="135">
        <f t="shared" si="45"/>
        <v>3000</v>
      </c>
      <c r="K106" s="136">
        <f t="shared" ref="K106" si="46">J106/I106</f>
        <v>750</v>
      </c>
      <c r="L106" s="134">
        <f t="shared" ref="L106:M106" si="47">AVERAGE(L90:L105)</f>
        <v>4</v>
      </c>
      <c r="M106" s="135">
        <f t="shared" si="47"/>
        <v>2791.9478895308025</v>
      </c>
      <c r="N106" s="136">
        <f t="shared" ref="N106:N120" si="48">M106/L106</f>
        <v>697.98697238270063</v>
      </c>
      <c r="O106" s="137">
        <f t="shared" ref="O106:O120" si="49">L106-I106</f>
        <v>0</v>
      </c>
      <c r="P106" s="138">
        <f t="shared" ref="P106:P120" si="50">N106-K106</f>
        <v>-52.013027617299372</v>
      </c>
      <c r="Q106" s="139">
        <f t="shared" ref="Q106:Q120" si="51">N106/K106</f>
        <v>0.93064929651026751</v>
      </c>
      <c r="R106" s="309"/>
      <c r="S106" s="140">
        <v>0.70833333333333337</v>
      </c>
      <c r="T106" s="141">
        <v>0.7201967592592593</v>
      </c>
      <c r="U106" s="142"/>
      <c r="V106" s="164"/>
      <c r="W106" s="97"/>
      <c r="X106" s="67"/>
      <c r="Y106" s="295"/>
      <c r="Z106" s="296"/>
      <c r="AA106" s="166">
        <f t="shared" ref="AA106:AA120" si="52">M106-J106</f>
        <v>-208.05211046919749</v>
      </c>
      <c r="AB106" s="139">
        <f t="shared" ref="AB106:AB120" si="53">M106/J106</f>
        <v>0.93064929651026751</v>
      </c>
      <c r="AC106" s="314"/>
    </row>
    <row r="107" spans="1:29" ht="15.75" customHeight="1">
      <c r="A107" s="315" t="s">
        <v>138</v>
      </c>
      <c r="B107" s="112" t="s">
        <v>118</v>
      </c>
      <c r="C107" s="305" t="s">
        <v>139</v>
      </c>
      <c r="D107" s="306"/>
      <c r="E107" s="145">
        <v>14.03</v>
      </c>
      <c r="F107" s="95">
        <v>300</v>
      </c>
      <c r="G107" s="146">
        <f t="shared" ref="G107:G120" si="54">E107*F107</f>
        <v>4209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55">F107/V107*60</f>
        <v>2798.8382829214329</v>
      </c>
      <c r="N107" s="150">
        <f t="shared" si="48"/>
        <v>932.94609430714434</v>
      </c>
      <c r="O107" s="152">
        <f t="shared" si="49"/>
        <v>0</v>
      </c>
      <c r="P107" s="153">
        <f t="shared" si="50"/>
        <v>-67.053905692855665</v>
      </c>
      <c r="Q107" s="154">
        <f t="shared" si="51"/>
        <v>0.93294609430714437</v>
      </c>
      <c r="R107" s="307">
        <f>Q123</f>
        <v>0.91632292870024845</v>
      </c>
      <c r="S107" s="155">
        <v>0.7319444444444444</v>
      </c>
      <c r="T107" s="156">
        <v>0.73640046296296291</v>
      </c>
      <c r="U107" s="157"/>
      <c r="V107" s="158">
        <v>6.4312397432307398</v>
      </c>
      <c r="W107" s="159"/>
      <c r="X107" s="160"/>
      <c r="Y107" s="310"/>
      <c r="Z107" s="311"/>
      <c r="AA107" s="113">
        <f t="shared" si="52"/>
        <v>-201.16171707856711</v>
      </c>
      <c r="AB107" s="154">
        <f t="shared" si="53"/>
        <v>0.93294609430714426</v>
      </c>
      <c r="AC107" s="312">
        <f>AB123</f>
        <v>0.91632292870024845</v>
      </c>
    </row>
    <row r="108" spans="1:29" ht="15.75" customHeight="1">
      <c r="A108" s="316"/>
      <c r="B108" s="98" t="s">
        <v>118</v>
      </c>
      <c r="C108" s="297" t="s">
        <v>140</v>
      </c>
      <c r="D108" s="298"/>
      <c r="E108" s="99">
        <v>18.18</v>
      </c>
      <c r="F108" s="100">
        <v>557</v>
      </c>
      <c r="G108" s="101">
        <f t="shared" si="54"/>
        <v>10126.26</v>
      </c>
      <c r="H108" s="26">
        <v>2</v>
      </c>
      <c r="I108" s="102">
        <v>3</v>
      </c>
      <c r="J108" s="103">
        <v>3000</v>
      </c>
      <c r="K108" s="104">
        <f t="shared" ref="K108:K137" si="56">J108/I108</f>
        <v>1000</v>
      </c>
      <c r="L108" s="105">
        <v>3</v>
      </c>
      <c r="M108" s="103">
        <f t="shared" si="55"/>
        <v>2795.0963593984502</v>
      </c>
      <c r="N108" s="104">
        <f t="shared" si="48"/>
        <v>931.69878646615007</v>
      </c>
      <c r="O108" s="106">
        <f t="shared" si="49"/>
        <v>0</v>
      </c>
      <c r="P108" s="107">
        <f t="shared" si="50"/>
        <v>-68.301213533849932</v>
      </c>
      <c r="Q108" s="108">
        <f t="shared" si="51"/>
        <v>0.93169878646615012</v>
      </c>
      <c r="R108" s="308"/>
      <c r="S108" s="46">
        <v>0.74583333333333324</v>
      </c>
      <c r="T108" s="47">
        <v>0.75413194444444431</v>
      </c>
      <c r="U108" s="109">
        <v>13.583333333333272</v>
      </c>
      <c r="V108" s="110">
        <v>11.9566539763919</v>
      </c>
      <c r="W108" s="111"/>
      <c r="X108" s="114"/>
      <c r="Y108" s="299"/>
      <c r="Z108" s="300"/>
      <c r="AA108" s="115">
        <f t="shared" si="52"/>
        <v>-204.9036406015498</v>
      </c>
      <c r="AB108" s="108">
        <f t="shared" si="53"/>
        <v>0.93169878646615012</v>
      </c>
      <c r="AC108" s="313"/>
    </row>
    <row r="109" spans="1:29" ht="15.75" customHeight="1">
      <c r="A109" s="316"/>
      <c r="B109" s="98" t="s">
        <v>118</v>
      </c>
      <c r="C109" s="297" t="s">
        <v>144</v>
      </c>
      <c r="D109" s="298"/>
      <c r="E109" s="99">
        <v>18.18</v>
      </c>
      <c r="F109" s="100">
        <v>355</v>
      </c>
      <c r="G109" s="101">
        <f t="shared" si="54"/>
        <v>6453.9</v>
      </c>
      <c r="H109" s="26">
        <v>2</v>
      </c>
      <c r="I109" s="102">
        <v>3</v>
      </c>
      <c r="J109" s="103">
        <v>3600</v>
      </c>
      <c r="K109" s="104">
        <f t="shared" si="56"/>
        <v>1200</v>
      </c>
      <c r="L109" s="105">
        <v>3</v>
      </c>
      <c r="M109" s="103">
        <f t="shared" si="55"/>
        <v>3278.4367457470275</v>
      </c>
      <c r="N109" s="104">
        <f t="shared" si="48"/>
        <v>1092.8122485823426</v>
      </c>
      <c r="O109" s="106">
        <f t="shared" si="49"/>
        <v>0</v>
      </c>
      <c r="P109" s="107">
        <f t="shared" si="50"/>
        <v>-107.18775141765741</v>
      </c>
      <c r="Q109" s="108">
        <f t="shared" si="51"/>
        <v>0.91067687381861884</v>
      </c>
      <c r="R109" s="308"/>
      <c r="S109" s="46">
        <v>0.76319444444444429</v>
      </c>
      <c r="T109" s="47">
        <v>0.76769675925925907</v>
      </c>
      <c r="U109" s="109">
        <v>13.049999999999962</v>
      </c>
      <c r="V109" s="110">
        <v>6.4969989210960248</v>
      </c>
      <c r="W109" s="111"/>
      <c r="X109" s="114"/>
      <c r="Y109" s="299"/>
      <c r="Z109" s="300"/>
      <c r="AA109" s="115">
        <f t="shared" si="52"/>
        <v>-321.56325425297246</v>
      </c>
      <c r="AB109" s="108">
        <f t="shared" si="53"/>
        <v>0.91067687381861873</v>
      </c>
      <c r="AC109" s="313"/>
    </row>
    <row r="110" spans="1:29" ht="15.75" customHeight="1">
      <c r="A110" s="316"/>
      <c r="B110" s="98" t="s">
        <v>118</v>
      </c>
      <c r="C110" s="297" t="s">
        <v>133</v>
      </c>
      <c r="D110" s="298"/>
      <c r="E110" s="99">
        <v>16.7</v>
      </c>
      <c r="F110" s="100">
        <v>1012</v>
      </c>
      <c r="G110" s="101">
        <f t="shared" si="54"/>
        <v>16900.399999999998</v>
      </c>
      <c r="H110" s="26">
        <v>2</v>
      </c>
      <c r="I110" s="102">
        <v>3</v>
      </c>
      <c r="J110" s="103">
        <v>3600</v>
      </c>
      <c r="K110" s="104">
        <f t="shared" si="56"/>
        <v>1200</v>
      </c>
      <c r="L110" s="105">
        <v>3</v>
      </c>
      <c r="M110" s="103">
        <f t="shared" si="55"/>
        <v>3279.1088599768591</v>
      </c>
      <c r="N110" s="104">
        <f t="shared" si="48"/>
        <v>1093.036286658953</v>
      </c>
      <c r="O110" s="106">
        <f t="shared" si="49"/>
        <v>0</v>
      </c>
      <c r="P110" s="107">
        <f t="shared" si="50"/>
        <v>-106.96371334104697</v>
      </c>
      <c r="Q110" s="108">
        <f t="shared" si="51"/>
        <v>0.91086357221579417</v>
      </c>
      <c r="R110" s="308"/>
      <c r="S110" s="46">
        <v>0.77708333333333313</v>
      </c>
      <c r="T110" s="47">
        <v>0.7899421296296294</v>
      </c>
      <c r="U110" s="109">
        <v>13.516666666666648</v>
      </c>
      <c r="V110" s="110">
        <v>18.517226049161572</v>
      </c>
      <c r="W110" s="111"/>
      <c r="X110" s="114"/>
      <c r="Y110" s="299"/>
      <c r="Z110" s="300"/>
      <c r="AA110" s="115">
        <f t="shared" si="52"/>
        <v>-320.89114002314091</v>
      </c>
      <c r="AB110" s="108">
        <f t="shared" si="53"/>
        <v>0.91086357221579417</v>
      </c>
      <c r="AC110" s="313"/>
    </row>
    <row r="111" spans="1:29" ht="15.75" customHeight="1">
      <c r="A111" s="316"/>
      <c r="B111" s="98" t="s">
        <v>118</v>
      </c>
      <c r="C111" s="297" t="s">
        <v>193</v>
      </c>
      <c r="D111" s="298"/>
      <c r="E111" s="99">
        <v>30</v>
      </c>
      <c r="F111" s="100">
        <v>668</v>
      </c>
      <c r="G111" s="101">
        <f t="shared" si="54"/>
        <v>20040</v>
      </c>
      <c r="H111" s="26">
        <v>2</v>
      </c>
      <c r="I111" s="102">
        <v>4</v>
      </c>
      <c r="J111" s="103">
        <v>3600</v>
      </c>
      <c r="K111" s="104">
        <f t="shared" si="56"/>
        <v>900</v>
      </c>
      <c r="L111" s="105">
        <v>4</v>
      </c>
      <c r="M111" s="103">
        <f t="shared" si="55"/>
        <v>3278.7678088416292</v>
      </c>
      <c r="N111" s="104">
        <f t="shared" si="48"/>
        <v>819.69195221040729</v>
      </c>
      <c r="O111" s="106">
        <f t="shared" si="49"/>
        <v>0</v>
      </c>
      <c r="P111" s="107">
        <f t="shared" si="50"/>
        <v>-80.308047789592706</v>
      </c>
      <c r="Q111" s="108">
        <f t="shared" si="51"/>
        <v>0.91076883578934142</v>
      </c>
      <c r="R111" s="308"/>
      <c r="S111" s="46">
        <v>0.79930555555555527</v>
      </c>
      <c r="T111" s="47">
        <v>0.80778935185185152</v>
      </c>
      <c r="U111" s="109">
        <v>13.483333333333256</v>
      </c>
      <c r="V111" s="110">
        <v>12.224104400414998</v>
      </c>
      <c r="W111" s="111"/>
      <c r="X111" s="114"/>
      <c r="Y111" s="299"/>
      <c r="Z111" s="300"/>
      <c r="AA111" s="115">
        <f t="shared" si="52"/>
        <v>-321.23219115837082</v>
      </c>
      <c r="AB111" s="108">
        <f t="shared" si="53"/>
        <v>0.91076883578934142</v>
      </c>
      <c r="AC111" s="313"/>
    </row>
    <row r="112" spans="1:29" ht="15.75" customHeight="1">
      <c r="A112" s="316"/>
      <c r="B112" s="98" t="s">
        <v>118</v>
      </c>
      <c r="C112" s="297" t="s">
        <v>146</v>
      </c>
      <c r="D112" s="298"/>
      <c r="E112" s="99">
        <v>25.03</v>
      </c>
      <c r="F112" s="100">
        <v>402</v>
      </c>
      <c r="G112" s="119">
        <f t="shared" si="54"/>
        <v>10062.060000000001</v>
      </c>
      <c r="H112" s="26">
        <v>2</v>
      </c>
      <c r="I112" s="102">
        <v>5</v>
      </c>
      <c r="J112" s="103">
        <v>3600</v>
      </c>
      <c r="K112" s="104">
        <f t="shared" si="56"/>
        <v>720</v>
      </c>
      <c r="L112" s="105">
        <v>5</v>
      </c>
      <c r="M112" s="103">
        <f t="shared" si="55"/>
        <v>3277.5927196544699</v>
      </c>
      <c r="N112" s="104">
        <f t="shared" si="48"/>
        <v>655.518543930894</v>
      </c>
      <c r="O112" s="106">
        <f t="shared" si="49"/>
        <v>0</v>
      </c>
      <c r="P112" s="107">
        <f t="shared" si="50"/>
        <v>-64.481456069106002</v>
      </c>
      <c r="Q112" s="108">
        <f t="shared" si="51"/>
        <v>0.91044242212624171</v>
      </c>
      <c r="R112" s="308"/>
      <c r="S112" s="46">
        <v>0.81736111111111076</v>
      </c>
      <c r="T112" s="118">
        <v>0.82246527777777745</v>
      </c>
      <c r="U112" s="109">
        <v>13.783333333333303</v>
      </c>
      <c r="V112" s="110">
        <v>7.359059548601504</v>
      </c>
      <c r="W112" s="111"/>
      <c r="X112" s="114"/>
      <c r="Y112" s="299"/>
      <c r="Z112" s="300"/>
      <c r="AA112" s="115">
        <f t="shared" si="52"/>
        <v>-322.40728034553013</v>
      </c>
      <c r="AB112" s="108">
        <f t="shared" si="53"/>
        <v>0.9104424221262416</v>
      </c>
      <c r="AC112" s="313"/>
    </row>
    <row r="113" spans="1:29" ht="15.75" customHeight="1">
      <c r="A113" s="316"/>
      <c r="B113" s="98" t="s">
        <v>118</v>
      </c>
      <c r="C113" s="297" t="s">
        <v>137</v>
      </c>
      <c r="D113" s="298"/>
      <c r="E113" s="99">
        <v>16.66</v>
      </c>
      <c r="F113" s="100">
        <v>2222</v>
      </c>
      <c r="G113" s="119">
        <f t="shared" si="54"/>
        <v>37018.519999999997</v>
      </c>
      <c r="H113" s="26">
        <v>2</v>
      </c>
      <c r="I113" s="102">
        <v>5</v>
      </c>
      <c r="J113" s="103">
        <v>3600</v>
      </c>
      <c r="K113" s="104">
        <f t="shared" si="56"/>
        <v>720</v>
      </c>
      <c r="L113" s="105">
        <v>5</v>
      </c>
      <c r="M113" s="103">
        <f t="shared" si="55"/>
        <v>3284.4455656585419</v>
      </c>
      <c r="N113" s="104">
        <f t="shared" si="48"/>
        <v>656.88911313170843</v>
      </c>
      <c r="O113" s="121">
        <f t="shared" si="49"/>
        <v>0</v>
      </c>
      <c r="P113" s="122">
        <f t="shared" si="50"/>
        <v>-63.110886868291573</v>
      </c>
      <c r="Q113" s="123">
        <f t="shared" si="51"/>
        <v>0.91234599046070619</v>
      </c>
      <c r="R113" s="308"/>
      <c r="S113" s="46">
        <v>0.83194444444444404</v>
      </c>
      <c r="T113" s="118">
        <v>0.86012731481481441</v>
      </c>
      <c r="U113" s="109">
        <v>13.649999999999896</v>
      </c>
      <c r="V113" s="110">
        <v>40.591325791471569</v>
      </c>
      <c r="W113" s="111"/>
      <c r="X113" s="114"/>
      <c r="Y113" s="299"/>
      <c r="Z113" s="300"/>
      <c r="AA113" s="115">
        <f t="shared" si="52"/>
        <v>-315.55443434145809</v>
      </c>
      <c r="AB113" s="108">
        <f t="shared" si="53"/>
        <v>0.91234599046070608</v>
      </c>
      <c r="AC113" s="313"/>
    </row>
    <row r="114" spans="1:29" ht="15.75" customHeight="1">
      <c r="A114" s="316"/>
      <c r="B114" s="98" t="s">
        <v>118</v>
      </c>
      <c r="C114" s="297" t="s">
        <v>140</v>
      </c>
      <c r="D114" s="298"/>
      <c r="E114" s="99">
        <v>18.18</v>
      </c>
      <c r="F114" s="100">
        <v>747</v>
      </c>
      <c r="G114" s="119">
        <f t="shared" si="54"/>
        <v>13580.46</v>
      </c>
      <c r="H114" s="26"/>
      <c r="I114" s="102">
        <v>3</v>
      </c>
      <c r="J114" s="103">
        <v>3000</v>
      </c>
      <c r="K114" s="104">
        <f t="shared" si="56"/>
        <v>1000</v>
      </c>
      <c r="L114" s="116">
        <v>3</v>
      </c>
      <c r="M114" s="103">
        <f t="shared" si="55"/>
        <v>2794.5018924051956</v>
      </c>
      <c r="N114" s="104">
        <f t="shared" si="48"/>
        <v>931.50063080173186</v>
      </c>
      <c r="O114" s="121">
        <f t="shared" si="49"/>
        <v>0</v>
      </c>
      <c r="P114" s="122">
        <f t="shared" si="50"/>
        <v>-68.499369198268141</v>
      </c>
      <c r="Q114" s="123">
        <f t="shared" si="51"/>
        <v>0.93150063080173184</v>
      </c>
      <c r="R114" s="308"/>
      <c r="S114" s="46">
        <v>0.86944444444444402</v>
      </c>
      <c r="T114" s="118">
        <v>0.88057870370370328</v>
      </c>
      <c r="U114" s="109">
        <v>13.416666666666632</v>
      </c>
      <c r="V114" s="110">
        <v>16.038636481803898</v>
      </c>
      <c r="W114" s="111"/>
      <c r="X114" s="114"/>
      <c r="Y114" s="299"/>
      <c r="Z114" s="300"/>
      <c r="AA114" s="115">
        <f t="shared" si="52"/>
        <v>-205.49810759480442</v>
      </c>
      <c r="AB114" s="108">
        <f t="shared" si="53"/>
        <v>0.93150063080173184</v>
      </c>
      <c r="AC114" s="313"/>
    </row>
    <row r="115" spans="1:29" ht="15.75" customHeight="1">
      <c r="A115" s="316"/>
      <c r="B115" s="98" t="s">
        <v>118</v>
      </c>
      <c r="C115" s="297" t="s">
        <v>144</v>
      </c>
      <c r="D115" s="298"/>
      <c r="E115" s="99">
        <v>18.18</v>
      </c>
      <c r="F115" s="100">
        <v>439</v>
      </c>
      <c r="G115" s="119">
        <f t="shared" si="54"/>
        <v>7981.0199999999995</v>
      </c>
      <c r="H115" s="26"/>
      <c r="I115" s="102">
        <v>3</v>
      </c>
      <c r="J115" s="103">
        <v>3600</v>
      </c>
      <c r="K115" s="104">
        <f t="shared" si="56"/>
        <v>1200</v>
      </c>
      <c r="L115" s="116">
        <v>3</v>
      </c>
      <c r="M115" s="103">
        <f t="shared" si="55"/>
        <v>3278.4367457470266</v>
      </c>
      <c r="N115" s="104">
        <f t="shared" si="48"/>
        <v>1092.8122485823421</v>
      </c>
      <c r="O115" s="121">
        <f t="shared" si="49"/>
        <v>0</v>
      </c>
      <c r="P115" s="122">
        <f t="shared" si="50"/>
        <v>-107.18775141765786</v>
      </c>
      <c r="Q115" s="123">
        <f t="shared" si="51"/>
        <v>0.91067687381861839</v>
      </c>
      <c r="R115" s="308"/>
      <c r="S115" s="46">
        <v>0.89027777777777728</v>
      </c>
      <c r="T115" s="118">
        <v>0.895856481481481</v>
      </c>
      <c r="U115" s="109">
        <v>13.966666666666558</v>
      </c>
      <c r="V115" s="110">
        <v>8.0343169756652273</v>
      </c>
      <c r="W115" s="111"/>
      <c r="X115" s="114"/>
      <c r="Y115" s="299"/>
      <c r="Z115" s="300"/>
      <c r="AA115" s="115">
        <f t="shared" si="52"/>
        <v>-321.56325425297337</v>
      </c>
      <c r="AB115" s="108">
        <f t="shared" si="53"/>
        <v>0.9106768738186185</v>
      </c>
      <c r="AC115" s="313"/>
    </row>
    <row r="116" spans="1:29" ht="15.75" customHeight="1">
      <c r="A116" s="316"/>
      <c r="B116" s="98" t="s">
        <v>118</v>
      </c>
      <c r="C116" s="297" t="s">
        <v>133</v>
      </c>
      <c r="D116" s="298"/>
      <c r="E116" s="99">
        <v>16.7</v>
      </c>
      <c r="F116" s="100">
        <v>1442</v>
      </c>
      <c r="G116" s="119">
        <f t="shared" si="54"/>
        <v>24081.399999999998</v>
      </c>
      <c r="H116" s="26"/>
      <c r="I116" s="102">
        <v>3</v>
      </c>
      <c r="J116" s="103">
        <v>3600</v>
      </c>
      <c r="K116" s="104">
        <f t="shared" si="56"/>
        <v>1200</v>
      </c>
      <c r="L116" s="116">
        <v>3</v>
      </c>
      <c r="M116" s="103">
        <f t="shared" si="55"/>
        <v>3279.1088599768591</v>
      </c>
      <c r="N116" s="104">
        <f t="shared" si="48"/>
        <v>1093.036286658953</v>
      </c>
      <c r="O116" s="121">
        <f t="shared" si="49"/>
        <v>0</v>
      </c>
      <c r="P116" s="122">
        <f t="shared" si="50"/>
        <v>-106.96371334104697</v>
      </c>
      <c r="Q116" s="123">
        <f t="shared" si="51"/>
        <v>0.91086357221579417</v>
      </c>
      <c r="R116" s="308"/>
      <c r="S116" s="46">
        <v>0.905555555555555</v>
      </c>
      <c r="T116" s="118">
        <v>0.92387731481481428</v>
      </c>
      <c r="U116" s="109">
        <v>13.966666666666558</v>
      </c>
      <c r="V116" s="110">
        <v>26.385217354635362</v>
      </c>
      <c r="W116" s="111"/>
      <c r="X116" s="114"/>
      <c r="Y116" s="299"/>
      <c r="Z116" s="300"/>
      <c r="AA116" s="115">
        <f t="shared" si="52"/>
        <v>-320.89114002314091</v>
      </c>
      <c r="AB116" s="108">
        <f t="shared" si="53"/>
        <v>0.91086357221579417</v>
      </c>
      <c r="AC116" s="313"/>
    </row>
    <row r="117" spans="1:29" ht="15.75" customHeight="1">
      <c r="A117" s="316"/>
      <c r="B117" s="98" t="s">
        <v>118</v>
      </c>
      <c r="C117" s="297" t="s">
        <v>193</v>
      </c>
      <c r="D117" s="298"/>
      <c r="E117" s="99">
        <v>30</v>
      </c>
      <c r="F117" s="100">
        <v>840</v>
      </c>
      <c r="G117" s="119">
        <f t="shared" si="54"/>
        <v>25200</v>
      </c>
      <c r="H117" s="26"/>
      <c r="I117" s="102">
        <v>4</v>
      </c>
      <c r="J117" s="103">
        <v>3600</v>
      </c>
      <c r="K117" s="104">
        <f t="shared" si="56"/>
        <v>900</v>
      </c>
      <c r="L117" s="116">
        <v>4</v>
      </c>
      <c r="M117" s="103">
        <f t="shared" si="55"/>
        <v>3278.7678088416287</v>
      </c>
      <c r="N117" s="104">
        <f t="shared" si="48"/>
        <v>819.69195221040718</v>
      </c>
      <c r="O117" s="121">
        <f t="shared" si="49"/>
        <v>0</v>
      </c>
      <c r="P117" s="122">
        <f t="shared" si="50"/>
        <v>-80.30804778959282</v>
      </c>
      <c r="Q117" s="123">
        <f t="shared" si="51"/>
        <v>0.91076883578934131</v>
      </c>
      <c r="R117" s="308"/>
      <c r="S117" s="46">
        <v>0.93333333333333279</v>
      </c>
      <c r="T117" s="118">
        <v>0.94400462962962906</v>
      </c>
      <c r="U117" s="109">
        <v>13.616666666666664</v>
      </c>
      <c r="V117" s="110">
        <v>15.371628287947004</v>
      </c>
      <c r="W117" s="124"/>
      <c r="X117" s="125"/>
      <c r="Y117" s="299"/>
      <c r="Z117" s="300"/>
      <c r="AA117" s="115">
        <f t="shared" si="52"/>
        <v>-321.23219115837128</v>
      </c>
      <c r="AB117" s="108">
        <f t="shared" si="53"/>
        <v>0.91076883578934131</v>
      </c>
      <c r="AC117" s="313"/>
    </row>
    <row r="118" spans="1:29" ht="15.75" customHeight="1">
      <c r="A118" s="316"/>
      <c r="B118" s="98" t="s">
        <v>118</v>
      </c>
      <c r="C118" s="297" t="s">
        <v>146</v>
      </c>
      <c r="D118" s="298"/>
      <c r="E118" s="99">
        <v>25.03</v>
      </c>
      <c r="F118" s="100">
        <v>469</v>
      </c>
      <c r="G118" s="119">
        <f t="shared" si="54"/>
        <v>11739.07</v>
      </c>
      <c r="H118" s="60"/>
      <c r="I118" s="102">
        <v>5</v>
      </c>
      <c r="J118" s="103">
        <v>3600</v>
      </c>
      <c r="K118" s="104">
        <f t="shared" si="56"/>
        <v>720</v>
      </c>
      <c r="L118" s="116">
        <v>5</v>
      </c>
      <c r="M118" s="103">
        <f t="shared" si="55"/>
        <v>3277.5927196544708</v>
      </c>
      <c r="N118" s="104">
        <f t="shared" si="48"/>
        <v>655.51854393089411</v>
      </c>
      <c r="O118" s="121">
        <f t="shared" si="49"/>
        <v>0</v>
      </c>
      <c r="P118" s="122">
        <f t="shared" si="50"/>
        <v>-64.481456069105889</v>
      </c>
      <c r="Q118" s="123">
        <f t="shared" si="51"/>
        <v>0.91044242212624182</v>
      </c>
      <c r="R118" s="308"/>
      <c r="S118" s="46">
        <v>0.95347222222222161</v>
      </c>
      <c r="T118" s="118">
        <v>0.95943287037036973</v>
      </c>
      <c r="U118" s="109">
        <v>13.63333333333328</v>
      </c>
      <c r="V118" s="110">
        <v>8.5855694733684196</v>
      </c>
      <c r="W118" s="124"/>
      <c r="X118" s="125"/>
      <c r="Y118" s="299"/>
      <c r="Z118" s="300"/>
      <c r="AA118" s="115">
        <f t="shared" si="52"/>
        <v>-322.40728034552922</v>
      </c>
      <c r="AB118" s="108">
        <f t="shared" si="53"/>
        <v>0.91044242212624193</v>
      </c>
      <c r="AC118" s="313"/>
    </row>
    <row r="119" spans="1:29" ht="15.75" customHeight="1">
      <c r="A119" s="316"/>
      <c r="B119" s="98" t="s">
        <v>118</v>
      </c>
      <c r="C119" s="297" t="s">
        <v>139</v>
      </c>
      <c r="D119" s="298"/>
      <c r="E119" s="99">
        <v>14.03</v>
      </c>
      <c r="F119" s="100">
        <v>4951</v>
      </c>
      <c r="G119" s="119">
        <f t="shared" si="54"/>
        <v>69462.53</v>
      </c>
      <c r="H119" s="60"/>
      <c r="I119" s="102">
        <v>3</v>
      </c>
      <c r="J119" s="103">
        <v>3000</v>
      </c>
      <c r="K119" s="104">
        <f t="shared" si="56"/>
        <v>1000</v>
      </c>
      <c r="L119" s="116">
        <v>3</v>
      </c>
      <c r="M119" s="103">
        <f t="shared" si="55"/>
        <v>2798.3606431297862</v>
      </c>
      <c r="N119" s="104">
        <f t="shared" si="48"/>
        <v>932.78688104326204</v>
      </c>
      <c r="O119" s="121">
        <f t="shared" si="49"/>
        <v>0</v>
      </c>
      <c r="P119" s="122">
        <f t="shared" si="50"/>
        <v>-67.213118956737958</v>
      </c>
      <c r="Q119" s="123">
        <f t="shared" si="51"/>
        <v>0.93278688104326202</v>
      </c>
      <c r="R119" s="308"/>
      <c r="S119" s="46">
        <v>0.96874999999999933</v>
      </c>
      <c r="T119" s="118">
        <v>1.0424652777777772</v>
      </c>
      <c r="U119" s="109">
        <v>13.416666666666632</v>
      </c>
      <c r="V119" s="110">
        <v>106.155009265624</v>
      </c>
      <c r="W119" s="124"/>
      <c r="X119" s="125"/>
      <c r="Y119" s="299"/>
      <c r="Z119" s="300"/>
      <c r="AA119" s="115">
        <f t="shared" si="52"/>
        <v>-201.63935687021376</v>
      </c>
      <c r="AB119" s="108">
        <f t="shared" si="53"/>
        <v>0.93278688104326213</v>
      </c>
      <c r="AC119" s="313"/>
    </row>
    <row r="120" spans="1:29" ht="15.75" customHeight="1">
      <c r="A120" s="316"/>
      <c r="B120" s="98" t="s">
        <v>118</v>
      </c>
      <c r="C120" s="297" t="s">
        <v>137</v>
      </c>
      <c r="D120" s="298"/>
      <c r="E120" s="99">
        <v>16.66</v>
      </c>
      <c r="F120" s="100">
        <v>3415</v>
      </c>
      <c r="G120" s="119">
        <f t="shared" si="54"/>
        <v>56893.9</v>
      </c>
      <c r="H120" s="60"/>
      <c r="I120" s="102">
        <v>5</v>
      </c>
      <c r="J120" s="103">
        <v>3600</v>
      </c>
      <c r="K120" s="104">
        <f t="shared" si="56"/>
        <v>720</v>
      </c>
      <c r="L120" s="116">
        <v>5</v>
      </c>
      <c r="M120" s="103">
        <f t="shared" si="55"/>
        <v>3284.4455656585424</v>
      </c>
      <c r="N120" s="104">
        <f t="shared" si="48"/>
        <v>656.88911313170843</v>
      </c>
      <c r="O120" s="121">
        <f t="shared" si="49"/>
        <v>0</v>
      </c>
      <c r="P120" s="122">
        <f t="shared" si="50"/>
        <v>-63.110886868291573</v>
      </c>
      <c r="Q120" s="123">
        <f t="shared" si="51"/>
        <v>0.91234599046070619</v>
      </c>
      <c r="R120" s="308"/>
      <c r="S120" s="46">
        <v>1.0520833333333326</v>
      </c>
      <c r="T120" s="118">
        <v>1.0954050925925918</v>
      </c>
      <c r="U120" s="109">
        <v>13.849999999999767</v>
      </c>
      <c r="V120" s="110">
        <v>62.384958405884511</v>
      </c>
      <c r="W120" s="124"/>
      <c r="X120" s="125"/>
      <c r="Y120" s="299"/>
      <c r="Z120" s="300"/>
      <c r="AA120" s="115">
        <f t="shared" si="52"/>
        <v>-315.55443434145764</v>
      </c>
      <c r="AB120" s="108">
        <f t="shared" si="53"/>
        <v>0.91234599046070619</v>
      </c>
      <c r="AC120" s="313"/>
    </row>
    <row r="121" spans="1:29" ht="15.75" customHeight="1">
      <c r="A121" s="316"/>
      <c r="B121" s="98"/>
      <c r="C121" s="297"/>
      <c r="D121" s="298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8"/>
      <c r="S121" s="46"/>
      <c r="T121" s="118"/>
      <c r="U121" s="109"/>
      <c r="V121" s="110"/>
      <c r="W121" s="124"/>
      <c r="X121" s="125"/>
      <c r="Y121" s="299"/>
      <c r="Z121" s="300"/>
      <c r="AA121" s="115"/>
      <c r="AB121" s="108"/>
      <c r="AC121" s="313"/>
    </row>
    <row r="122" spans="1:29" ht="15.75" customHeight="1">
      <c r="A122" s="316"/>
      <c r="B122" s="98"/>
      <c r="C122" s="297"/>
      <c r="D122" s="298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8"/>
      <c r="S122" s="117"/>
      <c r="T122" s="118"/>
      <c r="U122" s="128"/>
      <c r="V122" s="129"/>
      <c r="W122" s="124"/>
      <c r="X122" s="125"/>
      <c r="Y122" s="299"/>
      <c r="Z122" s="300"/>
      <c r="AA122" s="163"/>
      <c r="AB122" s="123"/>
      <c r="AC122" s="313"/>
    </row>
    <row r="123" spans="1:29" ht="15.75" customHeight="1" thickBot="1">
      <c r="A123" s="317"/>
      <c r="B123" s="131" t="s">
        <v>115</v>
      </c>
      <c r="C123" s="294"/>
      <c r="D123" s="294"/>
      <c r="E123" s="132"/>
      <c r="F123" s="97"/>
      <c r="G123" s="133"/>
      <c r="H123" s="67"/>
      <c r="I123" s="134">
        <f t="shared" ref="I123:J123" si="57">AVERAGE(I107:I122)</f>
        <v>3.7142857142857144</v>
      </c>
      <c r="J123" s="135">
        <f t="shared" si="57"/>
        <v>3428.5714285714284</v>
      </c>
      <c r="K123" s="136">
        <f t="shared" ref="K123" si="58">J123/I123</f>
        <v>923.07692307692298</v>
      </c>
      <c r="L123" s="134">
        <f t="shared" ref="L123:M123" si="59">AVERAGE(L107:L122)</f>
        <v>3.7142857142857144</v>
      </c>
      <c r="M123" s="135">
        <f t="shared" si="59"/>
        <v>3141.6786126865659</v>
      </c>
      <c r="N123" s="136">
        <f t="shared" ref="N123:N137" si="60">M123/L123</f>
        <v>845.83654956945998</v>
      </c>
      <c r="O123" s="137">
        <f t="shared" ref="O123:O137" si="61">L123-I123</f>
        <v>0</v>
      </c>
      <c r="P123" s="138">
        <f t="shared" ref="P123:P137" si="62">N123-K123</f>
        <v>-77.240373507463005</v>
      </c>
      <c r="Q123" s="139">
        <f t="shared" ref="Q123:Q137" si="63">N123/K123</f>
        <v>0.91632292870024845</v>
      </c>
      <c r="R123" s="309"/>
      <c r="S123" s="140">
        <v>0.7319444444444444</v>
      </c>
      <c r="T123" s="141">
        <v>1.0954050925925918</v>
      </c>
      <c r="U123" s="142"/>
      <c r="V123" s="164"/>
      <c r="W123" s="97"/>
      <c r="X123" s="67"/>
      <c r="Y123" s="295"/>
      <c r="Z123" s="296"/>
      <c r="AA123" s="166">
        <f t="shared" ref="AA123:AA137" si="64">M123-J123</f>
        <v>-286.89281588486256</v>
      </c>
      <c r="AB123" s="139">
        <f t="shared" ref="AB123:AB137" si="65">M123/J123</f>
        <v>0.91632292870024845</v>
      </c>
      <c r="AC123" s="314"/>
    </row>
    <row r="124" spans="1:29" ht="15.75" customHeight="1">
      <c r="A124" s="301" t="s">
        <v>142</v>
      </c>
      <c r="B124" s="112" t="s">
        <v>118</v>
      </c>
      <c r="C124" s="305" t="s">
        <v>141</v>
      </c>
      <c r="D124" s="306"/>
      <c r="E124" s="145">
        <v>14.28</v>
      </c>
      <c r="F124" s="95">
        <v>336</v>
      </c>
      <c r="G124" s="146">
        <f t="shared" ref="G124:G137" si="66">E124*F124</f>
        <v>4798.08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7" si="67">F124/V124*60</f>
        <v>3278.232305407792</v>
      </c>
      <c r="N124" s="150">
        <f t="shared" si="60"/>
        <v>1092.7441018025972</v>
      </c>
      <c r="O124" s="152">
        <f t="shared" si="61"/>
        <v>0</v>
      </c>
      <c r="P124" s="153">
        <f t="shared" si="62"/>
        <v>-107.25589819740276</v>
      </c>
      <c r="Q124" s="154">
        <f t="shared" si="63"/>
        <v>0.91062008483549772</v>
      </c>
      <c r="R124" s="307">
        <f>Q140</f>
        <v>0.91078517088135169</v>
      </c>
      <c r="S124" s="155">
        <v>0.7319444444444444</v>
      </c>
      <c r="T124" s="156">
        <v>0.73620370370370369</v>
      </c>
      <c r="U124" s="157"/>
      <c r="V124" s="158">
        <v>6.1496557052238003</v>
      </c>
      <c r="W124" s="156"/>
      <c r="X124" s="167"/>
      <c r="Y124" s="310"/>
      <c r="Z124" s="311"/>
      <c r="AA124" s="169">
        <f t="shared" si="64"/>
        <v>-321.76769459220804</v>
      </c>
      <c r="AB124" s="154">
        <f t="shared" si="65"/>
        <v>0.91062008483549772</v>
      </c>
      <c r="AC124" s="312">
        <f>AB140</f>
        <v>0.91078517088135169</v>
      </c>
    </row>
    <row r="125" spans="1:29" ht="15.75" customHeight="1">
      <c r="A125" s="302"/>
      <c r="B125" s="98" t="s">
        <v>118</v>
      </c>
      <c r="C125" s="297" t="s">
        <v>217</v>
      </c>
      <c r="D125" s="298"/>
      <c r="E125" s="99">
        <v>23.8</v>
      </c>
      <c r="F125" s="100">
        <v>305</v>
      </c>
      <c r="G125" s="101">
        <f t="shared" si="66"/>
        <v>7259</v>
      </c>
      <c r="H125" s="26">
        <v>2</v>
      </c>
      <c r="I125" s="102">
        <v>4</v>
      </c>
      <c r="J125" s="103">
        <v>3600</v>
      </c>
      <c r="K125" s="104">
        <f t="shared" si="56"/>
        <v>900</v>
      </c>
      <c r="L125" s="105">
        <v>4</v>
      </c>
      <c r="M125" s="103">
        <f t="shared" si="67"/>
        <v>3281.5184763995426</v>
      </c>
      <c r="N125" s="104">
        <f t="shared" si="60"/>
        <v>820.37961909988564</v>
      </c>
      <c r="O125" s="106">
        <f t="shared" si="61"/>
        <v>0</v>
      </c>
      <c r="P125" s="107">
        <f t="shared" si="62"/>
        <v>-79.620380900114355</v>
      </c>
      <c r="Q125" s="108">
        <f t="shared" si="63"/>
        <v>0.91153291011098403</v>
      </c>
      <c r="R125" s="308"/>
      <c r="S125" s="46">
        <v>0.74652777777777768</v>
      </c>
      <c r="T125" s="47">
        <v>0.75039351851851843</v>
      </c>
      <c r="U125" s="109">
        <v>14.866666666666539</v>
      </c>
      <c r="V125" s="110">
        <v>5.576686564958373</v>
      </c>
      <c r="W125" s="111"/>
      <c r="X125" s="13"/>
      <c r="Y125" s="299"/>
      <c r="Z125" s="300"/>
      <c r="AA125" s="170">
        <f t="shared" si="64"/>
        <v>-318.48152360045742</v>
      </c>
      <c r="AB125" s="108">
        <f t="shared" si="65"/>
        <v>0.91153291011098403</v>
      </c>
      <c r="AC125" s="313"/>
    </row>
    <row r="126" spans="1:29" ht="15.75" customHeight="1">
      <c r="A126" s="302"/>
      <c r="B126" s="98" t="s">
        <v>118</v>
      </c>
      <c r="C126" s="297" t="s">
        <v>145</v>
      </c>
      <c r="D126" s="298"/>
      <c r="E126" s="99">
        <v>24.82</v>
      </c>
      <c r="F126" s="100">
        <v>640</v>
      </c>
      <c r="G126" s="101">
        <f t="shared" si="66"/>
        <v>15884.8</v>
      </c>
      <c r="H126" s="26">
        <v>2</v>
      </c>
      <c r="I126" s="102">
        <v>5</v>
      </c>
      <c r="J126" s="103">
        <v>3600</v>
      </c>
      <c r="K126" s="104">
        <f t="shared" si="56"/>
        <v>720</v>
      </c>
      <c r="L126" s="105">
        <v>5</v>
      </c>
      <c r="M126" s="103">
        <f t="shared" si="67"/>
        <v>3276.9661021013094</v>
      </c>
      <c r="N126" s="104">
        <f t="shared" si="60"/>
        <v>655.39322042026185</v>
      </c>
      <c r="O126" s="106">
        <f t="shared" si="61"/>
        <v>0</v>
      </c>
      <c r="P126" s="107">
        <f t="shared" si="62"/>
        <v>-64.606779579738145</v>
      </c>
      <c r="Q126" s="108">
        <f t="shared" si="63"/>
        <v>0.91026836169480818</v>
      </c>
      <c r="R126" s="308"/>
      <c r="S126" s="46">
        <v>0.75972222222222208</v>
      </c>
      <c r="T126" s="47">
        <v>0.76785879629629616</v>
      </c>
      <c r="U126" s="109">
        <v>13.433333333333248</v>
      </c>
      <c r="V126" s="110">
        <v>11.718156002705223</v>
      </c>
      <c r="W126" s="111"/>
      <c r="X126" s="13"/>
      <c r="Y126" s="299"/>
      <c r="Z126" s="300"/>
      <c r="AA126" s="170">
        <f t="shared" si="64"/>
        <v>-323.03389789869061</v>
      </c>
      <c r="AB126" s="108">
        <f t="shared" si="65"/>
        <v>0.91026836169480818</v>
      </c>
      <c r="AC126" s="313"/>
    </row>
    <row r="127" spans="1:29" ht="15.75" customHeight="1">
      <c r="A127" s="302"/>
      <c r="B127" s="98" t="s">
        <v>118</v>
      </c>
      <c r="C127" s="297" t="s">
        <v>216</v>
      </c>
      <c r="D127" s="298"/>
      <c r="E127" s="99">
        <v>24.76</v>
      </c>
      <c r="F127" s="100">
        <v>474</v>
      </c>
      <c r="G127" s="101">
        <f t="shared" si="66"/>
        <v>11736.240000000002</v>
      </c>
      <c r="H127" s="26">
        <v>2</v>
      </c>
      <c r="I127" s="102">
        <v>4</v>
      </c>
      <c r="J127" s="103">
        <v>3600</v>
      </c>
      <c r="K127" s="104">
        <f t="shared" si="56"/>
        <v>900</v>
      </c>
      <c r="L127" s="105">
        <v>4</v>
      </c>
      <c r="M127" s="103">
        <f t="shared" si="67"/>
        <v>3280.6998108928915</v>
      </c>
      <c r="N127" s="104">
        <f t="shared" si="60"/>
        <v>820.17495272322287</v>
      </c>
      <c r="O127" s="106">
        <f t="shared" si="61"/>
        <v>0</v>
      </c>
      <c r="P127" s="107">
        <f t="shared" si="62"/>
        <v>-79.825047276777127</v>
      </c>
      <c r="Q127" s="108">
        <f t="shared" si="63"/>
        <v>0.91130550302580315</v>
      </c>
      <c r="R127" s="308"/>
      <c r="S127" s="46">
        <v>0.77708333333333313</v>
      </c>
      <c r="T127" s="47">
        <v>0.78310185185185166</v>
      </c>
      <c r="U127" s="109">
        <v>13.283333333333225</v>
      </c>
      <c r="V127" s="110">
        <v>8.6688821408075221</v>
      </c>
      <c r="W127" s="111"/>
      <c r="X127" s="13"/>
      <c r="Y127" s="299"/>
      <c r="Z127" s="300"/>
      <c r="AA127" s="170">
        <f t="shared" si="64"/>
        <v>-319.30018910710851</v>
      </c>
      <c r="AB127" s="108">
        <f t="shared" si="65"/>
        <v>0.91130550302580315</v>
      </c>
      <c r="AC127" s="313"/>
    </row>
    <row r="128" spans="1:29" ht="15.75" customHeight="1">
      <c r="A128" s="303"/>
      <c r="B128" s="98" t="s">
        <v>118</v>
      </c>
      <c r="C128" s="297" t="s">
        <v>212</v>
      </c>
      <c r="D128" s="298"/>
      <c r="E128" s="99">
        <v>22.32</v>
      </c>
      <c r="F128" s="100">
        <v>676</v>
      </c>
      <c r="G128" s="101">
        <f t="shared" si="66"/>
        <v>15088.32</v>
      </c>
      <c r="H128" s="26">
        <v>2</v>
      </c>
      <c r="I128" s="102">
        <v>5</v>
      </c>
      <c r="J128" s="103">
        <v>3600</v>
      </c>
      <c r="K128" s="104">
        <f t="shared" si="56"/>
        <v>720</v>
      </c>
      <c r="L128" s="105">
        <v>5</v>
      </c>
      <c r="M128" s="103">
        <f t="shared" si="67"/>
        <v>3275.9485658518947</v>
      </c>
      <c r="N128" s="104">
        <f t="shared" si="60"/>
        <v>655.18971317037892</v>
      </c>
      <c r="O128" s="106">
        <f t="shared" si="61"/>
        <v>0</v>
      </c>
      <c r="P128" s="107">
        <f t="shared" si="62"/>
        <v>-64.810286829621077</v>
      </c>
      <c r="Q128" s="108">
        <f t="shared" si="63"/>
        <v>0.90998571273663742</v>
      </c>
      <c r="R128" s="308"/>
      <c r="S128" s="46">
        <v>0.79236111111111085</v>
      </c>
      <c r="T128" s="47">
        <v>0.80094907407407379</v>
      </c>
      <c r="U128" s="109">
        <v>13.333333333333233</v>
      </c>
      <c r="V128" s="110">
        <v>12.381146768539868</v>
      </c>
      <c r="W128" s="111"/>
      <c r="X128" s="114"/>
      <c r="Y128" s="299"/>
      <c r="Z128" s="300"/>
      <c r="AA128" s="170">
        <f t="shared" si="64"/>
        <v>-324.05143414810527</v>
      </c>
      <c r="AB128" s="108">
        <f t="shared" si="65"/>
        <v>0.90998571273663742</v>
      </c>
      <c r="AC128" s="313"/>
    </row>
    <row r="129" spans="1:29" ht="15.75" customHeight="1">
      <c r="A129" s="303"/>
      <c r="B129" s="98" t="s">
        <v>118</v>
      </c>
      <c r="C129" s="297" t="s">
        <v>143</v>
      </c>
      <c r="D129" s="298"/>
      <c r="E129" s="99">
        <v>18.18</v>
      </c>
      <c r="F129" s="100">
        <v>933</v>
      </c>
      <c r="G129" s="119">
        <f t="shared" si="66"/>
        <v>16961.939999999999</v>
      </c>
      <c r="H129" s="26">
        <v>2</v>
      </c>
      <c r="I129" s="102">
        <v>3</v>
      </c>
      <c r="J129" s="103">
        <v>3600</v>
      </c>
      <c r="K129" s="104">
        <f t="shared" si="56"/>
        <v>1200</v>
      </c>
      <c r="L129" s="105">
        <v>3</v>
      </c>
      <c r="M129" s="103">
        <f t="shared" si="67"/>
        <v>3276.8136360116937</v>
      </c>
      <c r="N129" s="104">
        <f t="shared" si="60"/>
        <v>1092.271212003898</v>
      </c>
      <c r="O129" s="106">
        <f t="shared" si="61"/>
        <v>0</v>
      </c>
      <c r="P129" s="107">
        <f t="shared" si="62"/>
        <v>-107.72878799610203</v>
      </c>
      <c r="Q129" s="108">
        <f t="shared" si="63"/>
        <v>0.91022601000324832</v>
      </c>
      <c r="R129" s="308"/>
      <c r="S129" s="46">
        <v>0.81041666666666634</v>
      </c>
      <c r="T129" s="118">
        <v>0.82228009259259227</v>
      </c>
      <c r="U129" s="109">
        <v>13.63333333333328</v>
      </c>
      <c r="V129" s="110">
        <v>17.08366914272699</v>
      </c>
      <c r="W129" s="111"/>
      <c r="X129" s="49"/>
      <c r="Y129" s="299"/>
      <c r="Z129" s="300"/>
      <c r="AA129" s="170">
        <f t="shared" si="64"/>
        <v>-323.18636398830631</v>
      </c>
      <c r="AB129" s="108">
        <f t="shared" si="65"/>
        <v>0.91022601000324821</v>
      </c>
      <c r="AC129" s="313"/>
    </row>
    <row r="130" spans="1:29" ht="15.75" customHeight="1">
      <c r="A130" s="303"/>
      <c r="B130" s="98" t="s">
        <v>118</v>
      </c>
      <c r="C130" s="297" t="s">
        <v>136</v>
      </c>
      <c r="D130" s="298"/>
      <c r="E130" s="99">
        <v>17.89</v>
      </c>
      <c r="F130" s="100">
        <v>1463</v>
      </c>
      <c r="G130" s="119">
        <f t="shared" si="66"/>
        <v>26173.07</v>
      </c>
      <c r="H130" s="26">
        <v>2</v>
      </c>
      <c r="I130" s="102">
        <v>4</v>
      </c>
      <c r="J130" s="103">
        <v>3600</v>
      </c>
      <c r="K130" s="104">
        <f t="shared" si="56"/>
        <v>900</v>
      </c>
      <c r="L130" s="105">
        <v>4</v>
      </c>
      <c r="M130" s="103">
        <f t="shared" si="67"/>
        <v>3281.2651389568928</v>
      </c>
      <c r="N130" s="104">
        <f t="shared" si="60"/>
        <v>820.31628473922319</v>
      </c>
      <c r="O130" s="121">
        <f t="shared" si="61"/>
        <v>0</v>
      </c>
      <c r="P130" s="122">
        <f t="shared" si="62"/>
        <v>-79.683715260776808</v>
      </c>
      <c r="Q130" s="123">
        <f t="shared" si="63"/>
        <v>0.91146253859913684</v>
      </c>
      <c r="R130" s="308"/>
      <c r="S130" s="46">
        <v>0.83263888888888848</v>
      </c>
      <c r="T130" s="118">
        <v>0.85121527777777739</v>
      </c>
      <c r="U130" s="109">
        <v>14.916666666666547</v>
      </c>
      <c r="V130" s="110">
        <v>26.7518765727981</v>
      </c>
      <c r="W130" s="111"/>
      <c r="X130" s="114"/>
      <c r="Y130" s="299"/>
      <c r="Z130" s="300"/>
      <c r="AA130" s="170">
        <f t="shared" si="64"/>
        <v>-318.73486104310723</v>
      </c>
      <c r="AB130" s="108">
        <f t="shared" si="65"/>
        <v>0.91146253859913684</v>
      </c>
      <c r="AC130" s="313"/>
    </row>
    <row r="131" spans="1:29" ht="15.75" customHeight="1">
      <c r="A131" s="303"/>
      <c r="B131" s="98" t="s">
        <v>118</v>
      </c>
      <c r="C131" s="297" t="s">
        <v>217</v>
      </c>
      <c r="D131" s="298"/>
      <c r="E131" s="99">
        <v>23.8</v>
      </c>
      <c r="F131" s="100">
        <v>294</v>
      </c>
      <c r="G131" s="119">
        <f t="shared" si="66"/>
        <v>6997.2</v>
      </c>
      <c r="H131" s="26"/>
      <c r="I131" s="102">
        <v>4</v>
      </c>
      <c r="J131" s="103">
        <v>3600</v>
      </c>
      <c r="K131" s="104">
        <f t="shared" si="56"/>
        <v>900</v>
      </c>
      <c r="L131" s="116">
        <v>4</v>
      </c>
      <c r="M131" s="103">
        <f t="shared" si="67"/>
        <v>3281.5184763995426</v>
      </c>
      <c r="N131" s="104">
        <f t="shared" si="60"/>
        <v>820.37961909988564</v>
      </c>
      <c r="O131" s="121">
        <f t="shared" si="61"/>
        <v>0</v>
      </c>
      <c r="P131" s="122">
        <f t="shared" si="62"/>
        <v>-79.620380900114355</v>
      </c>
      <c r="Q131" s="123">
        <f t="shared" si="63"/>
        <v>0.91153291011098403</v>
      </c>
      <c r="R131" s="308"/>
      <c r="S131" s="46">
        <v>0.86041666666666627</v>
      </c>
      <c r="T131" s="118">
        <v>0.86414351851851812</v>
      </c>
      <c r="U131" s="109">
        <v>13.249999999999993</v>
      </c>
      <c r="V131" s="110">
        <v>5.3755601642549564</v>
      </c>
      <c r="W131" s="111"/>
      <c r="X131" s="114"/>
      <c r="Y131" s="299"/>
      <c r="Z131" s="300"/>
      <c r="AA131" s="170">
        <f t="shared" si="64"/>
        <v>-318.48152360045742</v>
      </c>
      <c r="AB131" s="108">
        <f t="shared" si="65"/>
        <v>0.91153291011098403</v>
      </c>
      <c r="AC131" s="313"/>
    </row>
    <row r="132" spans="1:29" ht="15.75" customHeight="1">
      <c r="A132" s="303"/>
      <c r="B132" s="98" t="s">
        <v>118</v>
      </c>
      <c r="C132" s="297" t="s">
        <v>145</v>
      </c>
      <c r="D132" s="298"/>
      <c r="E132" s="99">
        <v>24.82</v>
      </c>
      <c r="F132" s="100">
        <v>780</v>
      </c>
      <c r="G132" s="119">
        <f t="shared" si="66"/>
        <v>19359.599999999999</v>
      </c>
      <c r="H132" s="26"/>
      <c r="I132" s="102">
        <v>5</v>
      </c>
      <c r="J132" s="103">
        <v>3600</v>
      </c>
      <c r="K132" s="104">
        <f t="shared" si="56"/>
        <v>720</v>
      </c>
      <c r="L132" s="116">
        <v>5</v>
      </c>
      <c r="M132" s="103">
        <f t="shared" si="67"/>
        <v>3276.9661021013089</v>
      </c>
      <c r="N132" s="104">
        <f t="shared" si="60"/>
        <v>655.39322042026174</v>
      </c>
      <c r="O132" s="121">
        <f t="shared" si="61"/>
        <v>0</v>
      </c>
      <c r="P132" s="122">
        <f t="shared" si="62"/>
        <v>-64.606779579738259</v>
      </c>
      <c r="Q132" s="123">
        <f t="shared" si="63"/>
        <v>0.91026836169480796</v>
      </c>
      <c r="R132" s="308"/>
      <c r="S132" s="46">
        <v>0.87361111111111067</v>
      </c>
      <c r="T132" s="118">
        <v>0.88351851851851804</v>
      </c>
      <c r="U132" s="109">
        <v>13.63333333333328</v>
      </c>
      <c r="V132" s="110">
        <v>14.281502628296993</v>
      </c>
      <c r="W132" s="124"/>
      <c r="X132" s="125"/>
      <c r="Y132" s="299"/>
      <c r="Z132" s="300"/>
      <c r="AA132" s="170">
        <f t="shared" si="64"/>
        <v>-323.03389789869107</v>
      </c>
      <c r="AB132" s="108">
        <f t="shared" si="65"/>
        <v>0.91026836169480807</v>
      </c>
      <c r="AC132" s="313"/>
    </row>
    <row r="133" spans="1:29" ht="15.75" customHeight="1">
      <c r="A133" s="303"/>
      <c r="B133" s="98" t="s">
        <v>118</v>
      </c>
      <c r="C133" s="297" t="s">
        <v>216</v>
      </c>
      <c r="D133" s="298"/>
      <c r="E133" s="99">
        <v>24.76</v>
      </c>
      <c r="F133" s="100">
        <v>603</v>
      </c>
      <c r="G133" s="119">
        <f t="shared" si="66"/>
        <v>14930.28</v>
      </c>
      <c r="H133" s="26"/>
      <c r="I133" s="102">
        <v>4</v>
      </c>
      <c r="J133" s="103">
        <v>3600</v>
      </c>
      <c r="K133" s="104">
        <f t="shared" si="56"/>
        <v>900</v>
      </c>
      <c r="L133" s="116">
        <v>4</v>
      </c>
      <c r="M133" s="103">
        <f t="shared" si="67"/>
        <v>3280.6998108928915</v>
      </c>
      <c r="N133" s="104">
        <f t="shared" si="60"/>
        <v>820.17495272322287</v>
      </c>
      <c r="O133" s="121">
        <f t="shared" si="61"/>
        <v>0</v>
      </c>
      <c r="P133" s="122">
        <f t="shared" si="62"/>
        <v>-79.825047276777127</v>
      </c>
      <c r="Q133" s="123">
        <f t="shared" si="63"/>
        <v>0.91130550302580315</v>
      </c>
      <c r="R133" s="308"/>
      <c r="S133" s="46">
        <v>0.89305555555555505</v>
      </c>
      <c r="T133" s="118">
        <v>0.90070601851851806</v>
      </c>
      <c r="U133" s="109">
        <v>13.733333333333295</v>
      </c>
      <c r="V133" s="110">
        <v>11.028134875331087</v>
      </c>
      <c r="W133" s="124"/>
      <c r="X133" s="125"/>
      <c r="Y133" s="299"/>
      <c r="Z133" s="300"/>
      <c r="AA133" s="170">
        <f t="shared" si="64"/>
        <v>-319.30018910710851</v>
      </c>
      <c r="AB133" s="108">
        <f t="shared" si="65"/>
        <v>0.91130550302580315</v>
      </c>
      <c r="AC133" s="313"/>
    </row>
    <row r="134" spans="1:29" ht="15.75" customHeight="1">
      <c r="A134" s="303"/>
      <c r="B134" s="98" t="s">
        <v>118</v>
      </c>
      <c r="C134" s="297" t="s">
        <v>212</v>
      </c>
      <c r="D134" s="298"/>
      <c r="E134" s="99">
        <v>22.32</v>
      </c>
      <c r="F134" s="100">
        <v>1101</v>
      </c>
      <c r="G134" s="119">
        <f t="shared" si="66"/>
        <v>24574.32</v>
      </c>
      <c r="H134" s="26"/>
      <c r="I134" s="102">
        <v>5</v>
      </c>
      <c r="J134" s="103">
        <v>3600</v>
      </c>
      <c r="K134" s="104">
        <f t="shared" si="56"/>
        <v>720</v>
      </c>
      <c r="L134" s="116">
        <v>5</v>
      </c>
      <c r="M134" s="103">
        <f t="shared" si="67"/>
        <v>3275.9485658518947</v>
      </c>
      <c r="N134" s="104">
        <f t="shared" si="60"/>
        <v>655.18971317037892</v>
      </c>
      <c r="O134" s="121">
        <f t="shared" si="61"/>
        <v>0</v>
      </c>
      <c r="P134" s="122">
        <f t="shared" si="62"/>
        <v>-64.810286829621077</v>
      </c>
      <c r="Q134" s="123">
        <f t="shared" si="63"/>
        <v>0.90998571273663742</v>
      </c>
      <c r="R134" s="308"/>
      <c r="S134" s="46">
        <v>0.9104166666666661</v>
      </c>
      <c r="T134" s="118">
        <v>0.92440972222222162</v>
      </c>
      <c r="U134" s="109">
        <v>13.983333333333174</v>
      </c>
      <c r="V134" s="110">
        <v>20.165151763553837</v>
      </c>
      <c r="W134" s="124"/>
      <c r="X134" s="125"/>
      <c r="Y134" s="299"/>
      <c r="Z134" s="300"/>
      <c r="AA134" s="170">
        <f t="shared" si="64"/>
        <v>-324.05143414810527</v>
      </c>
      <c r="AB134" s="108">
        <f t="shared" si="65"/>
        <v>0.90998571273663742</v>
      </c>
      <c r="AC134" s="313"/>
    </row>
    <row r="135" spans="1:29" ht="15.75" customHeight="1">
      <c r="A135" s="303"/>
      <c r="B135" s="98" t="s">
        <v>118</v>
      </c>
      <c r="C135" s="297" t="s">
        <v>143</v>
      </c>
      <c r="D135" s="298"/>
      <c r="E135" s="99">
        <v>18.18</v>
      </c>
      <c r="F135" s="100">
        <v>1464</v>
      </c>
      <c r="G135" s="119">
        <f t="shared" si="66"/>
        <v>26615.52</v>
      </c>
      <c r="H135" s="60"/>
      <c r="I135" s="102">
        <v>3</v>
      </c>
      <c r="J135" s="103">
        <v>3600</v>
      </c>
      <c r="K135" s="104">
        <f t="shared" si="56"/>
        <v>1200</v>
      </c>
      <c r="L135" s="116">
        <v>3</v>
      </c>
      <c r="M135" s="103">
        <f t="shared" si="67"/>
        <v>3276.8136360116932</v>
      </c>
      <c r="N135" s="104">
        <f t="shared" si="60"/>
        <v>1092.2712120038977</v>
      </c>
      <c r="O135" s="121">
        <f t="shared" si="61"/>
        <v>0</v>
      </c>
      <c r="P135" s="122">
        <f t="shared" si="62"/>
        <v>-107.72878799610226</v>
      </c>
      <c r="Q135" s="123">
        <f t="shared" si="63"/>
        <v>0.9102260100032481</v>
      </c>
      <c r="R135" s="308"/>
      <c r="S135" s="46">
        <v>0.93472222222222157</v>
      </c>
      <c r="T135" s="118">
        <v>0.9533333333333327</v>
      </c>
      <c r="U135" s="109">
        <v>14.849999999999923</v>
      </c>
      <c r="V135" s="110">
        <v>26.806529072832063</v>
      </c>
      <c r="W135" s="124"/>
      <c r="X135" s="125"/>
      <c r="Y135" s="299"/>
      <c r="Z135" s="300"/>
      <c r="AA135" s="170">
        <f t="shared" si="64"/>
        <v>-323.18636398830677</v>
      </c>
      <c r="AB135" s="108">
        <f t="shared" si="65"/>
        <v>0.9102260100032481</v>
      </c>
      <c r="AC135" s="313"/>
    </row>
    <row r="136" spans="1:29" ht="15.75" customHeight="1">
      <c r="A136" s="303"/>
      <c r="B136" s="98" t="s">
        <v>118</v>
      </c>
      <c r="C136" s="297" t="s">
        <v>136</v>
      </c>
      <c r="D136" s="298"/>
      <c r="E136" s="99">
        <v>17.89</v>
      </c>
      <c r="F136" s="100">
        <v>2246</v>
      </c>
      <c r="G136" s="119">
        <f t="shared" si="66"/>
        <v>40180.94</v>
      </c>
      <c r="H136" s="60"/>
      <c r="I136" s="102">
        <v>4</v>
      </c>
      <c r="J136" s="103">
        <v>3600</v>
      </c>
      <c r="K136" s="104">
        <f t="shared" si="56"/>
        <v>900</v>
      </c>
      <c r="L136" s="116">
        <v>4</v>
      </c>
      <c r="M136" s="103">
        <f t="shared" si="67"/>
        <v>3280.0390421508514</v>
      </c>
      <c r="N136" s="104">
        <f t="shared" si="60"/>
        <v>820.00976053771285</v>
      </c>
      <c r="O136" s="121">
        <f t="shared" si="61"/>
        <v>0</v>
      </c>
      <c r="P136" s="122">
        <f t="shared" si="62"/>
        <v>-79.99023946228715</v>
      </c>
      <c r="Q136" s="123">
        <f t="shared" si="63"/>
        <v>0.91112195615301428</v>
      </c>
      <c r="R136" s="308"/>
      <c r="S136" s="46">
        <v>0.96249999999999936</v>
      </c>
      <c r="T136" s="118">
        <v>0.99103009259259189</v>
      </c>
      <c r="U136" s="109">
        <v>13.199999999999985</v>
      </c>
      <c r="V136" s="110">
        <v>41.084876816476104</v>
      </c>
      <c r="W136" s="124"/>
      <c r="X136" s="125"/>
      <c r="Y136" s="299"/>
      <c r="Z136" s="300"/>
      <c r="AA136" s="170">
        <f t="shared" si="64"/>
        <v>-319.9609578491486</v>
      </c>
      <c r="AB136" s="108">
        <f t="shared" si="65"/>
        <v>0.91112195615301428</v>
      </c>
      <c r="AC136" s="313"/>
    </row>
    <row r="137" spans="1:29" ht="15.75" customHeight="1">
      <c r="A137" s="303"/>
      <c r="B137" s="98" t="s">
        <v>118</v>
      </c>
      <c r="C137" s="297" t="s">
        <v>141</v>
      </c>
      <c r="D137" s="298"/>
      <c r="E137" s="99">
        <v>14.28</v>
      </c>
      <c r="F137" s="100">
        <v>6566</v>
      </c>
      <c r="G137" s="119">
        <f t="shared" si="66"/>
        <v>93762.48</v>
      </c>
      <c r="H137" s="60"/>
      <c r="I137" s="102">
        <v>3</v>
      </c>
      <c r="J137" s="103">
        <v>3600</v>
      </c>
      <c r="K137" s="104">
        <f t="shared" si="56"/>
        <v>1200</v>
      </c>
      <c r="L137" s="116">
        <v>3</v>
      </c>
      <c r="M137" s="103">
        <f t="shared" si="67"/>
        <v>3280.1429433899248</v>
      </c>
      <c r="N137" s="104">
        <f t="shared" si="60"/>
        <v>1093.380981129975</v>
      </c>
      <c r="O137" s="121">
        <f t="shared" si="61"/>
        <v>0</v>
      </c>
      <c r="P137" s="122">
        <f t="shared" si="62"/>
        <v>-106.619018870025</v>
      </c>
      <c r="Q137" s="123">
        <f t="shared" si="63"/>
        <v>0.91115081760831251</v>
      </c>
      <c r="R137" s="308"/>
      <c r="S137" s="46">
        <v>1.0006944444444439</v>
      </c>
      <c r="T137" s="118">
        <v>1.0840972222222216</v>
      </c>
      <c r="U137" s="109">
        <v>13.91666666666687</v>
      </c>
      <c r="V137" s="110">
        <v>120.104521906248</v>
      </c>
      <c r="W137" s="111"/>
      <c r="X137" s="114"/>
      <c r="Y137" s="299"/>
      <c r="Z137" s="300"/>
      <c r="AA137" s="170">
        <f t="shared" si="64"/>
        <v>-319.85705661007523</v>
      </c>
      <c r="AB137" s="108">
        <f t="shared" si="65"/>
        <v>0.9111508176083124</v>
      </c>
      <c r="AC137" s="313"/>
    </row>
    <row r="138" spans="1:29" ht="15.75" customHeight="1">
      <c r="A138" s="303"/>
      <c r="B138" s="98"/>
      <c r="C138" s="297"/>
      <c r="D138" s="298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8"/>
      <c r="S138" s="46"/>
      <c r="T138" s="118"/>
      <c r="U138" s="109"/>
      <c r="V138" s="110"/>
      <c r="W138" s="124"/>
      <c r="X138" s="125"/>
      <c r="Y138" s="299"/>
      <c r="Z138" s="300"/>
      <c r="AA138" s="170"/>
      <c r="AB138" s="108"/>
      <c r="AC138" s="313"/>
    </row>
    <row r="139" spans="1:29" ht="15.75" customHeight="1">
      <c r="A139" s="303"/>
      <c r="B139" s="98"/>
      <c r="C139" s="297"/>
      <c r="D139" s="298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8"/>
      <c r="S139" s="117"/>
      <c r="T139" s="118"/>
      <c r="U139" s="128"/>
      <c r="V139" s="129"/>
      <c r="W139" s="124"/>
      <c r="X139" s="125"/>
      <c r="Y139" s="299"/>
      <c r="Z139" s="300"/>
      <c r="AA139" s="171"/>
      <c r="AB139" s="123"/>
      <c r="AC139" s="313"/>
    </row>
    <row r="140" spans="1:29" ht="15.75" customHeight="1" thickBot="1">
      <c r="A140" s="304"/>
      <c r="B140" s="131" t="s">
        <v>115</v>
      </c>
      <c r="C140" s="294"/>
      <c r="D140" s="294"/>
      <c r="E140" s="132"/>
      <c r="F140" s="165"/>
      <c r="G140" s="133"/>
      <c r="H140" s="67"/>
      <c r="I140" s="134">
        <f t="shared" ref="I140:J140" si="68">AVERAGE(I124:I139)</f>
        <v>4</v>
      </c>
      <c r="J140" s="135">
        <f t="shared" si="68"/>
        <v>3600</v>
      </c>
      <c r="K140" s="136">
        <f t="shared" ref="K140" si="69">J140/I140</f>
        <v>900</v>
      </c>
      <c r="L140" s="134">
        <f t="shared" ref="L140:M140" si="70">AVERAGE(L124:L139)</f>
        <v>4</v>
      </c>
      <c r="M140" s="135">
        <f t="shared" si="70"/>
        <v>3278.8266151728662</v>
      </c>
      <c r="N140" s="136">
        <f>M140/L140</f>
        <v>819.70665379321656</v>
      </c>
      <c r="O140" s="137">
        <f>L140-I140</f>
        <v>0</v>
      </c>
      <c r="P140" s="138">
        <f>N140-K140</f>
        <v>-80.29334620678344</v>
      </c>
      <c r="Q140" s="139">
        <f>N140/K140</f>
        <v>0.91078517088135169</v>
      </c>
      <c r="R140" s="309"/>
      <c r="S140" s="140">
        <v>0.7319444444444444</v>
      </c>
      <c r="T140" s="141">
        <v>1.0840972222222216</v>
      </c>
      <c r="U140" s="142"/>
      <c r="V140" s="164"/>
      <c r="W140" s="165"/>
      <c r="X140" s="136"/>
      <c r="Y140" s="295"/>
      <c r="Z140" s="296"/>
      <c r="AA140" s="172">
        <f>M140-J140</f>
        <v>-321.17338482713376</v>
      </c>
      <c r="AB140" s="139">
        <f>M140/J140</f>
        <v>0.91078517088135169</v>
      </c>
      <c r="AC140" s="314"/>
    </row>
    <row r="142" spans="1:29">
      <c r="Y142" s="293" t="s">
        <v>147</v>
      </c>
      <c r="Z142" s="293"/>
    </row>
    <row r="143" spans="1:29">
      <c r="Y143" s="293" t="s">
        <v>148</v>
      </c>
      <c r="Z143" s="293"/>
    </row>
    <row r="144" spans="1:29">
      <c r="Y144" s="293" t="s">
        <v>149</v>
      </c>
      <c r="Z144" s="293"/>
    </row>
    <row r="145" spans="25:26">
      <c r="Y145" s="293" t="s">
        <v>150</v>
      </c>
      <c r="Z145" s="293"/>
    </row>
    <row r="146" spans="25:26">
      <c r="Y146" s="293" t="s">
        <v>151</v>
      </c>
      <c r="Z146" s="293"/>
    </row>
    <row r="147" spans="25:26">
      <c r="Y147" s="293" t="s">
        <v>152</v>
      </c>
      <c r="Z147" s="293"/>
    </row>
    <row r="148" spans="25:26">
      <c r="Y148" s="293" t="s">
        <v>153</v>
      </c>
      <c r="Z148" s="293"/>
    </row>
    <row r="149" spans="25:26">
      <c r="Y149" s="293" t="s">
        <v>154</v>
      </c>
      <c r="Z149" s="293"/>
    </row>
    <row r="150" spans="25:26">
      <c r="Y150" s="293" t="s">
        <v>155</v>
      </c>
      <c r="Z150" s="293"/>
    </row>
    <row r="151" spans="25:26">
      <c r="Y151" s="293" t="s">
        <v>156</v>
      </c>
      <c r="Z151" s="293"/>
    </row>
    <row r="152" spans="25:26">
      <c r="Y152" s="293" t="s">
        <v>157</v>
      </c>
      <c r="Z152" s="293"/>
    </row>
    <row r="153" spans="25:26">
      <c r="Y153" s="293" t="s">
        <v>158</v>
      </c>
      <c r="Z153" s="293"/>
    </row>
    <row r="154" spans="25:26">
      <c r="Y154" s="293" t="s">
        <v>159</v>
      </c>
      <c r="Z154" s="293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Y101:Z101"/>
    <mergeCell ref="C102:D102"/>
    <mergeCell ref="Y102:Z102"/>
    <mergeCell ref="C106:D106"/>
    <mergeCell ref="Y106:Z106"/>
    <mergeCell ref="C116:D116"/>
    <mergeCell ref="Y116:Z116"/>
    <mergeCell ref="C117:D117"/>
    <mergeCell ref="Y117:Z117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68" priority="1" operator="greaterThan">
      <formula>0</formula>
    </cfRule>
  </conditionalFormatting>
  <conditionalFormatting sqref="P5:P140 AA5:AA140">
    <cfRule type="cellIs" dxfId="67" priority="4" operator="lessThan">
      <formula>0</formula>
    </cfRule>
  </conditionalFormatting>
  <conditionalFormatting sqref="Q5:Q140 AB5:AB140">
    <cfRule type="cellIs" dxfId="66" priority="2" operator="greaterThan">
      <formula>1</formula>
    </cfRule>
    <cfRule type="cellIs" dxfId="65" priority="3" operator="lessThan">
      <formula>0.8</formula>
    </cfRule>
  </conditionalFormatting>
  <conditionalFormatting sqref="AC5:AC6 R5:R140 AC73:AC78">
    <cfRule type="cellIs" dxfId="64" priority="5" operator="lessThan">
      <formula>0.8</formula>
    </cfRule>
  </conditionalFormatting>
  <conditionalFormatting sqref="AC12:AC20">
    <cfRule type="cellIs" dxfId="63" priority="12" operator="lessThan">
      <formula>0.8</formula>
    </cfRule>
  </conditionalFormatting>
  <conditionalFormatting sqref="AC22">
    <cfRule type="cellIs" dxfId="62" priority="11" operator="lessThan">
      <formula>0.8</formula>
    </cfRule>
  </conditionalFormatting>
  <conditionalFormatting sqref="AC39">
    <cfRule type="cellIs" dxfId="61" priority="7" operator="lessThan">
      <formula>0.8</formula>
    </cfRule>
  </conditionalFormatting>
  <conditionalFormatting sqref="AC56:AC61">
    <cfRule type="cellIs" dxfId="60" priority="6" operator="lessThan">
      <formula>0.8</formula>
    </cfRule>
  </conditionalFormatting>
  <conditionalFormatting sqref="AC90">
    <cfRule type="cellIs" dxfId="59" priority="10" operator="lessThan">
      <formula>0.8</formula>
    </cfRule>
  </conditionalFormatting>
  <conditionalFormatting sqref="AC107">
    <cfRule type="cellIs" dxfId="58" priority="9" operator="lessThan">
      <formula>0.8</formula>
    </cfRule>
  </conditionalFormatting>
  <conditionalFormatting sqref="AC124:AC129">
    <cfRule type="cellIs" dxfId="57" priority="8" operator="lessThan">
      <formula>0.8</formula>
    </cfRule>
  </conditionalFormatting>
  <dataValidations count="1">
    <dataValidation type="list" allowBlank="1" showInputMessage="1" showErrorMessage="1" sqref="Y5:Z140" xr:uid="{61CA23EF-03E6-4473-BF71-24C7E2BA784A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7C183-A917-43AF-ADB8-1517C858869B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J48" sqref="J48"/>
      <selection pane="bottomLeft" activeCell="J48" sqref="J48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56759</v>
      </c>
      <c r="E1" s="86" t="s">
        <v>3</v>
      </c>
      <c r="F1" s="87">
        <f>SUM(G5:G140)</f>
        <v>2494571.9899999998</v>
      </c>
      <c r="G1" s="88" t="s">
        <v>84</v>
      </c>
      <c r="H1" s="89">
        <f>L21+L38+L55+L72+L89+L106+L123+L140</f>
        <v>137.03333333333336</v>
      </c>
      <c r="I1" s="359" t="s">
        <v>85</v>
      </c>
      <c r="J1" s="360"/>
      <c r="K1" s="361"/>
      <c r="L1" s="365" t="s">
        <v>86</v>
      </c>
      <c r="M1" s="366"/>
      <c r="N1" s="367"/>
      <c r="O1" s="360" t="s">
        <v>87</v>
      </c>
      <c r="P1" s="360"/>
      <c r="Q1" s="360"/>
      <c r="R1" s="371"/>
      <c r="S1" s="359" t="s">
        <v>88</v>
      </c>
      <c r="T1" s="360"/>
      <c r="U1" s="360"/>
      <c r="V1" s="360"/>
      <c r="W1" s="360"/>
      <c r="X1" s="371"/>
      <c r="Y1" s="190" t="s">
        <v>183</v>
      </c>
      <c r="Z1" s="190" t="s">
        <v>184</v>
      </c>
      <c r="AA1" s="391" t="s">
        <v>161</v>
      </c>
      <c r="AB1" s="392"/>
      <c r="AC1" s="174" t="s">
        <v>19</v>
      </c>
      <c r="AD1" s="175" t="s">
        <v>160</v>
      </c>
      <c r="AE1" s="359" t="s">
        <v>90</v>
      </c>
      <c r="AF1" s="374"/>
      <c r="AG1" s="375"/>
    </row>
    <row r="2" spans="1:33" ht="26.25" customHeight="1" thickBot="1">
      <c r="A2" s="352">
        <v>46298</v>
      </c>
      <c r="B2" s="353"/>
      <c r="C2" s="90" t="s">
        <v>40</v>
      </c>
      <c r="D2" s="91">
        <f>AVERAGE(N21,N38,N55,N72,N89,N106,N123,N140)</f>
        <v>210.14345067148062</v>
      </c>
      <c r="E2" s="91" t="s">
        <v>91</v>
      </c>
      <c r="F2" s="92">
        <f>F1/D1</f>
        <v>43.950245599816768</v>
      </c>
      <c r="G2" s="93" t="s">
        <v>92</v>
      </c>
      <c r="H2" s="94">
        <f>COUNT(H5:H140)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1">
        <f>SUM(Y21,Y38,Y55,Y72,Y89,Y106,Y123,Y140)</f>
        <v>0</v>
      </c>
      <c r="Z2" s="191">
        <f>SUM(Z21,Z38,Z55,Z72,Z89,Z106,Z123,Z140)</f>
        <v>0</v>
      </c>
      <c r="AA2" s="393"/>
      <c r="AB2" s="394"/>
      <c r="AC2" s="199">
        <f>SUM(AC21,AC38,AC55,AC72,AC89,AC106,AC123,AC140)</f>
        <v>0</v>
      </c>
      <c r="AD2" s="200">
        <f>SUM(AD21,AD38,AD55,AD72,AD89,AD106,AD123,AD140)</f>
        <v>0</v>
      </c>
      <c r="AE2" s="376"/>
      <c r="AF2" s="377"/>
      <c r="AG2" s="378"/>
    </row>
    <row r="3" spans="1:33" ht="23.25" customHeight="1">
      <c r="A3" s="354" t="s">
        <v>93</v>
      </c>
      <c r="B3" s="356" t="s">
        <v>94</v>
      </c>
      <c r="C3" s="326" t="s">
        <v>95</v>
      </c>
      <c r="D3" s="326"/>
      <c r="E3" s="346" t="s">
        <v>96</v>
      </c>
      <c r="F3" s="326" t="s">
        <v>97</v>
      </c>
      <c r="G3" s="346" t="s">
        <v>98</v>
      </c>
      <c r="H3" s="348" t="s">
        <v>99</v>
      </c>
      <c r="I3" s="338" t="s">
        <v>100</v>
      </c>
      <c r="J3" s="334" t="s">
        <v>101</v>
      </c>
      <c r="K3" s="336" t="s">
        <v>40</v>
      </c>
      <c r="L3" s="350" t="s">
        <v>100</v>
      </c>
      <c r="M3" s="334" t="s">
        <v>101</v>
      </c>
      <c r="N3" s="336" t="s">
        <v>40</v>
      </c>
      <c r="O3" s="338" t="s">
        <v>100</v>
      </c>
      <c r="P3" s="340" t="s">
        <v>40</v>
      </c>
      <c r="Q3" s="342" t="s">
        <v>102</v>
      </c>
      <c r="R3" s="344" t="s">
        <v>103</v>
      </c>
      <c r="S3" s="322" t="s">
        <v>104</v>
      </c>
      <c r="T3" s="323"/>
      <c r="U3" s="324" t="s">
        <v>105</v>
      </c>
      <c r="V3" s="324" t="s">
        <v>106</v>
      </c>
      <c r="W3" s="326" t="s">
        <v>107</v>
      </c>
      <c r="X3" s="327"/>
      <c r="Y3" s="383" t="s">
        <v>185</v>
      </c>
      <c r="Z3" s="384"/>
      <c r="AA3" s="387" t="s">
        <v>108</v>
      </c>
      <c r="AB3" s="388"/>
      <c r="AC3" s="383" t="s">
        <v>186</v>
      </c>
      <c r="AD3" s="384"/>
      <c r="AE3" s="332" t="s">
        <v>101</v>
      </c>
      <c r="AF3" s="318" t="s">
        <v>102</v>
      </c>
      <c r="AG3" s="320" t="s">
        <v>109</v>
      </c>
    </row>
    <row r="4" spans="1:33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201" t="s">
        <v>110</v>
      </c>
      <c r="T4" s="202" t="s">
        <v>111</v>
      </c>
      <c r="U4" s="325"/>
      <c r="V4" s="325"/>
      <c r="W4" s="97" t="s">
        <v>112</v>
      </c>
      <c r="X4" s="67" t="s">
        <v>113</v>
      </c>
      <c r="Y4" s="192" t="s">
        <v>49</v>
      </c>
      <c r="Z4" s="193" t="s">
        <v>50</v>
      </c>
      <c r="AA4" s="389"/>
      <c r="AB4" s="390"/>
      <c r="AC4" s="192" t="s">
        <v>162</v>
      </c>
      <c r="AD4" s="193" t="s">
        <v>163</v>
      </c>
      <c r="AE4" s="333"/>
      <c r="AF4" s="319"/>
      <c r="AG4" s="321"/>
    </row>
    <row r="5" spans="1:33" ht="15.75" customHeight="1">
      <c r="A5" s="315" t="s">
        <v>168</v>
      </c>
      <c r="B5" s="112" t="s">
        <v>164</v>
      </c>
      <c r="C5" s="385" t="s">
        <v>165</v>
      </c>
      <c r="D5" s="385"/>
      <c r="E5" s="145">
        <v>19.7</v>
      </c>
      <c r="F5" s="149">
        <v>3906</v>
      </c>
      <c r="G5" s="146">
        <f t="shared" ref="G5:G7" si="0">E5*F5</f>
        <v>76948.2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1087.1672881768488</v>
      </c>
      <c r="N5" s="150">
        <f>M5/L5</f>
        <v>83.628252936680681</v>
      </c>
      <c r="O5" s="152">
        <f>L5-I5</f>
        <v>0</v>
      </c>
      <c r="P5" s="153">
        <f>N5-K5</f>
        <v>-8.6794393710116253</v>
      </c>
      <c r="Q5" s="154">
        <f>N5/K5</f>
        <v>0.90597274014737406</v>
      </c>
      <c r="R5" s="307">
        <f>Q21</f>
        <v>0.90302928821927986</v>
      </c>
      <c r="S5" s="155">
        <v>0.25</v>
      </c>
      <c r="T5" s="156">
        <v>0.39969907407407407</v>
      </c>
      <c r="U5" s="157"/>
      <c r="V5" s="158">
        <v>215.56939998904457</v>
      </c>
      <c r="W5" s="179"/>
      <c r="X5" s="150"/>
      <c r="Y5" s="12"/>
      <c r="Z5" s="196"/>
      <c r="AA5" s="310"/>
      <c r="AB5" s="311"/>
      <c r="AC5" s="12"/>
      <c r="AD5" s="196"/>
      <c r="AE5" s="176">
        <f>M5-J5</f>
        <v>-112.83271182315116</v>
      </c>
      <c r="AF5" s="130">
        <f>M5/J5</f>
        <v>0.90597274014737406</v>
      </c>
      <c r="AG5" s="386">
        <f>AF21</f>
        <v>0.90302928821927986</v>
      </c>
    </row>
    <row r="6" spans="1:33" ht="15.75" customHeight="1">
      <c r="A6" s="316"/>
      <c r="B6" s="98" t="s">
        <v>169</v>
      </c>
      <c r="C6" s="382" t="s">
        <v>170</v>
      </c>
      <c r="D6" s="382"/>
      <c r="E6" s="99">
        <v>56.43</v>
      </c>
      <c r="F6" s="100">
        <v>3588</v>
      </c>
      <c r="G6" s="101">
        <f t="shared" si="0"/>
        <v>202470.84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1802.9548219448432</v>
      </c>
      <c r="N6" s="104">
        <f>M6/L6</f>
        <v>75.123117581035132</v>
      </c>
      <c r="O6" s="106">
        <f>L6-I6</f>
        <v>0</v>
      </c>
      <c r="P6" s="107">
        <f>N6-K6</f>
        <v>-8.2102157522981969</v>
      </c>
      <c r="Q6" s="108">
        <f>N6/K6</f>
        <v>0.90147741097242162</v>
      </c>
      <c r="R6" s="308"/>
      <c r="S6" s="46">
        <v>0.40347222222222223</v>
      </c>
      <c r="T6" s="47">
        <v>0.48638888888888887</v>
      </c>
      <c r="U6" s="109">
        <v>5.4333333333333567</v>
      </c>
      <c r="V6" s="110">
        <v>119.4039902607088</v>
      </c>
      <c r="W6" s="111">
        <v>0.48638888888888887</v>
      </c>
      <c r="X6" s="114">
        <v>0.52500000000000002</v>
      </c>
      <c r="Y6" s="12"/>
      <c r="Z6" s="196"/>
      <c r="AA6" s="299"/>
      <c r="AB6" s="300"/>
      <c r="AC6" s="12"/>
      <c r="AD6" s="196"/>
      <c r="AE6" s="115">
        <f>M6-J6</f>
        <v>-197.04517805515684</v>
      </c>
      <c r="AF6" s="108">
        <f>M6/J6</f>
        <v>0.90147741097242162</v>
      </c>
      <c r="AG6" s="380"/>
    </row>
    <row r="7" spans="1:33" ht="15.75" customHeight="1">
      <c r="A7" s="316"/>
      <c r="B7" s="98" t="s">
        <v>171</v>
      </c>
      <c r="C7" s="382" t="s">
        <v>173</v>
      </c>
      <c r="D7" s="382"/>
      <c r="E7" s="99">
        <v>59.52</v>
      </c>
      <c r="F7" s="100">
        <v>3542</v>
      </c>
      <c r="G7" s="101">
        <f t="shared" si="0"/>
        <v>210819.84000000003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1805.6301886185629</v>
      </c>
      <c r="N7" s="104">
        <f>M7/L7</f>
        <v>75.234591192440121</v>
      </c>
      <c r="O7" s="106">
        <f>L7-I7</f>
        <v>0</v>
      </c>
      <c r="P7" s="107">
        <f>N7-K7</f>
        <v>-8.0987421408932079</v>
      </c>
      <c r="Q7" s="108">
        <f>N7/K7</f>
        <v>0.90281509430928153</v>
      </c>
      <c r="R7" s="308"/>
      <c r="S7" s="46">
        <v>0.52500000000000002</v>
      </c>
      <c r="T7" s="47">
        <v>0.6067245370370371</v>
      </c>
      <c r="U7" s="109">
        <v>55.600000000000058</v>
      </c>
      <c r="V7" s="110">
        <v>117.69851951943333</v>
      </c>
      <c r="W7" s="111"/>
      <c r="X7" s="114"/>
      <c r="Y7" s="12"/>
      <c r="Z7" s="196"/>
      <c r="AA7" s="299"/>
      <c r="AB7" s="300"/>
      <c r="AC7" s="12"/>
      <c r="AD7" s="196"/>
      <c r="AE7" s="115">
        <f>M7-J7</f>
        <v>-194.3698113814371</v>
      </c>
      <c r="AF7" s="108">
        <f>M7/J7</f>
        <v>0.90281509430928142</v>
      </c>
      <c r="AG7" s="380"/>
    </row>
    <row r="8" spans="1:33" ht="15.75" customHeight="1">
      <c r="A8" s="316"/>
      <c r="B8" s="98"/>
      <c r="C8" s="382"/>
      <c r="D8" s="382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8"/>
      <c r="S8" s="46"/>
      <c r="T8" s="47"/>
      <c r="U8" s="109"/>
      <c r="V8" s="110"/>
      <c r="W8" s="111"/>
      <c r="X8" s="114"/>
      <c r="Y8" s="12"/>
      <c r="Z8" s="196"/>
      <c r="AA8" s="299"/>
      <c r="AB8" s="300"/>
      <c r="AC8" s="12"/>
      <c r="AD8" s="196"/>
      <c r="AE8" s="115"/>
      <c r="AF8" s="108"/>
      <c r="AG8" s="380"/>
    </row>
    <row r="9" spans="1:33" ht="15.75" customHeight="1">
      <c r="A9" s="316"/>
      <c r="B9" s="98"/>
      <c r="C9" s="382"/>
      <c r="D9" s="382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8"/>
      <c r="S9" s="46"/>
      <c r="T9" s="47"/>
      <c r="U9" s="109"/>
      <c r="V9" s="110"/>
      <c r="W9" s="111"/>
      <c r="X9" s="114"/>
      <c r="Y9" s="12"/>
      <c r="Z9" s="196"/>
      <c r="AA9" s="299"/>
      <c r="AB9" s="300"/>
      <c r="AC9" s="12"/>
      <c r="AD9" s="196"/>
      <c r="AE9" s="115"/>
      <c r="AF9" s="108"/>
      <c r="AG9" s="380"/>
    </row>
    <row r="10" spans="1:33" ht="15.75" customHeight="1">
      <c r="A10" s="316"/>
      <c r="B10" s="98"/>
      <c r="C10" s="382"/>
      <c r="D10" s="382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8"/>
      <c r="S10" s="46"/>
      <c r="T10" s="118"/>
      <c r="U10" s="109"/>
      <c r="V10" s="110"/>
      <c r="W10" s="111"/>
      <c r="X10" s="114"/>
      <c r="Y10" s="12"/>
      <c r="Z10" s="196"/>
      <c r="AA10" s="299"/>
      <c r="AB10" s="300"/>
      <c r="AC10" s="12"/>
      <c r="AD10" s="196"/>
      <c r="AE10" s="115"/>
      <c r="AF10" s="108"/>
      <c r="AG10" s="380"/>
    </row>
    <row r="11" spans="1:33" ht="15.75" customHeight="1">
      <c r="A11" s="316"/>
      <c r="B11" s="98"/>
      <c r="C11" s="382"/>
      <c r="D11" s="382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8"/>
      <c r="S11" s="46"/>
      <c r="T11" s="118"/>
      <c r="U11" s="109"/>
      <c r="V11" s="110"/>
      <c r="W11" s="111"/>
      <c r="X11" s="114"/>
      <c r="Y11" s="12"/>
      <c r="Z11" s="196"/>
      <c r="AA11" s="299"/>
      <c r="AB11" s="300"/>
      <c r="AC11" s="12"/>
      <c r="AD11" s="196"/>
      <c r="AE11" s="115"/>
      <c r="AF11" s="108"/>
      <c r="AG11" s="380"/>
    </row>
    <row r="12" spans="1:33" ht="15.75" customHeight="1">
      <c r="A12" s="316"/>
      <c r="B12" s="98"/>
      <c r="C12" s="382"/>
      <c r="D12" s="382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8"/>
      <c r="S12" s="46"/>
      <c r="T12" s="118"/>
      <c r="U12" s="109"/>
      <c r="V12" s="110"/>
      <c r="W12" s="111"/>
      <c r="X12" s="114"/>
      <c r="Y12" s="12"/>
      <c r="Z12" s="196"/>
      <c r="AA12" s="299"/>
      <c r="AB12" s="300"/>
      <c r="AC12" s="12"/>
      <c r="AD12" s="196"/>
      <c r="AE12" s="115"/>
      <c r="AF12" s="108"/>
      <c r="AG12" s="380"/>
    </row>
    <row r="13" spans="1:33" ht="15.75" customHeight="1">
      <c r="A13" s="316"/>
      <c r="B13" s="98"/>
      <c r="C13" s="382"/>
      <c r="D13" s="382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8"/>
      <c r="S13" s="46"/>
      <c r="T13" s="118"/>
      <c r="U13" s="109"/>
      <c r="V13" s="110"/>
      <c r="W13" s="111"/>
      <c r="X13" s="114"/>
      <c r="Y13" s="12"/>
      <c r="Z13" s="196"/>
      <c r="AA13" s="299"/>
      <c r="AB13" s="300"/>
      <c r="AC13" s="12"/>
      <c r="AD13" s="196"/>
      <c r="AE13" s="115"/>
      <c r="AF13" s="108"/>
      <c r="AG13" s="380"/>
    </row>
    <row r="14" spans="1:33" ht="15.75" customHeight="1">
      <c r="A14" s="316"/>
      <c r="B14" s="98"/>
      <c r="C14" s="382"/>
      <c r="D14" s="382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8"/>
      <c r="S14" s="46"/>
      <c r="T14" s="118"/>
      <c r="U14" s="109"/>
      <c r="V14" s="110"/>
      <c r="W14" s="111"/>
      <c r="X14" s="114"/>
      <c r="Y14" s="12"/>
      <c r="Z14" s="196"/>
      <c r="AA14" s="299"/>
      <c r="AB14" s="300"/>
      <c r="AC14" s="12"/>
      <c r="AD14" s="196"/>
      <c r="AE14" s="115"/>
      <c r="AF14" s="108"/>
      <c r="AG14" s="380"/>
    </row>
    <row r="15" spans="1:33" ht="15.75" customHeight="1">
      <c r="A15" s="316"/>
      <c r="B15" s="98"/>
      <c r="C15" s="382"/>
      <c r="D15" s="382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8"/>
      <c r="S15" s="46"/>
      <c r="T15" s="118"/>
      <c r="U15" s="109"/>
      <c r="V15" s="110"/>
      <c r="W15" s="111"/>
      <c r="X15" s="114"/>
      <c r="Y15" s="12"/>
      <c r="Z15" s="196"/>
      <c r="AA15" s="299"/>
      <c r="AB15" s="300"/>
      <c r="AC15" s="12"/>
      <c r="AD15" s="196"/>
      <c r="AE15" s="115"/>
      <c r="AF15" s="108"/>
      <c r="AG15" s="380"/>
    </row>
    <row r="16" spans="1:33" ht="15.75" customHeight="1">
      <c r="A16" s="316"/>
      <c r="B16" s="98"/>
      <c r="C16" s="382"/>
      <c r="D16" s="382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8"/>
      <c r="S16" s="46"/>
      <c r="T16" s="118"/>
      <c r="U16" s="109"/>
      <c r="V16" s="110"/>
      <c r="W16" s="111"/>
      <c r="X16" s="114"/>
      <c r="Y16" s="12"/>
      <c r="Z16" s="196"/>
      <c r="AA16" s="299"/>
      <c r="AB16" s="300"/>
      <c r="AC16" s="12"/>
      <c r="AD16" s="196"/>
      <c r="AE16" s="115"/>
      <c r="AF16" s="108"/>
      <c r="AG16" s="380"/>
    </row>
    <row r="17" spans="1:33" ht="15.75" customHeight="1">
      <c r="A17" s="316"/>
      <c r="B17" s="98"/>
      <c r="C17" s="382"/>
      <c r="D17" s="382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8"/>
      <c r="S17" s="46"/>
      <c r="T17" s="118"/>
      <c r="U17" s="109"/>
      <c r="V17" s="110"/>
      <c r="W17" s="111"/>
      <c r="X17" s="114"/>
      <c r="Y17" s="12"/>
      <c r="Z17" s="196"/>
      <c r="AA17" s="299"/>
      <c r="AB17" s="300"/>
      <c r="AC17" s="12"/>
      <c r="AD17" s="196"/>
      <c r="AE17" s="115"/>
      <c r="AF17" s="108"/>
      <c r="AG17" s="380"/>
    </row>
    <row r="18" spans="1:33" ht="15.75" customHeight="1">
      <c r="A18" s="316"/>
      <c r="B18" s="98"/>
      <c r="C18" s="382"/>
      <c r="D18" s="382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8"/>
      <c r="S18" s="46"/>
      <c r="T18" s="118"/>
      <c r="U18" s="109"/>
      <c r="V18" s="110"/>
      <c r="W18" s="111"/>
      <c r="X18" s="114"/>
      <c r="Y18" s="12"/>
      <c r="Z18" s="196"/>
      <c r="AA18" s="299"/>
      <c r="AB18" s="300"/>
      <c r="AC18" s="12"/>
      <c r="AD18" s="196"/>
      <c r="AE18" s="115"/>
      <c r="AF18" s="108"/>
      <c r="AG18" s="380"/>
    </row>
    <row r="19" spans="1:33" ht="15.75" customHeight="1">
      <c r="A19" s="316"/>
      <c r="B19" s="98"/>
      <c r="C19" s="382"/>
      <c r="D19" s="382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8"/>
      <c r="S19" s="46"/>
      <c r="T19" s="118"/>
      <c r="U19" s="109"/>
      <c r="V19" s="110"/>
      <c r="W19" s="111"/>
      <c r="X19" s="114"/>
      <c r="Y19" s="12"/>
      <c r="Z19" s="196"/>
      <c r="AA19" s="299"/>
      <c r="AB19" s="300"/>
      <c r="AC19" s="12"/>
      <c r="AD19" s="196"/>
      <c r="AE19" s="115"/>
      <c r="AF19" s="108"/>
      <c r="AG19" s="380"/>
    </row>
    <row r="20" spans="1:33" ht="15.75" customHeight="1">
      <c r="A20" s="316"/>
      <c r="B20" s="98"/>
      <c r="C20" s="382"/>
      <c r="D20" s="382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8"/>
      <c r="S20" s="46"/>
      <c r="T20" s="118"/>
      <c r="U20" s="128"/>
      <c r="V20" s="110"/>
      <c r="W20" s="111"/>
      <c r="X20" s="114"/>
      <c r="Y20" s="12"/>
      <c r="Z20" s="196"/>
      <c r="AA20" s="299"/>
      <c r="AB20" s="300"/>
      <c r="AC20" s="12"/>
      <c r="AD20" s="196"/>
      <c r="AE20" s="115"/>
      <c r="AF20" s="108"/>
      <c r="AG20" s="380"/>
    </row>
    <row r="21" spans="1:33" ht="15.75" customHeight="1" thickBot="1">
      <c r="A21" s="317"/>
      <c r="B21" s="131" t="s">
        <v>115</v>
      </c>
      <c r="C21" s="294"/>
      <c r="D21" s="294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1565.2507662467517</v>
      </c>
      <c r="N21" s="136">
        <f t="shared" ref="N21:N26" si="5">M21/L21</f>
        <v>76.9795458809878</v>
      </c>
      <c r="O21" s="137">
        <f t="shared" ref="O21:O26" si="6">L21-I21</f>
        <v>0</v>
      </c>
      <c r="P21" s="138">
        <f t="shared" ref="P21:P26" si="7">N21-K21</f>
        <v>-8.2663557583564682</v>
      </c>
      <c r="Q21" s="139">
        <f t="shared" ref="Q21:Q26" si="8">N21/K21</f>
        <v>0.90302928821927986</v>
      </c>
      <c r="R21" s="309"/>
      <c r="S21" s="140">
        <v>0.25</v>
      </c>
      <c r="T21" s="141">
        <v>0.6067245370370371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5"/>
      <c r="AB21" s="296"/>
      <c r="AC21" s="177">
        <f>SUM(AC5:AC20)</f>
        <v>0</v>
      </c>
      <c r="AD21" s="178">
        <f>SUM(AD5:AD20)</f>
        <v>0</v>
      </c>
      <c r="AE21" s="166">
        <f t="shared" ref="AE21:AE26" si="9">M21-J21</f>
        <v>-168.08256708658155</v>
      </c>
      <c r="AF21" s="139">
        <f t="shared" ref="AF21:AF26" si="10">M21/J21</f>
        <v>0.90302928821927986</v>
      </c>
      <c r="AG21" s="381"/>
    </row>
    <row r="22" spans="1:33" ht="15.75" customHeight="1">
      <c r="A22" s="301" t="s">
        <v>174</v>
      </c>
      <c r="B22" s="144" t="s">
        <v>166</v>
      </c>
      <c r="C22" s="305" t="s">
        <v>223</v>
      </c>
      <c r="D22" s="306"/>
      <c r="E22" s="145">
        <v>29.87</v>
      </c>
      <c r="F22" s="157">
        <v>1928</v>
      </c>
      <c r="G22" s="146">
        <f t="shared" ref="G22:G26" si="11">E22*F22</f>
        <v>57589.36</v>
      </c>
      <c r="H22" s="147"/>
      <c r="I22" s="151">
        <v>21</v>
      </c>
      <c r="J22" s="149">
        <v>2790</v>
      </c>
      <c r="K22" s="150">
        <f>J22/I22</f>
        <v>132.85714285714286</v>
      </c>
      <c r="L22" s="105">
        <v>22</v>
      </c>
      <c r="M22" s="149">
        <f>F22/V22*60</f>
        <v>2626.6346153846152</v>
      </c>
      <c r="N22" s="150">
        <f t="shared" si="5"/>
        <v>119.39248251748251</v>
      </c>
      <c r="O22" s="152">
        <f t="shared" si="6"/>
        <v>1</v>
      </c>
      <c r="P22" s="153">
        <f t="shared" si="7"/>
        <v>-13.464660339660355</v>
      </c>
      <c r="Q22" s="154">
        <f t="shared" si="8"/>
        <v>0.89865309421761019</v>
      </c>
      <c r="R22" s="307">
        <f>Q38</f>
        <v>0.90206116530927494</v>
      </c>
      <c r="S22" s="155">
        <v>0.25</v>
      </c>
      <c r="T22" s="156">
        <v>0.28057870370370369</v>
      </c>
      <c r="U22" s="157"/>
      <c r="V22" s="158">
        <v>44.04114653878537</v>
      </c>
      <c r="W22" s="95"/>
      <c r="X22" s="96"/>
      <c r="Y22" s="12"/>
      <c r="Z22" s="196"/>
      <c r="AA22" s="310"/>
      <c r="AB22" s="311"/>
      <c r="AC22" s="12"/>
      <c r="AD22" s="196"/>
      <c r="AE22" s="113">
        <f t="shared" si="9"/>
        <v>-163.36538461538476</v>
      </c>
      <c r="AF22" s="154">
        <f t="shared" si="10"/>
        <v>0.94144609870416318</v>
      </c>
      <c r="AG22" s="379">
        <f>AF38</f>
        <v>0.92833479148333142</v>
      </c>
    </row>
    <row r="23" spans="1:33" ht="15.75" customHeight="1">
      <c r="A23" s="302"/>
      <c r="B23" s="161" t="s">
        <v>166</v>
      </c>
      <c r="C23" s="297" t="s">
        <v>221</v>
      </c>
      <c r="D23" s="298"/>
      <c r="E23" s="99">
        <v>24.35</v>
      </c>
      <c r="F23" s="109">
        <v>2315</v>
      </c>
      <c r="G23" s="101">
        <f t="shared" si="11"/>
        <v>56370.25</v>
      </c>
      <c r="H23" s="26"/>
      <c r="I23" s="105">
        <v>21</v>
      </c>
      <c r="J23" s="103">
        <v>2790</v>
      </c>
      <c r="K23" s="104">
        <f t="shared" si="1"/>
        <v>132.85714285714286</v>
      </c>
      <c r="L23" s="105">
        <v>22</v>
      </c>
      <c r="M23" s="103">
        <f>F23/V23*60</f>
        <v>2626.6346153846152</v>
      </c>
      <c r="N23" s="104">
        <f t="shared" si="5"/>
        <v>119.39248251748251</v>
      </c>
      <c r="O23" s="106">
        <f t="shared" si="6"/>
        <v>1</v>
      </c>
      <c r="P23" s="107">
        <f t="shared" si="7"/>
        <v>-13.464660339660355</v>
      </c>
      <c r="Q23" s="108">
        <f t="shared" si="8"/>
        <v>0.89865309421761019</v>
      </c>
      <c r="R23" s="308"/>
      <c r="S23" s="46">
        <v>0.28402777777777777</v>
      </c>
      <c r="T23" s="47">
        <v>0.32074074074074072</v>
      </c>
      <c r="U23" s="109">
        <v>4.9666666666666703</v>
      </c>
      <c r="V23" s="110">
        <v>52.881355932203398</v>
      </c>
      <c r="W23" s="111"/>
      <c r="X23" s="114"/>
      <c r="Y23" s="12"/>
      <c r="Z23" s="196"/>
      <c r="AA23" s="299"/>
      <c r="AB23" s="300"/>
      <c r="AC23" s="12"/>
      <c r="AD23" s="196"/>
      <c r="AE23" s="115">
        <f t="shared" si="9"/>
        <v>-163.36538461538476</v>
      </c>
      <c r="AF23" s="108">
        <f t="shared" si="10"/>
        <v>0.94144609870416318</v>
      </c>
      <c r="AG23" s="380"/>
    </row>
    <row r="24" spans="1:33" ht="15.75" customHeight="1">
      <c r="A24" s="302"/>
      <c r="B24" s="161" t="s">
        <v>166</v>
      </c>
      <c r="C24" s="297" t="s">
        <v>167</v>
      </c>
      <c r="D24" s="298"/>
      <c r="E24" s="99">
        <v>29.97</v>
      </c>
      <c r="F24" s="109">
        <v>1484</v>
      </c>
      <c r="G24" s="101">
        <f t="shared" si="11"/>
        <v>44475.479999999996</v>
      </c>
      <c r="H24" s="26"/>
      <c r="I24" s="105">
        <v>21</v>
      </c>
      <c r="J24" s="103">
        <v>2790</v>
      </c>
      <c r="K24" s="104">
        <f t="shared" si="1"/>
        <v>132.85714285714286</v>
      </c>
      <c r="L24" s="105">
        <v>22</v>
      </c>
      <c r="M24" s="103">
        <f>F24/V24*60</f>
        <v>2626.6346153846152</v>
      </c>
      <c r="N24" s="104">
        <f t="shared" si="5"/>
        <v>119.39248251748251</v>
      </c>
      <c r="O24" s="106">
        <f t="shared" si="6"/>
        <v>1</v>
      </c>
      <c r="P24" s="107">
        <f t="shared" si="7"/>
        <v>-13.464660339660355</v>
      </c>
      <c r="Q24" s="108">
        <f t="shared" si="8"/>
        <v>0.89865309421761019</v>
      </c>
      <c r="R24" s="308"/>
      <c r="S24" s="46">
        <v>0.32430555555555551</v>
      </c>
      <c r="T24" s="47">
        <v>0.3478356481481481</v>
      </c>
      <c r="U24" s="109">
        <v>5.1333333333333098</v>
      </c>
      <c r="V24" s="110">
        <v>33.898890800600363</v>
      </c>
      <c r="W24" s="111"/>
      <c r="X24" s="114"/>
      <c r="Y24" s="12"/>
      <c r="Z24" s="196"/>
      <c r="AA24" s="299"/>
      <c r="AB24" s="300"/>
      <c r="AC24" s="12"/>
      <c r="AD24" s="196"/>
      <c r="AE24" s="115">
        <f t="shared" si="9"/>
        <v>-163.36538461538476</v>
      </c>
      <c r="AF24" s="108">
        <f t="shared" si="10"/>
        <v>0.94144609870416318</v>
      </c>
      <c r="AG24" s="380"/>
    </row>
    <row r="25" spans="1:33" ht="15.75" customHeight="1">
      <c r="A25" s="302"/>
      <c r="B25" s="161" t="s">
        <v>188</v>
      </c>
      <c r="C25" s="297" t="s">
        <v>204</v>
      </c>
      <c r="D25" s="298"/>
      <c r="E25" s="99">
        <v>36.450000000000003</v>
      </c>
      <c r="F25" s="109">
        <v>1555</v>
      </c>
      <c r="G25" s="101">
        <f t="shared" si="11"/>
        <v>56679.750000000007</v>
      </c>
      <c r="H25" s="26"/>
      <c r="I25" s="105">
        <v>20</v>
      </c>
      <c r="J25" s="103">
        <v>2100</v>
      </c>
      <c r="K25" s="104">
        <f t="shared" si="1"/>
        <v>105</v>
      </c>
      <c r="L25" s="105">
        <v>20</v>
      </c>
      <c r="M25" s="103">
        <f>F25/V25*60</f>
        <v>1891.3883422375</v>
      </c>
      <c r="N25" s="104">
        <f t="shared" si="5"/>
        <v>94.569417111874998</v>
      </c>
      <c r="O25" s="106">
        <f t="shared" si="6"/>
        <v>0</v>
      </c>
      <c r="P25" s="107">
        <f t="shared" si="7"/>
        <v>-10.430582888125002</v>
      </c>
      <c r="Q25" s="108">
        <f t="shared" si="8"/>
        <v>0.90066111535119042</v>
      </c>
      <c r="R25" s="308"/>
      <c r="S25" s="46">
        <v>0.35138888888888881</v>
      </c>
      <c r="T25" s="47">
        <v>0.38563657407407398</v>
      </c>
      <c r="U25" s="109">
        <v>5.1166666666666138</v>
      </c>
      <c r="V25" s="110">
        <v>49.328843747459452</v>
      </c>
      <c r="W25" s="111"/>
      <c r="X25" s="114"/>
      <c r="Y25" s="12"/>
      <c r="Z25" s="196"/>
      <c r="AA25" s="299"/>
      <c r="AB25" s="300"/>
      <c r="AC25" s="12"/>
      <c r="AD25" s="196"/>
      <c r="AE25" s="115">
        <f t="shared" si="9"/>
        <v>-208.61165776250004</v>
      </c>
      <c r="AF25" s="108">
        <f t="shared" si="10"/>
        <v>0.90066111535119042</v>
      </c>
      <c r="AG25" s="380"/>
    </row>
    <row r="26" spans="1:33" ht="15.75" customHeight="1">
      <c r="A26" s="303"/>
      <c r="B26" s="161" t="s">
        <v>171</v>
      </c>
      <c r="C26" s="297" t="s">
        <v>200</v>
      </c>
      <c r="D26" s="298"/>
      <c r="E26" s="99">
        <v>61.09</v>
      </c>
      <c r="F26" s="109">
        <v>2450</v>
      </c>
      <c r="G26" s="101">
        <f t="shared" si="11"/>
        <v>149670.5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>F26/V26*60</f>
        <v>1805.0426614057969</v>
      </c>
      <c r="N26" s="104">
        <f t="shared" si="5"/>
        <v>90.252133070289844</v>
      </c>
      <c r="O26" s="106">
        <f t="shared" si="6"/>
        <v>0</v>
      </c>
      <c r="P26" s="107">
        <f t="shared" si="7"/>
        <v>-9.7478669297101561</v>
      </c>
      <c r="Q26" s="108">
        <f t="shared" si="8"/>
        <v>0.90252133070289842</v>
      </c>
      <c r="R26" s="308"/>
      <c r="S26" s="46">
        <v>0.38958333333333323</v>
      </c>
      <c r="T26" s="47">
        <v>0.44613425925925915</v>
      </c>
      <c r="U26" s="109">
        <v>5.6833333333333158</v>
      </c>
      <c r="V26" s="110">
        <v>81.438518403500765</v>
      </c>
      <c r="W26" s="111"/>
      <c r="X26" s="114"/>
      <c r="Y26" s="12"/>
      <c r="Z26" s="196"/>
      <c r="AA26" s="299"/>
      <c r="AB26" s="300"/>
      <c r="AC26" s="12"/>
      <c r="AD26" s="196"/>
      <c r="AE26" s="115">
        <f t="shared" si="9"/>
        <v>-194.95733859420307</v>
      </c>
      <c r="AF26" s="108">
        <f t="shared" si="10"/>
        <v>0.90252133070289842</v>
      </c>
      <c r="AG26" s="380"/>
    </row>
    <row r="27" spans="1:33" ht="15.75" customHeight="1">
      <c r="A27" s="303"/>
      <c r="B27" s="161"/>
      <c r="C27" s="297"/>
      <c r="D27" s="298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08"/>
      <c r="S27" s="46"/>
      <c r="T27" s="118"/>
      <c r="U27" s="109"/>
      <c r="V27" s="110"/>
      <c r="W27" s="111"/>
      <c r="X27" s="114"/>
      <c r="Y27" s="12"/>
      <c r="Z27" s="196"/>
      <c r="AA27" s="299"/>
      <c r="AB27" s="300"/>
      <c r="AC27" s="12"/>
      <c r="AD27" s="196"/>
      <c r="AE27" s="115"/>
      <c r="AF27" s="108"/>
      <c r="AG27" s="380"/>
    </row>
    <row r="28" spans="1:33" ht="15.75" customHeight="1">
      <c r="A28" s="303"/>
      <c r="B28" s="161"/>
      <c r="C28" s="297"/>
      <c r="D28" s="298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8"/>
      <c r="S28" s="46"/>
      <c r="T28" s="118"/>
      <c r="U28" s="109"/>
      <c r="V28" s="110"/>
      <c r="W28" s="111"/>
      <c r="X28" s="114"/>
      <c r="Y28" s="12"/>
      <c r="Z28" s="196"/>
      <c r="AA28" s="299"/>
      <c r="AB28" s="300"/>
      <c r="AC28" s="12"/>
      <c r="AD28" s="196"/>
      <c r="AE28" s="115"/>
      <c r="AF28" s="108"/>
      <c r="AG28" s="380"/>
    </row>
    <row r="29" spans="1:33" ht="15.75" customHeight="1">
      <c r="A29" s="303"/>
      <c r="B29" s="161"/>
      <c r="C29" s="297"/>
      <c r="D29" s="298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8"/>
      <c r="S29" s="46"/>
      <c r="T29" s="118"/>
      <c r="U29" s="109"/>
      <c r="V29" s="110"/>
      <c r="W29" s="111"/>
      <c r="X29" s="114"/>
      <c r="Y29" s="12"/>
      <c r="Z29" s="196"/>
      <c r="AA29" s="299"/>
      <c r="AB29" s="300"/>
      <c r="AC29" s="12"/>
      <c r="AD29" s="196"/>
      <c r="AE29" s="115"/>
      <c r="AF29" s="108"/>
      <c r="AG29" s="380"/>
    </row>
    <row r="30" spans="1:33" ht="15.75" customHeight="1">
      <c r="A30" s="303"/>
      <c r="B30" s="161"/>
      <c r="C30" s="297"/>
      <c r="D30" s="298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8"/>
      <c r="S30" s="46"/>
      <c r="T30" s="118"/>
      <c r="U30" s="109"/>
      <c r="V30" s="110"/>
      <c r="W30" s="111"/>
      <c r="X30" s="114"/>
      <c r="Y30" s="12"/>
      <c r="Z30" s="196"/>
      <c r="AA30" s="299"/>
      <c r="AB30" s="300"/>
      <c r="AC30" s="12"/>
      <c r="AD30" s="196"/>
      <c r="AE30" s="115"/>
      <c r="AF30" s="108"/>
      <c r="AG30" s="380"/>
    </row>
    <row r="31" spans="1:33" ht="15.75" customHeight="1">
      <c r="A31" s="303"/>
      <c r="B31" s="161"/>
      <c r="C31" s="297"/>
      <c r="D31" s="298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8"/>
      <c r="S31" s="46"/>
      <c r="T31" s="118"/>
      <c r="U31" s="109"/>
      <c r="V31" s="110"/>
      <c r="W31" s="111"/>
      <c r="X31" s="114"/>
      <c r="Y31" s="12"/>
      <c r="Z31" s="196"/>
      <c r="AA31" s="299"/>
      <c r="AB31" s="300"/>
      <c r="AC31" s="12"/>
      <c r="AD31" s="196"/>
      <c r="AE31" s="115"/>
      <c r="AF31" s="108"/>
      <c r="AG31" s="380"/>
    </row>
    <row r="32" spans="1:33" ht="15.75" customHeight="1">
      <c r="A32" s="303"/>
      <c r="B32" s="161"/>
      <c r="C32" s="297"/>
      <c r="D32" s="298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8"/>
      <c r="S32" s="46"/>
      <c r="T32" s="118"/>
      <c r="U32" s="109"/>
      <c r="V32" s="110"/>
      <c r="W32" s="111"/>
      <c r="X32" s="114"/>
      <c r="Y32" s="12"/>
      <c r="Z32" s="196"/>
      <c r="AA32" s="299"/>
      <c r="AB32" s="300"/>
      <c r="AC32" s="12"/>
      <c r="AD32" s="196"/>
      <c r="AE32" s="115"/>
      <c r="AF32" s="108"/>
      <c r="AG32" s="380"/>
    </row>
    <row r="33" spans="1:33" ht="15.75" customHeight="1">
      <c r="A33" s="303"/>
      <c r="B33" s="161"/>
      <c r="C33" s="297"/>
      <c r="D33" s="298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8"/>
      <c r="S33" s="46"/>
      <c r="T33" s="118"/>
      <c r="U33" s="109"/>
      <c r="V33" s="110"/>
      <c r="W33" s="111"/>
      <c r="X33" s="114"/>
      <c r="Y33" s="12"/>
      <c r="Z33" s="196"/>
      <c r="AA33" s="299"/>
      <c r="AB33" s="300"/>
      <c r="AC33" s="12"/>
      <c r="AD33" s="196"/>
      <c r="AE33" s="115"/>
      <c r="AF33" s="108"/>
      <c r="AG33" s="380"/>
    </row>
    <row r="34" spans="1:33" ht="15.75" customHeight="1">
      <c r="A34" s="303"/>
      <c r="B34" s="161"/>
      <c r="C34" s="297"/>
      <c r="D34" s="298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8"/>
      <c r="S34" s="46"/>
      <c r="T34" s="118"/>
      <c r="U34" s="109"/>
      <c r="V34" s="110"/>
      <c r="W34" s="111"/>
      <c r="X34" s="114"/>
      <c r="Y34" s="12"/>
      <c r="Z34" s="196"/>
      <c r="AA34" s="299"/>
      <c r="AB34" s="300"/>
      <c r="AC34" s="12"/>
      <c r="AD34" s="196"/>
      <c r="AE34" s="115"/>
      <c r="AF34" s="108"/>
      <c r="AG34" s="380"/>
    </row>
    <row r="35" spans="1:33" ht="15.75" customHeight="1">
      <c r="A35" s="303"/>
      <c r="B35" s="161"/>
      <c r="C35" s="297"/>
      <c r="D35" s="298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8"/>
      <c r="S35" s="46"/>
      <c r="T35" s="118"/>
      <c r="U35" s="109"/>
      <c r="V35" s="110"/>
      <c r="W35" s="181"/>
      <c r="X35" s="182"/>
      <c r="Y35" s="12"/>
      <c r="Z35" s="196"/>
      <c r="AA35" s="299"/>
      <c r="AB35" s="300"/>
      <c r="AC35" s="12"/>
      <c r="AD35" s="196"/>
      <c r="AE35" s="115"/>
      <c r="AF35" s="108"/>
      <c r="AG35" s="380"/>
    </row>
    <row r="36" spans="1:33" ht="15.75" customHeight="1">
      <c r="A36" s="303"/>
      <c r="B36" s="161"/>
      <c r="C36" s="297"/>
      <c r="D36" s="298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8"/>
      <c r="S36" s="46"/>
      <c r="T36" s="118"/>
      <c r="U36" s="109"/>
      <c r="V36" s="110"/>
      <c r="W36" s="183"/>
      <c r="X36" s="184"/>
      <c r="Y36" s="12"/>
      <c r="Z36" s="196"/>
      <c r="AA36" s="299"/>
      <c r="AB36" s="300"/>
      <c r="AC36" s="12"/>
      <c r="AD36" s="196"/>
      <c r="AE36" s="115"/>
      <c r="AF36" s="108"/>
      <c r="AG36" s="380"/>
    </row>
    <row r="37" spans="1:33" ht="15.75" customHeight="1">
      <c r="A37" s="303"/>
      <c r="B37" s="98"/>
      <c r="C37" s="297"/>
      <c r="D37" s="298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8"/>
      <c r="S37" s="46"/>
      <c r="T37" s="118"/>
      <c r="U37" s="128"/>
      <c r="V37" s="110"/>
      <c r="W37" s="183"/>
      <c r="X37" s="184"/>
      <c r="Y37" s="12"/>
      <c r="Z37" s="196"/>
      <c r="AA37" s="299"/>
      <c r="AB37" s="300"/>
      <c r="AC37" s="12"/>
      <c r="AD37" s="196"/>
      <c r="AE37" s="115"/>
      <c r="AF37" s="108"/>
      <c r="AG37" s="380"/>
    </row>
    <row r="38" spans="1:33" ht="15.75" customHeight="1" thickBot="1">
      <c r="A38" s="304"/>
      <c r="B38" s="131" t="s">
        <v>115</v>
      </c>
      <c r="C38" s="294"/>
      <c r="D38" s="294"/>
      <c r="E38" s="132"/>
      <c r="F38" s="165"/>
      <c r="G38" s="133"/>
      <c r="H38" s="67"/>
      <c r="I38" s="134">
        <f t="shared" ref="I38:J38" si="12">AVERAGE(I22:I37)</f>
        <v>20.6</v>
      </c>
      <c r="J38" s="135">
        <f t="shared" si="12"/>
        <v>2494</v>
      </c>
      <c r="K38" s="136">
        <f t="shared" ref="K38" si="13">J38/I38</f>
        <v>121.06796116504853</v>
      </c>
      <c r="L38" s="134">
        <f t="shared" ref="L38:M38" si="14">AVERAGE(L22:L37)</f>
        <v>21.2</v>
      </c>
      <c r="M38" s="135">
        <f t="shared" si="14"/>
        <v>2315.2669699594285</v>
      </c>
      <c r="N38" s="136">
        <f t="shared" ref="N38:N44" si="15">M38/L38</f>
        <v>109.21070613016173</v>
      </c>
      <c r="O38" s="137">
        <f t="shared" ref="O38:O44" si="16">L38-I38</f>
        <v>0.59999999999999787</v>
      </c>
      <c r="P38" s="138">
        <f t="shared" ref="P38:P44" si="17">N38-K38</f>
        <v>-11.857255034886805</v>
      </c>
      <c r="Q38" s="139">
        <f t="shared" ref="Q38:Q44" si="18">N38/K38</f>
        <v>0.90206116530927494</v>
      </c>
      <c r="R38" s="309"/>
      <c r="S38" s="140">
        <v>0.25</v>
      </c>
      <c r="T38" s="141">
        <v>0.44613425925925915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5"/>
      <c r="AB38" s="296"/>
      <c r="AC38" s="177">
        <f>SUM(AC22:AC37)</f>
        <v>0</v>
      </c>
      <c r="AD38" s="178">
        <f>SUM(AD22:AD37)</f>
        <v>0</v>
      </c>
      <c r="AE38" s="166">
        <f t="shared" ref="AE38:AE44" si="19">M38-J38</f>
        <v>-178.73303004057152</v>
      </c>
      <c r="AF38" s="139">
        <f t="shared" ref="AF38:AF44" si="20">M38/J38</f>
        <v>0.92833479148333142</v>
      </c>
      <c r="AG38" s="381"/>
    </row>
    <row r="39" spans="1:33" ht="15.75" customHeight="1">
      <c r="A39" s="315" t="s">
        <v>175</v>
      </c>
      <c r="B39" s="144" t="s">
        <v>171</v>
      </c>
      <c r="C39" s="305" t="s">
        <v>178</v>
      </c>
      <c r="D39" s="306"/>
      <c r="E39" s="145">
        <v>71.55</v>
      </c>
      <c r="F39" s="95">
        <v>1851</v>
      </c>
      <c r="G39" s="146">
        <f t="shared" ref="G39:G44" si="21">E39*F39</f>
        <v>132439.04999999999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2">F39/V39*60</f>
        <v>1807.8185926713993</v>
      </c>
      <c r="N39" s="150">
        <f t="shared" si="15"/>
        <v>82.173572394154519</v>
      </c>
      <c r="O39" s="152">
        <f t="shared" si="16"/>
        <v>0</v>
      </c>
      <c r="P39" s="153">
        <f t="shared" si="17"/>
        <v>-8.7355185149363876</v>
      </c>
      <c r="Q39" s="154">
        <f t="shared" si="18"/>
        <v>0.90390929633569972</v>
      </c>
      <c r="R39" s="307">
        <f>Q55</f>
        <v>0.90286836370323165</v>
      </c>
      <c r="S39" s="155">
        <v>0.25</v>
      </c>
      <c r="T39" s="156">
        <v>0.29265046296296299</v>
      </c>
      <c r="U39" s="157"/>
      <c r="V39" s="158">
        <v>61.433155102076654</v>
      </c>
      <c r="W39" s="156"/>
      <c r="X39" s="167"/>
      <c r="Y39" s="12"/>
      <c r="Z39" s="196"/>
      <c r="AA39" s="310"/>
      <c r="AB39" s="311"/>
      <c r="AC39" s="12"/>
      <c r="AD39" s="196"/>
      <c r="AE39" s="113">
        <f t="shared" si="19"/>
        <v>-192.1814073286007</v>
      </c>
      <c r="AF39" s="154">
        <f t="shared" si="20"/>
        <v>0.90390929633569961</v>
      </c>
      <c r="AG39" s="312">
        <f>AF55</f>
        <v>0.90286836370323165</v>
      </c>
    </row>
    <row r="40" spans="1:33" ht="15.75" customHeight="1">
      <c r="A40" s="316"/>
      <c r="B40" s="161" t="s">
        <v>171</v>
      </c>
      <c r="C40" s="297" t="s">
        <v>176</v>
      </c>
      <c r="D40" s="298"/>
      <c r="E40" s="99">
        <v>59.54</v>
      </c>
      <c r="F40" s="100">
        <v>1911</v>
      </c>
      <c r="G40" s="101">
        <f t="shared" si="21"/>
        <v>113780.94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2"/>
        <v>1807.4273887531585</v>
      </c>
      <c r="N40" s="104">
        <f t="shared" si="15"/>
        <v>78.583799511006887</v>
      </c>
      <c r="O40" s="106">
        <f t="shared" si="16"/>
        <v>0</v>
      </c>
      <c r="P40" s="107">
        <f t="shared" si="17"/>
        <v>-8.3727222281235498</v>
      </c>
      <c r="Q40" s="108">
        <f t="shared" si="18"/>
        <v>0.90371369437657922</v>
      </c>
      <c r="R40" s="308"/>
      <c r="S40" s="46">
        <v>0.29583333333333334</v>
      </c>
      <c r="T40" s="47">
        <v>0.33988425925925925</v>
      </c>
      <c r="U40" s="109">
        <v>4.5833333333333037</v>
      </c>
      <c r="V40" s="110">
        <v>63.438233100527157</v>
      </c>
      <c r="W40" s="111"/>
      <c r="X40" s="114"/>
      <c r="Y40" s="12"/>
      <c r="Z40" s="196"/>
      <c r="AA40" s="299"/>
      <c r="AB40" s="300"/>
      <c r="AC40" s="12"/>
      <c r="AD40" s="196"/>
      <c r="AE40" s="115">
        <f t="shared" si="19"/>
        <v>-192.57261124684146</v>
      </c>
      <c r="AF40" s="108">
        <f t="shared" si="20"/>
        <v>0.90371369437657922</v>
      </c>
      <c r="AG40" s="313"/>
    </row>
    <row r="41" spans="1:33" ht="15.75" customHeight="1">
      <c r="A41" s="316"/>
      <c r="B41" s="161" t="s">
        <v>171</v>
      </c>
      <c r="C41" s="297" t="s">
        <v>172</v>
      </c>
      <c r="D41" s="298"/>
      <c r="E41" s="99">
        <v>58.67</v>
      </c>
      <c r="F41" s="100">
        <v>2677</v>
      </c>
      <c r="G41" s="101">
        <f t="shared" si="21"/>
        <v>157059.59</v>
      </c>
      <c r="H41" s="26"/>
      <c r="I41" s="102">
        <v>23</v>
      </c>
      <c r="J41" s="103">
        <v>2000</v>
      </c>
      <c r="K41" s="104">
        <f t="shared" si="1"/>
        <v>86.956521739130437</v>
      </c>
      <c r="L41" s="105">
        <v>23</v>
      </c>
      <c r="M41" s="103">
        <f t="shared" si="22"/>
        <v>1802.5093623021287</v>
      </c>
      <c r="N41" s="104">
        <f t="shared" si="15"/>
        <v>78.36997227400559</v>
      </c>
      <c r="O41" s="106">
        <f t="shared" si="16"/>
        <v>0</v>
      </c>
      <c r="P41" s="107">
        <f t="shared" si="17"/>
        <v>-8.5865494651248468</v>
      </c>
      <c r="Q41" s="108">
        <f t="shared" si="18"/>
        <v>0.90125468115106422</v>
      </c>
      <c r="R41" s="308"/>
      <c r="S41" s="46">
        <v>0.34375</v>
      </c>
      <c r="T41" s="47">
        <v>0.40562500000000001</v>
      </c>
      <c r="U41" s="109">
        <v>5.5666666666666842</v>
      </c>
      <c r="V41" s="110">
        <v>89.109107203115641</v>
      </c>
      <c r="W41" s="111"/>
      <c r="X41" s="114"/>
      <c r="Y41" s="12"/>
      <c r="Z41" s="196"/>
      <c r="AA41" s="299"/>
      <c r="AB41" s="300"/>
      <c r="AC41" s="12"/>
      <c r="AD41" s="196"/>
      <c r="AE41" s="115">
        <f t="shared" si="19"/>
        <v>-197.49063769787131</v>
      </c>
      <c r="AF41" s="108">
        <f t="shared" si="20"/>
        <v>0.90125468115106433</v>
      </c>
      <c r="AG41" s="313"/>
    </row>
    <row r="42" spans="1:33" ht="15.75" customHeight="1">
      <c r="A42" s="316"/>
      <c r="B42" s="161" t="s">
        <v>171</v>
      </c>
      <c r="C42" s="297" t="s">
        <v>211</v>
      </c>
      <c r="D42" s="298"/>
      <c r="E42" s="99">
        <v>69.260000000000005</v>
      </c>
      <c r="F42" s="100">
        <v>356</v>
      </c>
      <c r="G42" s="101">
        <f t="shared" si="21"/>
        <v>24656.560000000001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2"/>
        <v>1803.9151935597881</v>
      </c>
      <c r="N42" s="104">
        <f t="shared" si="15"/>
        <v>75.163133064991172</v>
      </c>
      <c r="O42" s="106">
        <f t="shared" si="16"/>
        <v>0</v>
      </c>
      <c r="P42" s="107">
        <f t="shared" si="17"/>
        <v>-8.1702002683421568</v>
      </c>
      <c r="Q42" s="108">
        <f t="shared" si="18"/>
        <v>0.90195759677989407</v>
      </c>
      <c r="R42" s="308"/>
      <c r="S42" s="46">
        <v>0.40972222222222221</v>
      </c>
      <c r="T42" s="47">
        <v>0.41793981481481479</v>
      </c>
      <c r="U42" s="109">
        <v>5.8999999999999631</v>
      </c>
      <c r="V42" s="110">
        <v>11.840911411056339</v>
      </c>
      <c r="W42" s="111"/>
      <c r="X42" s="114"/>
      <c r="Y42" s="12"/>
      <c r="Z42" s="196"/>
      <c r="AA42" s="299"/>
      <c r="AB42" s="300"/>
      <c r="AC42" s="12"/>
      <c r="AD42" s="196"/>
      <c r="AE42" s="115">
        <f t="shared" si="19"/>
        <v>-196.08480644021188</v>
      </c>
      <c r="AF42" s="108">
        <f t="shared" si="20"/>
        <v>0.90195759677989407</v>
      </c>
      <c r="AG42" s="313"/>
    </row>
    <row r="43" spans="1:33" ht="15.75" customHeight="1">
      <c r="A43" s="316"/>
      <c r="B43" s="161" t="s">
        <v>171</v>
      </c>
      <c r="C43" s="297" t="s">
        <v>206</v>
      </c>
      <c r="D43" s="298"/>
      <c r="E43" s="99">
        <v>63.92</v>
      </c>
      <c r="F43" s="100">
        <v>870</v>
      </c>
      <c r="G43" s="101">
        <f t="shared" si="21"/>
        <v>55610.400000000001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 t="shared" si="22"/>
        <v>1809.1054383674852</v>
      </c>
      <c r="N43" s="104">
        <f t="shared" si="15"/>
        <v>75.37939326531189</v>
      </c>
      <c r="O43" s="106">
        <f t="shared" si="16"/>
        <v>0</v>
      </c>
      <c r="P43" s="107">
        <f t="shared" si="17"/>
        <v>-7.9539400680214385</v>
      </c>
      <c r="Q43" s="108">
        <f t="shared" si="18"/>
        <v>0.90455271918374269</v>
      </c>
      <c r="R43" s="308"/>
      <c r="S43" s="46">
        <v>0.42083333333333328</v>
      </c>
      <c r="T43" s="47">
        <v>0.44086805555555553</v>
      </c>
      <c r="U43" s="109">
        <v>5</v>
      </c>
      <c r="V43" s="110">
        <v>28.85403962253557</v>
      </c>
      <c r="W43" s="111">
        <v>0.44086805555555553</v>
      </c>
      <c r="X43" s="114">
        <v>0.47916666666666657</v>
      </c>
      <c r="Y43" s="12"/>
      <c r="Z43" s="196"/>
      <c r="AA43" s="299"/>
      <c r="AB43" s="300"/>
      <c r="AC43" s="12"/>
      <c r="AD43" s="196"/>
      <c r="AE43" s="115">
        <f t="shared" si="19"/>
        <v>-190.89456163251475</v>
      </c>
      <c r="AF43" s="108">
        <f t="shared" si="20"/>
        <v>0.90455271918374258</v>
      </c>
      <c r="AG43" s="313"/>
    </row>
    <row r="44" spans="1:33" ht="15.75" customHeight="1">
      <c r="A44" s="316"/>
      <c r="B44" s="161" t="s">
        <v>171</v>
      </c>
      <c r="C44" s="297" t="s">
        <v>177</v>
      </c>
      <c r="D44" s="298"/>
      <c r="E44" s="99">
        <v>53.76</v>
      </c>
      <c r="F44" s="100">
        <v>2313</v>
      </c>
      <c r="G44" s="119">
        <f t="shared" si="21"/>
        <v>124346.87999999999</v>
      </c>
      <c r="H44" s="120"/>
      <c r="I44" s="102">
        <v>20</v>
      </c>
      <c r="J44" s="103">
        <v>2000</v>
      </c>
      <c r="K44" s="104">
        <f t="shared" si="1"/>
        <v>100</v>
      </c>
      <c r="L44" s="105">
        <v>20</v>
      </c>
      <c r="M44" s="103">
        <f t="shared" si="22"/>
        <v>1803.6443887848195</v>
      </c>
      <c r="N44" s="104">
        <f t="shared" si="15"/>
        <v>90.182219439240981</v>
      </c>
      <c r="O44" s="106">
        <f t="shared" si="16"/>
        <v>0</v>
      </c>
      <c r="P44" s="107">
        <f t="shared" si="17"/>
        <v>-9.8177805607590187</v>
      </c>
      <c r="Q44" s="108">
        <f t="shared" si="18"/>
        <v>0.90182219439240985</v>
      </c>
      <c r="R44" s="308"/>
      <c r="S44" s="46">
        <v>0.47916666666666657</v>
      </c>
      <c r="T44" s="118">
        <v>0.53259259259259251</v>
      </c>
      <c r="U44" s="109">
        <v>55.149999999999906</v>
      </c>
      <c r="V44" s="110">
        <v>76.944214093944041</v>
      </c>
      <c r="W44" s="111"/>
      <c r="X44" s="114"/>
      <c r="Y44" s="12"/>
      <c r="Z44" s="196"/>
      <c r="AA44" s="299"/>
      <c r="AB44" s="300"/>
      <c r="AC44" s="12"/>
      <c r="AD44" s="196"/>
      <c r="AE44" s="115">
        <f t="shared" si="19"/>
        <v>-196.35561121518049</v>
      </c>
      <c r="AF44" s="108">
        <f t="shared" si="20"/>
        <v>0.90182219439240974</v>
      </c>
      <c r="AG44" s="313"/>
    </row>
    <row r="45" spans="1:33" ht="15.75" customHeight="1">
      <c r="A45" s="316"/>
      <c r="B45" s="161"/>
      <c r="C45" s="297"/>
      <c r="D45" s="298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8"/>
      <c r="S45" s="117"/>
      <c r="T45" s="118"/>
      <c r="U45" s="109"/>
      <c r="V45" s="110"/>
      <c r="W45" s="118"/>
      <c r="X45" s="187"/>
      <c r="Y45" s="12"/>
      <c r="Z45" s="196"/>
      <c r="AA45" s="299"/>
      <c r="AB45" s="300"/>
      <c r="AC45" s="12"/>
      <c r="AD45" s="196"/>
      <c r="AE45" s="115"/>
      <c r="AF45" s="108"/>
      <c r="AG45" s="313"/>
    </row>
    <row r="46" spans="1:33" ht="15.75" customHeight="1">
      <c r="A46" s="316"/>
      <c r="B46" s="161"/>
      <c r="C46" s="297"/>
      <c r="D46" s="298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8"/>
      <c r="S46" s="117"/>
      <c r="T46" s="118"/>
      <c r="U46" s="109"/>
      <c r="V46" s="110"/>
      <c r="W46" s="118"/>
      <c r="X46" s="187"/>
      <c r="Y46" s="12"/>
      <c r="Z46" s="196"/>
      <c r="AA46" s="299"/>
      <c r="AB46" s="300"/>
      <c r="AC46" s="12"/>
      <c r="AD46" s="196"/>
      <c r="AE46" s="115"/>
      <c r="AF46" s="108"/>
      <c r="AG46" s="313"/>
    </row>
    <row r="47" spans="1:33" ht="15.75" customHeight="1">
      <c r="A47" s="316"/>
      <c r="B47" s="161"/>
      <c r="C47" s="297"/>
      <c r="D47" s="298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8"/>
      <c r="S47" s="117"/>
      <c r="T47" s="118"/>
      <c r="U47" s="109"/>
      <c r="V47" s="110"/>
      <c r="W47" s="118"/>
      <c r="X47" s="187"/>
      <c r="Y47" s="12"/>
      <c r="Z47" s="196"/>
      <c r="AA47" s="299"/>
      <c r="AB47" s="300"/>
      <c r="AC47" s="12"/>
      <c r="AD47" s="196"/>
      <c r="AE47" s="115"/>
      <c r="AF47" s="108"/>
      <c r="AG47" s="313"/>
    </row>
    <row r="48" spans="1:33" ht="15.75" customHeight="1">
      <c r="A48" s="316"/>
      <c r="B48" s="161"/>
      <c r="C48" s="297"/>
      <c r="D48" s="298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8"/>
      <c r="S48" s="117"/>
      <c r="T48" s="118"/>
      <c r="U48" s="109"/>
      <c r="V48" s="110"/>
      <c r="W48" s="118"/>
      <c r="X48" s="187"/>
      <c r="Y48" s="12"/>
      <c r="Z48" s="196"/>
      <c r="AA48" s="299"/>
      <c r="AB48" s="300"/>
      <c r="AC48" s="12"/>
      <c r="AD48" s="196"/>
      <c r="AE48" s="115"/>
      <c r="AF48" s="108"/>
      <c r="AG48" s="313"/>
    </row>
    <row r="49" spans="1:33" ht="15.75" customHeight="1">
      <c r="A49" s="316"/>
      <c r="B49" s="161"/>
      <c r="C49" s="297"/>
      <c r="D49" s="298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8"/>
      <c r="S49" s="117"/>
      <c r="T49" s="118"/>
      <c r="U49" s="109"/>
      <c r="V49" s="110"/>
      <c r="W49" s="118"/>
      <c r="X49" s="187"/>
      <c r="Y49" s="12"/>
      <c r="Z49" s="196"/>
      <c r="AA49" s="299"/>
      <c r="AB49" s="300"/>
      <c r="AC49" s="12"/>
      <c r="AD49" s="196"/>
      <c r="AE49" s="115"/>
      <c r="AF49" s="108"/>
      <c r="AG49" s="313"/>
    </row>
    <row r="50" spans="1:33" ht="15.75" customHeight="1">
      <c r="A50" s="316"/>
      <c r="B50" s="161"/>
      <c r="C50" s="297"/>
      <c r="D50" s="298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8"/>
      <c r="S50" s="117"/>
      <c r="T50" s="118"/>
      <c r="U50" s="109"/>
      <c r="V50" s="110"/>
      <c r="W50" s="118"/>
      <c r="X50" s="187"/>
      <c r="Y50" s="12"/>
      <c r="Z50" s="196"/>
      <c r="AA50" s="299"/>
      <c r="AB50" s="300"/>
      <c r="AC50" s="12"/>
      <c r="AD50" s="196"/>
      <c r="AE50" s="115"/>
      <c r="AF50" s="108"/>
      <c r="AG50" s="313"/>
    </row>
    <row r="51" spans="1:33" ht="15.75" customHeight="1">
      <c r="A51" s="316"/>
      <c r="B51" s="161"/>
      <c r="C51" s="297"/>
      <c r="D51" s="298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8"/>
      <c r="S51" s="117"/>
      <c r="T51" s="118"/>
      <c r="U51" s="109"/>
      <c r="V51" s="110"/>
      <c r="W51" s="118"/>
      <c r="X51" s="187"/>
      <c r="Y51" s="12"/>
      <c r="Z51" s="196"/>
      <c r="AA51" s="299"/>
      <c r="AB51" s="300"/>
      <c r="AC51" s="12"/>
      <c r="AD51" s="196"/>
      <c r="AE51" s="115"/>
      <c r="AF51" s="108"/>
      <c r="AG51" s="313"/>
    </row>
    <row r="52" spans="1:33" ht="15.75" customHeight="1">
      <c r="A52" s="316"/>
      <c r="B52" s="161"/>
      <c r="C52" s="297"/>
      <c r="D52" s="298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8"/>
      <c r="S52" s="117"/>
      <c r="T52" s="118"/>
      <c r="U52" s="109"/>
      <c r="V52" s="110"/>
      <c r="W52" s="118"/>
      <c r="X52" s="187"/>
      <c r="Y52" s="12"/>
      <c r="Z52" s="196"/>
      <c r="AA52" s="299"/>
      <c r="AB52" s="300"/>
      <c r="AC52" s="12"/>
      <c r="AD52" s="196"/>
      <c r="AE52" s="115"/>
      <c r="AF52" s="108"/>
      <c r="AG52" s="313"/>
    </row>
    <row r="53" spans="1:33" ht="15.75" customHeight="1">
      <c r="A53" s="316"/>
      <c r="B53" s="161"/>
      <c r="C53" s="297"/>
      <c r="D53" s="298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8"/>
      <c r="S53" s="117"/>
      <c r="T53" s="118"/>
      <c r="U53" s="109"/>
      <c r="V53" s="110"/>
      <c r="W53" s="118"/>
      <c r="X53" s="187"/>
      <c r="Y53" s="12"/>
      <c r="Z53" s="196"/>
      <c r="AA53" s="299"/>
      <c r="AB53" s="300"/>
      <c r="AC53" s="12"/>
      <c r="AD53" s="196"/>
      <c r="AE53" s="115"/>
      <c r="AF53" s="108"/>
      <c r="AG53" s="313"/>
    </row>
    <row r="54" spans="1:33" ht="15.75" customHeight="1">
      <c r="A54" s="316"/>
      <c r="B54" s="161"/>
      <c r="C54" s="297"/>
      <c r="D54" s="298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8"/>
      <c r="S54" s="117"/>
      <c r="T54" s="118"/>
      <c r="U54" s="128"/>
      <c r="V54" s="129"/>
      <c r="W54" s="124"/>
      <c r="X54" s="125"/>
      <c r="Y54" s="12"/>
      <c r="Z54" s="196"/>
      <c r="AA54" s="299"/>
      <c r="AB54" s="300"/>
      <c r="AC54" s="12"/>
      <c r="AD54" s="196"/>
      <c r="AE54" s="163"/>
      <c r="AF54" s="123"/>
      <c r="AG54" s="313"/>
    </row>
    <row r="55" spans="1:33" ht="15.75" customHeight="1" thickBot="1">
      <c r="A55" s="317"/>
      <c r="B55" s="131" t="s">
        <v>115</v>
      </c>
      <c r="C55" s="294"/>
      <c r="D55" s="294"/>
      <c r="E55" s="132"/>
      <c r="F55" s="165"/>
      <c r="G55" s="133"/>
      <c r="H55" s="67"/>
      <c r="I55" s="134">
        <f t="shared" ref="I55:J55" si="23">AVERAGE(I39:I54)</f>
        <v>22.666666666666668</v>
      </c>
      <c r="J55" s="135">
        <f t="shared" si="23"/>
        <v>2000</v>
      </c>
      <c r="K55" s="136">
        <f t="shared" ref="K55" si="24">J55/I55</f>
        <v>88.235294117647058</v>
      </c>
      <c r="L55" s="134">
        <f t="shared" ref="L55:M55" si="25">AVERAGE(L39:L54)</f>
        <v>22.666666666666668</v>
      </c>
      <c r="M55" s="135">
        <f t="shared" si="25"/>
        <v>1805.7367274064634</v>
      </c>
      <c r="N55" s="136">
        <f>M55/L55</f>
        <v>79.664855620873382</v>
      </c>
      <c r="O55" s="137">
        <f>L55-I55</f>
        <v>0</v>
      </c>
      <c r="P55" s="138">
        <f>N55-K55</f>
        <v>-8.5704384967736758</v>
      </c>
      <c r="Q55" s="139">
        <f>N55/K55</f>
        <v>0.90286836370323165</v>
      </c>
      <c r="R55" s="309"/>
      <c r="S55" s="140">
        <v>0.25</v>
      </c>
      <c r="T55" s="141">
        <v>0.53259259259259251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5"/>
      <c r="AB55" s="296"/>
      <c r="AC55" s="177">
        <f>SUM(AC39:AC54)</f>
        <v>0</v>
      </c>
      <c r="AD55" s="189">
        <f>SUM(AD39:AD54)</f>
        <v>0</v>
      </c>
      <c r="AE55" s="166">
        <f>M55-J55</f>
        <v>-194.26327259353661</v>
      </c>
      <c r="AF55" s="139">
        <f>M55/J55</f>
        <v>0.90286836370323165</v>
      </c>
      <c r="AG55" s="314"/>
    </row>
    <row r="56" spans="1:33" ht="15.75" customHeight="1">
      <c r="A56" s="301" t="s">
        <v>187</v>
      </c>
      <c r="B56" s="112" t="s">
        <v>194</v>
      </c>
      <c r="C56" s="385" t="s">
        <v>195</v>
      </c>
      <c r="D56" s="385"/>
      <c r="E56" s="145">
        <v>28.86</v>
      </c>
      <c r="F56" s="95">
        <v>1345</v>
      </c>
      <c r="G56" s="146">
        <f t="shared" ref="G56:G59" si="26">E56*F56</f>
        <v>38816.699999999997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>F56/V56*60</f>
        <v>3194.593472803153</v>
      </c>
      <c r="N56" s="150">
        <f>M56/L56</f>
        <v>177.47741515573071</v>
      </c>
      <c r="O56" s="152">
        <f>L56-I56</f>
        <v>0</v>
      </c>
      <c r="P56" s="153">
        <f>N56-K56</f>
        <v>-22.522584844269289</v>
      </c>
      <c r="Q56" s="154">
        <f>N56/K56</f>
        <v>0.8873870757786535</v>
      </c>
      <c r="R56" s="307">
        <f>Q72</f>
        <v>0.89777546696083887</v>
      </c>
      <c r="S56" s="155">
        <v>0.25</v>
      </c>
      <c r="T56" s="156">
        <v>0.26753472222222224</v>
      </c>
      <c r="U56" s="157"/>
      <c r="V56" s="158">
        <v>25.261430190423681</v>
      </c>
      <c r="W56" s="156"/>
      <c r="X56" s="167"/>
      <c r="Y56" s="12"/>
      <c r="Z56" s="196"/>
      <c r="AA56" s="310"/>
      <c r="AB56" s="311"/>
      <c r="AC56" s="12"/>
      <c r="AD56" s="196"/>
      <c r="AE56" s="113">
        <f>M56-J56</f>
        <v>-405.40652719684704</v>
      </c>
      <c r="AF56" s="154">
        <f>M56/J56</f>
        <v>0.88738707577865361</v>
      </c>
      <c r="AG56" s="312">
        <f>AF72</f>
        <v>0.89777546696083887</v>
      </c>
    </row>
    <row r="57" spans="1:33" ht="15.75" customHeight="1">
      <c r="A57" s="302"/>
      <c r="B57" s="98" t="s">
        <v>194</v>
      </c>
      <c r="C57" s="382" t="s">
        <v>210</v>
      </c>
      <c r="D57" s="382"/>
      <c r="E57" s="99">
        <v>36.729999999999997</v>
      </c>
      <c r="F57" s="100">
        <v>652</v>
      </c>
      <c r="G57" s="101">
        <f t="shared" si="26"/>
        <v>23947.96</v>
      </c>
      <c r="H57" s="26"/>
      <c r="I57" s="102">
        <v>21</v>
      </c>
      <c r="J57" s="103">
        <v>3600</v>
      </c>
      <c r="K57" s="104">
        <f t="shared" ref="K57:K91" si="27">J57/I57</f>
        <v>171.42857142857142</v>
      </c>
      <c r="L57" s="105">
        <v>21</v>
      </c>
      <c r="M57" s="103">
        <f>F57/V57*60</f>
        <v>3192.0056053458129</v>
      </c>
      <c r="N57" s="104">
        <f>M57/L57</f>
        <v>152.00026692122918</v>
      </c>
      <c r="O57" s="106">
        <f>L57-I57</f>
        <v>0</v>
      </c>
      <c r="P57" s="107">
        <f>N57-K57</f>
        <v>-19.428304507342233</v>
      </c>
      <c r="Q57" s="108">
        <f>N57/K57</f>
        <v>0.88666822370717036</v>
      </c>
      <c r="R57" s="308"/>
      <c r="S57" s="46">
        <v>0.27152777777777776</v>
      </c>
      <c r="T57" s="47">
        <v>0.2800347222222222</v>
      </c>
      <c r="U57" s="109">
        <v>5.7499999999999396</v>
      </c>
      <c r="V57" s="110">
        <v>12.255617576135757</v>
      </c>
      <c r="W57" s="111"/>
      <c r="X57" s="114"/>
      <c r="Y57" s="12"/>
      <c r="Z57" s="196"/>
      <c r="AA57" s="299"/>
      <c r="AB57" s="300"/>
      <c r="AC57" s="12"/>
      <c r="AD57" s="196"/>
      <c r="AE57" s="115">
        <f>M57-J57</f>
        <v>-407.99439465418709</v>
      </c>
      <c r="AF57" s="108">
        <f>M57/J57</f>
        <v>0.88666822370717024</v>
      </c>
      <c r="AG57" s="313"/>
    </row>
    <row r="58" spans="1:33" ht="15.75" customHeight="1">
      <c r="A58" s="302"/>
      <c r="B58" s="98" t="s">
        <v>194</v>
      </c>
      <c r="C58" s="382" t="s">
        <v>197</v>
      </c>
      <c r="D58" s="382"/>
      <c r="E58" s="99">
        <v>37.799999999999997</v>
      </c>
      <c r="F58" s="100">
        <v>4298</v>
      </c>
      <c r="G58" s="101">
        <f t="shared" si="26"/>
        <v>162464.4</v>
      </c>
      <c r="H58" s="26"/>
      <c r="I58" s="102">
        <v>20</v>
      </c>
      <c r="J58" s="103">
        <v>3600</v>
      </c>
      <c r="K58" s="104">
        <f t="shared" si="27"/>
        <v>180</v>
      </c>
      <c r="L58" s="105">
        <v>20</v>
      </c>
      <c r="M58" s="103">
        <f>F58/V58*60</f>
        <v>3273.3289188004146</v>
      </c>
      <c r="N58" s="104">
        <f>M58/L58</f>
        <v>163.66644594002074</v>
      </c>
      <c r="O58" s="106">
        <f>L58-I58</f>
        <v>0</v>
      </c>
      <c r="P58" s="107">
        <f>N58-K58</f>
        <v>-16.333554059979264</v>
      </c>
      <c r="Q58" s="108">
        <f>N58/K58</f>
        <v>0.90925803300011521</v>
      </c>
      <c r="R58" s="308"/>
      <c r="S58" s="46">
        <v>0.28333333333333333</v>
      </c>
      <c r="T58" s="47">
        <v>0.33803240740740742</v>
      </c>
      <c r="U58" s="109">
        <v>4.7500000000000231</v>
      </c>
      <c r="V58" s="110">
        <v>78.782183641510116</v>
      </c>
      <c r="W58" s="111"/>
      <c r="X58" s="114"/>
      <c r="Y58" s="12"/>
      <c r="Z58" s="196"/>
      <c r="AA58" s="299"/>
      <c r="AB58" s="300"/>
      <c r="AC58" s="12"/>
      <c r="AD58" s="196"/>
      <c r="AE58" s="115">
        <f>M58-J58</f>
        <v>-326.67108119958539</v>
      </c>
      <c r="AF58" s="108">
        <f>M58/J58</f>
        <v>0.90925803300011521</v>
      </c>
      <c r="AG58" s="313"/>
    </row>
    <row r="59" spans="1:33" ht="15.75" customHeight="1">
      <c r="A59" s="302"/>
      <c r="B59" s="98" t="s">
        <v>194</v>
      </c>
      <c r="C59" s="382" t="s">
        <v>196</v>
      </c>
      <c r="D59" s="382"/>
      <c r="E59" s="99">
        <v>38.479999999999997</v>
      </c>
      <c r="F59" s="100">
        <v>3440</v>
      </c>
      <c r="G59" s="101">
        <f t="shared" si="26"/>
        <v>132371.19999999998</v>
      </c>
      <c r="H59" s="26"/>
      <c r="I59" s="102">
        <v>19</v>
      </c>
      <c r="J59" s="103">
        <v>3600</v>
      </c>
      <c r="K59" s="104">
        <f t="shared" si="27"/>
        <v>189.47368421052633</v>
      </c>
      <c r="L59" s="105">
        <v>19</v>
      </c>
      <c r="M59" s="103">
        <f>F59/V59*60</f>
        <v>3268.0387272866992</v>
      </c>
      <c r="N59" s="104">
        <f>M59/L59</f>
        <v>172.00203827824734</v>
      </c>
      <c r="O59" s="106">
        <f>L59-I59</f>
        <v>0</v>
      </c>
      <c r="P59" s="107">
        <f>N59-K59</f>
        <v>-17.471645932278989</v>
      </c>
      <c r="Q59" s="108">
        <f>N59/K59</f>
        <v>0.90778853535741644</v>
      </c>
      <c r="R59" s="308"/>
      <c r="S59" s="46">
        <v>0.34166666666666667</v>
      </c>
      <c r="T59" s="47">
        <v>0.38552083333333331</v>
      </c>
      <c r="U59" s="109">
        <v>5.2333333333333254</v>
      </c>
      <c r="V59" s="110">
        <v>63.157146295926644</v>
      </c>
      <c r="W59" s="111"/>
      <c r="X59" s="114"/>
      <c r="Y59" s="12"/>
      <c r="Z59" s="196"/>
      <c r="AA59" s="299"/>
      <c r="AB59" s="300"/>
      <c r="AC59" s="12"/>
      <c r="AD59" s="196"/>
      <c r="AE59" s="197">
        <f>M59-J59</f>
        <v>-331.96127271330079</v>
      </c>
      <c r="AF59" s="198">
        <f>M59/J59</f>
        <v>0.90778853535741644</v>
      </c>
      <c r="AG59" s="313"/>
    </row>
    <row r="60" spans="1:33" ht="15.75" customHeight="1">
      <c r="A60" s="303"/>
      <c r="B60" s="98"/>
      <c r="C60" s="382"/>
      <c r="D60" s="382"/>
      <c r="E60" s="99"/>
      <c r="F60" s="103"/>
      <c r="G60" s="101"/>
      <c r="H60" s="13"/>
      <c r="I60" s="102"/>
      <c r="J60" s="103"/>
      <c r="K60" s="104"/>
      <c r="L60" s="105"/>
      <c r="M60" s="103"/>
      <c r="N60" s="104"/>
      <c r="O60" s="106"/>
      <c r="P60" s="107"/>
      <c r="Q60" s="108"/>
      <c r="R60" s="308"/>
      <c r="S60" s="46"/>
      <c r="T60" s="47"/>
      <c r="U60" s="109"/>
      <c r="V60" s="110"/>
      <c r="W60" s="111"/>
      <c r="X60" s="114"/>
      <c r="Y60" s="12"/>
      <c r="Z60" s="196"/>
      <c r="AA60" s="299"/>
      <c r="AB60" s="300"/>
      <c r="AC60" s="12"/>
      <c r="AD60" s="196"/>
      <c r="AE60" s="197"/>
      <c r="AF60" s="198"/>
      <c r="AG60" s="313"/>
    </row>
    <row r="61" spans="1:33" ht="15.75" customHeight="1">
      <c r="A61" s="303"/>
      <c r="B61" s="98"/>
      <c r="C61" s="382"/>
      <c r="D61" s="382"/>
      <c r="E61" s="99"/>
      <c r="F61" s="103"/>
      <c r="G61" s="119"/>
      <c r="H61" s="120"/>
      <c r="I61" s="102"/>
      <c r="J61" s="103"/>
      <c r="K61" s="104"/>
      <c r="L61" s="105"/>
      <c r="M61" s="103"/>
      <c r="N61" s="104"/>
      <c r="O61" s="106"/>
      <c r="P61" s="107"/>
      <c r="Q61" s="108"/>
      <c r="R61" s="308"/>
      <c r="S61" s="46"/>
      <c r="T61" s="118"/>
      <c r="U61" s="109"/>
      <c r="V61" s="110"/>
      <c r="W61" s="111"/>
      <c r="X61" s="114"/>
      <c r="Y61" s="12"/>
      <c r="Z61" s="196"/>
      <c r="AA61" s="299"/>
      <c r="AB61" s="300"/>
      <c r="AC61" s="12"/>
      <c r="AD61" s="196"/>
      <c r="AE61" s="197"/>
      <c r="AF61" s="198"/>
      <c r="AG61" s="313"/>
    </row>
    <row r="62" spans="1:33" ht="15.75" customHeight="1">
      <c r="A62" s="303"/>
      <c r="B62" s="98"/>
      <c r="C62" s="382"/>
      <c r="D62" s="382"/>
      <c r="E62" s="99"/>
      <c r="F62" s="103"/>
      <c r="G62" s="119"/>
      <c r="H62" s="60"/>
      <c r="I62" s="102"/>
      <c r="J62" s="103"/>
      <c r="K62" s="104"/>
      <c r="L62" s="105"/>
      <c r="M62" s="103"/>
      <c r="N62" s="104"/>
      <c r="O62" s="121"/>
      <c r="P62" s="122"/>
      <c r="Q62" s="123"/>
      <c r="R62" s="308"/>
      <c r="S62" s="46"/>
      <c r="T62" s="118"/>
      <c r="U62" s="109"/>
      <c r="V62" s="110"/>
      <c r="W62" s="111"/>
      <c r="X62" s="114"/>
      <c r="Y62" s="12"/>
      <c r="Z62" s="196"/>
      <c r="AA62" s="299"/>
      <c r="AB62" s="300"/>
      <c r="AC62" s="12"/>
      <c r="AD62" s="196"/>
      <c r="AE62" s="197"/>
      <c r="AF62" s="198"/>
      <c r="AG62" s="313"/>
    </row>
    <row r="63" spans="1:33" ht="15.75" customHeight="1">
      <c r="A63" s="303"/>
      <c r="B63" s="98"/>
      <c r="C63" s="382"/>
      <c r="D63" s="382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8"/>
      <c r="S63" s="46"/>
      <c r="T63" s="118"/>
      <c r="U63" s="109"/>
      <c r="V63" s="110"/>
      <c r="W63" s="111"/>
      <c r="X63" s="114"/>
      <c r="Y63" s="12"/>
      <c r="Z63" s="196"/>
      <c r="AA63" s="299"/>
      <c r="AB63" s="300"/>
      <c r="AC63" s="12"/>
      <c r="AD63" s="196"/>
      <c r="AE63" s="197"/>
      <c r="AF63" s="198"/>
      <c r="AG63" s="313"/>
    </row>
    <row r="64" spans="1:33" ht="15.75" customHeight="1">
      <c r="A64" s="303"/>
      <c r="B64" s="98"/>
      <c r="C64" s="382"/>
      <c r="D64" s="382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8"/>
      <c r="S64" s="46"/>
      <c r="T64" s="118"/>
      <c r="U64" s="109"/>
      <c r="V64" s="110"/>
      <c r="W64" s="111"/>
      <c r="X64" s="114"/>
      <c r="Y64" s="12"/>
      <c r="Z64" s="196"/>
      <c r="AA64" s="299"/>
      <c r="AB64" s="300"/>
      <c r="AC64" s="12"/>
      <c r="AD64" s="196"/>
      <c r="AE64" s="197"/>
      <c r="AF64" s="198"/>
      <c r="AG64" s="313"/>
    </row>
    <row r="65" spans="1:33" ht="15.75" customHeight="1">
      <c r="A65" s="303"/>
      <c r="B65" s="98"/>
      <c r="C65" s="382"/>
      <c r="D65" s="382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8"/>
      <c r="S65" s="46"/>
      <c r="T65" s="118"/>
      <c r="U65" s="109"/>
      <c r="V65" s="110"/>
      <c r="W65" s="111"/>
      <c r="X65" s="114"/>
      <c r="Y65" s="12"/>
      <c r="Z65" s="196"/>
      <c r="AA65" s="299"/>
      <c r="AB65" s="300"/>
      <c r="AC65" s="12"/>
      <c r="AD65" s="196"/>
      <c r="AE65" s="197"/>
      <c r="AF65" s="198"/>
      <c r="AG65" s="313"/>
    </row>
    <row r="66" spans="1:33" ht="15.75" customHeight="1">
      <c r="A66" s="303"/>
      <c r="B66" s="98"/>
      <c r="C66" s="382"/>
      <c r="D66" s="382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8"/>
      <c r="S66" s="46"/>
      <c r="T66" s="118"/>
      <c r="U66" s="109"/>
      <c r="V66" s="110"/>
      <c r="W66" s="111"/>
      <c r="X66" s="114"/>
      <c r="Y66" s="12"/>
      <c r="Z66" s="196"/>
      <c r="AA66" s="299"/>
      <c r="AB66" s="300"/>
      <c r="AC66" s="12"/>
      <c r="AD66" s="196"/>
      <c r="AE66" s="197"/>
      <c r="AF66" s="198"/>
      <c r="AG66" s="313"/>
    </row>
    <row r="67" spans="1:33" ht="15.75" customHeight="1">
      <c r="A67" s="303"/>
      <c r="B67" s="98"/>
      <c r="C67" s="382"/>
      <c r="D67" s="382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8"/>
      <c r="S67" s="46"/>
      <c r="T67" s="118"/>
      <c r="U67" s="109"/>
      <c r="V67" s="110"/>
      <c r="W67" s="111"/>
      <c r="X67" s="114"/>
      <c r="Y67" s="12"/>
      <c r="Z67" s="196"/>
      <c r="AA67" s="299"/>
      <c r="AB67" s="300"/>
      <c r="AC67" s="12"/>
      <c r="AD67" s="196"/>
      <c r="AE67" s="197"/>
      <c r="AF67" s="198"/>
      <c r="AG67" s="313"/>
    </row>
    <row r="68" spans="1:33" ht="15.75" customHeight="1">
      <c r="A68" s="303"/>
      <c r="B68" s="98"/>
      <c r="C68" s="382"/>
      <c r="D68" s="382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8"/>
      <c r="S68" s="46"/>
      <c r="T68" s="118"/>
      <c r="U68" s="109"/>
      <c r="V68" s="110"/>
      <c r="W68" s="111"/>
      <c r="X68" s="114"/>
      <c r="Y68" s="12"/>
      <c r="Z68" s="196"/>
      <c r="AA68" s="299"/>
      <c r="AB68" s="300"/>
      <c r="AC68" s="12"/>
      <c r="AD68" s="196"/>
      <c r="AE68" s="197"/>
      <c r="AF68" s="198"/>
      <c r="AG68" s="313"/>
    </row>
    <row r="69" spans="1:33" ht="15.75" customHeight="1">
      <c r="A69" s="303"/>
      <c r="B69" s="98"/>
      <c r="C69" s="382"/>
      <c r="D69" s="382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8"/>
      <c r="S69" s="46"/>
      <c r="T69" s="118"/>
      <c r="U69" s="109"/>
      <c r="V69" s="110"/>
      <c r="W69" s="111"/>
      <c r="X69" s="114"/>
      <c r="Y69" s="12"/>
      <c r="Z69" s="196"/>
      <c r="AA69" s="299"/>
      <c r="AB69" s="300"/>
      <c r="AC69" s="12"/>
      <c r="AD69" s="196"/>
      <c r="AE69" s="197"/>
      <c r="AF69" s="198"/>
      <c r="AG69" s="313"/>
    </row>
    <row r="70" spans="1:33" ht="15.75" customHeight="1">
      <c r="A70" s="303"/>
      <c r="B70" s="98"/>
      <c r="C70" s="382"/>
      <c r="D70" s="382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8"/>
      <c r="S70" s="46"/>
      <c r="T70" s="118"/>
      <c r="U70" s="109"/>
      <c r="V70" s="110"/>
      <c r="W70" s="111"/>
      <c r="X70" s="114"/>
      <c r="Y70" s="12"/>
      <c r="Z70" s="196"/>
      <c r="AA70" s="299"/>
      <c r="AB70" s="300"/>
      <c r="AC70" s="12"/>
      <c r="AD70" s="196"/>
      <c r="AE70" s="197"/>
      <c r="AF70" s="198"/>
      <c r="AG70" s="313"/>
    </row>
    <row r="71" spans="1:33" ht="15.75" customHeight="1">
      <c r="A71" s="303"/>
      <c r="B71" s="98"/>
      <c r="C71" s="382"/>
      <c r="D71" s="382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8"/>
      <c r="S71" s="117"/>
      <c r="T71" s="118"/>
      <c r="U71" s="128"/>
      <c r="V71" s="129"/>
      <c r="W71" s="124"/>
      <c r="X71" s="125"/>
      <c r="Y71" s="12"/>
      <c r="Z71" s="196"/>
      <c r="AA71" s="299"/>
      <c r="AB71" s="300"/>
      <c r="AC71" s="12"/>
      <c r="AD71" s="196"/>
      <c r="AE71" s="163"/>
      <c r="AF71" s="123"/>
      <c r="AG71" s="313"/>
    </row>
    <row r="72" spans="1:33" ht="15.75" customHeight="1" thickBot="1">
      <c r="A72" s="304"/>
      <c r="B72" s="131" t="s">
        <v>115</v>
      </c>
      <c r="C72" s="294"/>
      <c r="D72" s="294"/>
      <c r="E72" s="132"/>
      <c r="F72" s="165"/>
      <c r="G72" s="133"/>
      <c r="H72" s="67"/>
      <c r="I72" s="134">
        <f t="shared" ref="I72:J72" si="28">AVERAGE(I56:I71)</f>
        <v>19.5</v>
      </c>
      <c r="J72" s="135">
        <f t="shared" si="28"/>
        <v>3600</v>
      </c>
      <c r="K72" s="136">
        <f t="shared" ref="K72:K75" si="29">J72/I72</f>
        <v>184.61538461538461</v>
      </c>
      <c r="L72" s="134">
        <f t="shared" ref="L72:M72" si="30">AVERAGE(L56:L71)</f>
        <v>19.5</v>
      </c>
      <c r="M72" s="135">
        <f t="shared" si="30"/>
        <v>3231.9916810590198</v>
      </c>
      <c r="N72" s="136">
        <f>M72/L72</f>
        <v>165.7431631312318</v>
      </c>
      <c r="O72" s="137">
        <f>L72-I72</f>
        <v>0</v>
      </c>
      <c r="P72" s="138">
        <f>N72-K72</f>
        <v>-18.872221484152817</v>
      </c>
      <c r="Q72" s="139">
        <f>N72/K72</f>
        <v>0.89777546696083887</v>
      </c>
      <c r="R72" s="309"/>
      <c r="S72" s="140">
        <v>0.25</v>
      </c>
      <c r="T72" s="141">
        <v>0.38552083333333331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5"/>
      <c r="AB72" s="296"/>
      <c r="AC72" s="177">
        <f>SUM(AC56:AC71)</f>
        <v>0</v>
      </c>
      <c r="AD72" s="189">
        <f>SUM(AD56:AD71)</f>
        <v>0</v>
      </c>
      <c r="AE72" s="166">
        <f>M72-J72</f>
        <v>-368.00831894098019</v>
      </c>
      <c r="AF72" s="139">
        <f>M72/J72</f>
        <v>0.89777546696083887</v>
      </c>
      <c r="AG72" s="314"/>
    </row>
    <row r="73" spans="1:33" ht="15.75" customHeight="1">
      <c r="A73" s="315" t="s">
        <v>116</v>
      </c>
      <c r="B73" s="98" t="s">
        <v>188</v>
      </c>
      <c r="C73" s="297" t="s">
        <v>222</v>
      </c>
      <c r="D73" s="298"/>
      <c r="E73" s="99">
        <v>22.83</v>
      </c>
      <c r="F73" s="100">
        <v>1126</v>
      </c>
      <c r="G73" s="119">
        <f t="shared" ref="G73:G75" si="31">E73*F73</f>
        <v>25706.579999999998</v>
      </c>
      <c r="H73" s="60"/>
      <c r="I73" s="102">
        <v>6</v>
      </c>
      <c r="J73" s="103">
        <v>2500</v>
      </c>
      <c r="K73" s="104">
        <f t="shared" si="29"/>
        <v>416.66666666666669</v>
      </c>
      <c r="L73" s="105">
        <v>6</v>
      </c>
      <c r="M73" s="103">
        <f>F73/V73*60</f>
        <v>2263.6865602620392</v>
      </c>
      <c r="N73" s="104">
        <f>M73/L73</f>
        <v>377.28109337700653</v>
      </c>
      <c r="O73" s="121">
        <f>L73-I73</f>
        <v>0</v>
      </c>
      <c r="P73" s="122">
        <f>N73-K73</f>
        <v>-39.385573289660158</v>
      </c>
      <c r="Q73" s="123">
        <f>N73/K73</f>
        <v>0.90547462410481561</v>
      </c>
      <c r="R73" s="307">
        <f>Q89</f>
        <v>0.90577938177121509</v>
      </c>
      <c r="S73" s="46">
        <v>0.35972222222222211</v>
      </c>
      <c r="T73" s="118">
        <v>0.3804398148148147</v>
      </c>
      <c r="U73" s="109">
        <v>5.2499999999999414</v>
      </c>
      <c r="V73" s="110">
        <v>29.845121310513683</v>
      </c>
      <c r="W73" s="111"/>
      <c r="X73" s="160"/>
      <c r="Y73" s="12"/>
      <c r="Z73" s="196"/>
      <c r="AA73" s="310"/>
      <c r="AB73" s="311"/>
      <c r="AC73" s="12"/>
      <c r="AD73" s="196"/>
      <c r="AE73" s="113">
        <f>M73-J73</f>
        <v>-236.31343973796083</v>
      </c>
      <c r="AF73" s="154">
        <f>M73/J73</f>
        <v>0.90547462410481572</v>
      </c>
      <c r="AG73" s="312">
        <f>AF89</f>
        <v>0.90577938177121509</v>
      </c>
    </row>
    <row r="74" spans="1:33" ht="15.75" customHeight="1">
      <c r="A74" s="316"/>
      <c r="B74" s="98" t="s">
        <v>188</v>
      </c>
      <c r="C74" s="297" t="s">
        <v>214</v>
      </c>
      <c r="D74" s="298"/>
      <c r="E74" s="99">
        <v>23.19</v>
      </c>
      <c r="F74" s="100">
        <v>412</v>
      </c>
      <c r="G74" s="119">
        <f t="shared" si="31"/>
        <v>9554.2800000000007</v>
      </c>
      <c r="H74" s="60"/>
      <c r="I74" s="102">
        <v>6</v>
      </c>
      <c r="J74" s="103">
        <v>2500</v>
      </c>
      <c r="K74" s="104">
        <f t="shared" si="29"/>
        <v>416.66666666666669</v>
      </c>
      <c r="L74" s="116">
        <v>6</v>
      </c>
      <c r="M74" s="103">
        <f>F74/V74*60</f>
        <v>2265.3385259439269</v>
      </c>
      <c r="N74" s="104">
        <f>M74/L74</f>
        <v>377.55642099065449</v>
      </c>
      <c r="O74" s="121">
        <f>L74-I74</f>
        <v>0</v>
      </c>
      <c r="P74" s="122">
        <f>N74-K74</f>
        <v>-39.110245676012198</v>
      </c>
      <c r="Q74" s="123">
        <f>N74/K74</f>
        <v>0.90613541037757073</v>
      </c>
      <c r="R74" s="308"/>
      <c r="S74" s="46">
        <v>0.38402777777777763</v>
      </c>
      <c r="T74" s="118">
        <v>0.3915972222222221</v>
      </c>
      <c r="U74" s="109">
        <v>5.1666666666666217</v>
      </c>
      <c r="V74" s="110">
        <v>10.912276340552506</v>
      </c>
      <c r="W74" s="111"/>
      <c r="X74" s="114"/>
      <c r="Y74" s="12"/>
      <c r="Z74" s="196"/>
      <c r="AA74" s="299"/>
      <c r="AB74" s="300"/>
      <c r="AC74" s="12"/>
      <c r="AD74" s="196"/>
      <c r="AE74" s="115">
        <f>M74-J74</f>
        <v>-234.66147405607308</v>
      </c>
      <c r="AF74" s="108">
        <f>M74/J74</f>
        <v>0.90613541037757073</v>
      </c>
      <c r="AG74" s="313"/>
    </row>
    <row r="75" spans="1:33" ht="15.75" customHeight="1">
      <c r="A75" s="316"/>
      <c r="B75" s="98" t="s">
        <v>188</v>
      </c>
      <c r="C75" s="297" t="s">
        <v>215</v>
      </c>
      <c r="D75" s="298"/>
      <c r="E75" s="99">
        <v>35.89</v>
      </c>
      <c r="F75" s="100">
        <v>1416</v>
      </c>
      <c r="G75" s="119">
        <f t="shared" si="31"/>
        <v>50820.24</v>
      </c>
      <c r="H75" s="60"/>
      <c r="I75" s="102">
        <v>5</v>
      </c>
      <c r="J75" s="103">
        <v>3273</v>
      </c>
      <c r="K75" s="104">
        <f t="shared" si="29"/>
        <v>654.6</v>
      </c>
      <c r="L75" s="116">
        <v>5</v>
      </c>
      <c r="M75" s="103">
        <f>F75/V75*60</f>
        <v>2964.4877391872956</v>
      </c>
      <c r="N75" s="104">
        <f>M75/L75</f>
        <v>592.89754783745911</v>
      </c>
      <c r="O75" s="121">
        <f>L75-I75</f>
        <v>0</v>
      </c>
      <c r="P75" s="122">
        <f>N75-K75</f>
        <v>-61.702452162540908</v>
      </c>
      <c r="Q75" s="123">
        <f>N75/K75</f>
        <v>0.90574021973336249</v>
      </c>
      <c r="R75" s="308"/>
      <c r="S75" s="46">
        <v>0.39444444444444426</v>
      </c>
      <c r="T75" s="118">
        <v>0.4143402777777776</v>
      </c>
      <c r="U75" s="109">
        <v>5</v>
      </c>
      <c r="V75" s="110">
        <v>28.659251605908647</v>
      </c>
      <c r="W75" s="111"/>
      <c r="X75" s="114"/>
      <c r="Y75" s="12"/>
      <c r="Z75" s="196"/>
      <c r="AA75" s="299"/>
      <c r="AB75" s="300"/>
      <c r="AC75" s="12"/>
      <c r="AD75" s="196"/>
      <c r="AE75" s="115">
        <f>M75-J75</f>
        <v>-308.51226081270443</v>
      </c>
      <c r="AF75" s="108">
        <f>M75/J75</f>
        <v>0.90574021973336249</v>
      </c>
      <c r="AG75" s="313"/>
    </row>
    <row r="76" spans="1:33" ht="15.75" customHeight="1">
      <c r="A76" s="316"/>
      <c r="B76" s="98"/>
      <c r="C76" s="297"/>
      <c r="D76" s="298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8"/>
      <c r="S76" s="46"/>
      <c r="T76" s="47"/>
      <c r="U76" s="109"/>
      <c r="V76" s="110"/>
      <c r="W76" s="111"/>
      <c r="X76" s="114"/>
      <c r="Y76" s="12"/>
      <c r="Z76" s="196"/>
      <c r="AA76" s="299"/>
      <c r="AB76" s="300"/>
      <c r="AC76" s="12"/>
      <c r="AD76" s="196"/>
      <c r="AE76" s="115"/>
      <c r="AF76" s="108"/>
      <c r="AG76" s="313"/>
    </row>
    <row r="77" spans="1:33" ht="15.75" customHeight="1">
      <c r="A77" s="316"/>
      <c r="B77" s="98"/>
      <c r="C77" s="297"/>
      <c r="D77" s="298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8"/>
      <c r="S77" s="46"/>
      <c r="T77" s="47"/>
      <c r="U77" s="109"/>
      <c r="V77" s="110"/>
      <c r="W77" s="111"/>
      <c r="X77" s="114"/>
      <c r="Y77" s="12"/>
      <c r="Z77" s="196"/>
      <c r="AA77" s="299"/>
      <c r="AB77" s="300"/>
      <c r="AC77" s="12"/>
      <c r="AD77" s="196"/>
      <c r="AE77" s="115"/>
      <c r="AF77" s="108"/>
      <c r="AG77" s="313"/>
    </row>
    <row r="78" spans="1:33" ht="15.75" customHeight="1">
      <c r="A78" s="316"/>
      <c r="B78" s="98"/>
      <c r="C78" s="297"/>
      <c r="D78" s="298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8"/>
      <c r="S78" s="46"/>
      <c r="T78" s="118"/>
      <c r="U78" s="109"/>
      <c r="V78" s="110"/>
      <c r="W78" s="111"/>
      <c r="X78" s="114"/>
      <c r="Y78" s="12"/>
      <c r="Z78" s="196"/>
      <c r="AA78" s="299"/>
      <c r="AB78" s="300"/>
      <c r="AC78" s="12"/>
      <c r="AD78" s="196"/>
      <c r="AE78" s="115"/>
      <c r="AF78" s="108"/>
      <c r="AG78" s="313"/>
    </row>
    <row r="79" spans="1:33" ht="15.75" customHeight="1">
      <c r="A79" s="316"/>
      <c r="B79" s="98"/>
      <c r="C79" s="297"/>
      <c r="D79" s="298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8"/>
      <c r="S79" s="46"/>
      <c r="T79" s="118"/>
      <c r="U79" s="109"/>
      <c r="V79" s="110"/>
      <c r="W79" s="111"/>
      <c r="X79" s="114"/>
      <c r="Y79" s="12"/>
      <c r="Z79" s="196"/>
      <c r="AA79" s="299"/>
      <c r="AB79" s="300"/>
      <c r="AC79" s="12"/>
      <c r="AD79" s="196"/>
      <c r="AE79" s="115"/>
      <c r="AF79" s="108"/>
      <c r="AG79" s="313"/>
    </row>
    <row r="80" spans="1:33" ht="15.75" customHeight="1">
      <c r="A80" s="316"/>
      <c r="B80" s="98"/>
      <c r="C80" s="297"/>
      <c r="D80" s="298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8"/>
      <c r="S80" s="46"/>
      <c r="T80" s="118"/>
      <c r="U80" s="109"/>
      <c r="V80" s="110"/>
      <c r="W80" s="111"/>
      <c r="X80" s="114"/>
      <c r="Y80" s="12"/>
      <c r="Z80" s="196"/>
      <c r="AA80" s="299"/>
      <c r="AB80" s="300"/>
      <c r="AC80" s="12"/>
      <c r="AD80" s="196"/>
      <c r="AE80" s="115"/>
      <c r="AF80" s="108"/>
      <c r="AG80" s="313"/>
    </row>
    <row r="81" spans="1:33" ht="15.75" customHeight="1">
      <c r="A81" s="316"/>
      <c r="B81" s="98"/>
      <c r="C81" s="297"/>
      <c r="D81" s="298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8"/>
      <c r="S81" s="46"/>
      <c r="T81" s="118"/>
      <c r="U81" s="109"/>
      <c r="V81" s="110"/>
      <c r="W81" s="111"/>
      <c r="X81" s="125"/>
      <c r="Y81" s="12"/>
      <c r="Z81" s="196"/>
      <c r="AA81" s="299"/>
      <c r="AB81" s="300"/>
      <c r="AC81" s="12"/>
      <c r="AD81" s="196"/>
      <c r="AE81" s="115"/>
      <c r="AF81" s="108"/>
      <c r="AG81" s="313"/>
    </row>
    <row r="82" spans="1:33" ht="15.75" customHeight="1">
      <c r="A82" s="316"/>
      <c r="B82" s="98"/>
      <c r="C82" s="297"/>
      <c r="D82" s="298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8"/>
      <c r="S82" s="46"/>
      <c r="T82" s="118"/>
      <c r="U82" s="109"/>
      <c r="V82" s="110"/>
      <c r="W82" s="111"/>
      <c r="X82" s="125"/>
      <c r="Y82" s="12"/>
      <c r="Z82" s="196"/>
      <c r="AA82" s="299"/>
      <c r="AB82" s="300"/>
      <c r="AC82" s="12"/>
      <c r="AD82" s="196"/>
      <c r="AE82" s="115"/>
      <c r="AF82" s="108"/>
      <c r="AG82" s="313"/>
    </row>
    <row r="83" spans="1:33" ht="15.75" customHeight="1">
      <c r="A83" s="316"/>
      <c r="B83" s="98"/>
      <c r="C83" s="297"/>
      <c r="D83" s="298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8"/>
      <c r="S83" s="46"/>
      <c r="T83" s="118"/>
      <c r="U83" s="109"/>
      <c r="V83" s="110"/>
      <c r="W83" s="111"/>
      <c r="X83" s="125"/>
      <c r="Y83" s="12"/>
      <c r="Z83" s="196"/>
      <c r="AA83" s="299"/>
      <c r="AB83" s="300"/>
      <c r="AC83" s="12"/>
      <c r="AD83" s="196"/>
      <c r="AE83" s="115"/>
      <c r="AF83" s="108"/>
      <c r="AG83" s="313"/>
    </row>
    <row r="84" spans="1:33" ht="15.75" customHeight="1">
      <c r="A84" s="316"/>
      <c r="B84" s="98"/>
      <c r="C84" s="297"/>
      <c r="D84" s="298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8"/>
      <c r="S84" s="46"/>
      <c r="T84" s="118"/>
      <c r="U84" s="109"/>
      <c r="V84" s="110"/>
      <c r="W84" s="111"/>
      <c r="X84" s="125"/>
      <c r="Y84" s="12"/>
      <c r="Z84" s="196"/>
      <c r="AA84" s="299"/>
      <c r="AB84" s="300"/>
      <c r="AC84" s="12"/>
      <c r="AD84" s="196"/>
      <c r="AE84" s="115"/>
      <c r="AF84" s="108"/>
      <c r="AG84" s="313"/>
    </row>
    <row r="85" spans="1:33" ht="15.75" customHeight="1">
      <c r="A85" s="316"/>
      <c r="B85" s="98"/>
      <c r="C85" s="297"/>
      <c r="D85" s="298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8"/>
      <c r="S85" s="46"/>
      <c r="T85" s="118"/>
      <c r="U85" s="109"/>
      <c r="V85" s="110"/>
      <c r="W85" s="111"/>
      <c r="X85" s="125"/>
      <c r="Y85" s="12"/>
      <c r="Z85" s="196"/>
      <c r="AA85" s="299"/>
      <c r="AB85" s="300"/>
      <c r="AC85" s="12"/>
      <c r="AD85" s="196"/>
      <c r="AE85" s="115"/>
      <c r="AF85" s="108"/>
      <c r="AG85" s="313"/>
    </row>
    <row r="86" spans="1:33" ht="15.75" customHeight="1">
      <c r="A86" s="316"/>
      <c r="B86" s="98"/>
      <c r="C86" s="297"/>
      <c r="D86" s="298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8"/>
      <c r="S86" s="46"/>
      <c r="T86" s="118"/>
      <c r="U86" s="109"/>
      <c r="V86" s="110"/>
      <c r="W86" s="111"/>
      <c r="X86" s="125"/>
      <c r="Y86" s="12"/>
      <c r="Z86" s="196"/>
      <c r="AA86" s="299"/>
      <c r="AB86" s="300"/>
      <c r="AC86" s="12"/>
      <c r="AD86" s="196"/>
      <c r="AE86" s="115"/>
      <c r="AF86" s="108"/>
      <c r="AG86" s="313"/>
    </row>
    <row r="87" spans="1:33" ht="15.75" customHeight="1">
      <c r="A87" s="316"/>
      <c r="B87" s="98"/>
      <c r="C87" s="297"/>
      <c r="D87" s="298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8"/>
      <c r="S87" s="46"/>
      <c r="T87" s="118"/>
      <c r="U87" s="109"/>
      <c r="V87" s="110"/>
      <c r="W87" s="111"/>
      <c r="X87" s="125"/>
      <c r="Y87" s="12"/>
      <c r="Z87" s="196"/>
      <c r="AA87" s="299"/>
      <c r="AB87" s="300"/>
      <c r="AC87" s="12"/>
      <c r="AD87" s="196"/>
      <c r="AE87" s="115"/>
      <c r="AF87" s="108"/>
      <c r="AG87" s="313"/>
    </row>
    <row r="88" spans="1:33" ht="15.75" customHeight="1">
      <c r="A88" s="316"/>
      <c r="B88" s="161"/>
      <c r="C88" s="297"/>
      <c r="D88" s="298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8"/>
      <c r="S88" s="117"/>
      <c r="T88" s="118"/>
      <c r="U88" s="128"/>
      <c r="V88" s="129"/>
      <c r="W88" s="124"/>
      <c r="X88" s="125"/>
      <c r="Y88" s="12"/>
      <c r="Z88" s="196"/>
      <c r="AA88" s="299"/>
      <c r="AB88" s="300"/>
      <c r="AC88" s="12"/>
      <c r="AD88" s="196"/>
      <c r="AE88" s="163"/>
      <c r="AF88" s="123"/>
      <c r="AG88" s="313"/>
    </row>
    <row r="89" spans="1:33" ht="15.75" customHeight="1" thickBot="1">
      <c r="A89" s="317"/>
      <c r="B89" s="131" t="s">
        <v>115</v>
      </c>
      <c r="C89" s="294"/>
      <c r="D89" s="294"/>
      <c r="E89" s="132"/>
      <c r="F89" s="165"/>
      <c r="G89" s="133"/>
      <c r="H89" s="67"/>
      <c r="I89" s="134">
        <f t="shared" ref="I89:J89" si="32">AVERAGE(I73:I88)</f>
        <v>5.666666666666667</v>
      </c>
      <c r="J89" s="135">
        <f t="shared" si="32"/>
        <v>2757.6666666666665</v>
      </c>
      <c r="K89" s="136">
        <f t="shared" ref="K89" si="33">J89/I89</f>
        <v>486.64705882352933</v>
      </c>
      <c r="L89" s="134">
        <f t="shared" ref="L89:M89" si="34">AVERAGE(L73:L88)</f>
        <v>5.666666666666667</v>
      </c>
      <c r="M89" s="135">
        <f t="shared" si="34"/>
        <v>2497.8376084644206</v>
      </c>
      <c r="N89" s="136">
        <f>M89/L89</f>
        <v>440.79487208195656</v>
      </c>
      <c r="O89" s="137">
        <f>L89-I89</f>
        <v>0</v>
      </c>
      <c r="P89" s="138">
        <f>N89-K89</f>
        <v>-45.85218674157278</v>
      </c>
      <c r="Q89" s="139">
        <f>N89/K89</f>
        <v>0.90577938177121509</v>
      </c>
      <c r="R89" s="309"/>
      <c r="S89" s="140">
        <v>0.25</v>
      </c>
      <c r="T89" s="141">
        <v>0.4143402777777776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5"/>
      <c r="AB89" s="296"/>
      <c r="AC89" s="177">
        <f>SUM(AC73:AC88)</f>
        <v>0</v>
      </c>
      <c r="AD89" s="189">
        <f>SUM(AD73:AD88)</f>
        <v>0</v>
      </c>
      <c r="AE89" s="166">
        <f>M89-J89</f>
        <v>-259.82905820224596</v>
      </c>
      <c r="AF89" s="139">
        <f>M89/J89</f>
        <v>0.90577938177121509</v>
      </c>
      <c r="AG89" s="314"/>
    </row>
    <row r="90" spans="1:33" ht="15.75" customHeight="1">
      <c r="A90" s="301" t="s">
        <v>120</v>
      </c>
      <c r="B90" s="112" t="s">
        <v>188</v>
      </c>
      <c r="C90" s="305" t="s">
        <v>201</v>
      </c>
      <c r="D90" s="306"/>
      <c r="E90" s="145">
        <v>15.51</v>
      </c>
      <c r="F90" s="95">
        <v>1647</v>
      </c>
      <c r="G90" s="146">
        <f t="shared" ref="G90:G91" si="35">E90*F90</f>
        <v>25544.97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3801.2298834130497</v>
      </c>
      <c r="N90" s="150">
        <f>M90/L90</f>
        <v>633.53831390217499</v>
      </c>
      <c r="O90" s="152">
        <f>L90-I90</f>
        <v>0</v>
      </c>
      <c r="P90" s="153">
        <f>N90-K90</f>
        <v>-66.461686097825009</v>
      </c>
      <c r="Q90" s="154">
        <f>N90/K90</f>
        <v>0.90505473414596427</v>
      </c>
      <c r="R90" s="307">
        <f>Q106</f>
        <v>0.90508040185190242</v>
      </c>
      <c r="S90" s="155">
        <v>0.25</v>
      </c>
      <c r="T90" s="156">
        <v>0.26804398148148145</v>
      </c>
      <c r="U90" s="157"/>
      <c r="V90" s="158">
        <v>25.996849185893346</v>
      </c>
      <c r="W90" s="156"/>
      <c r="X90" s="167"/>
      <c r="Y90" s="12"/>
      <c r="Z90" s="196"/>
      <c r="AA90" s="310"/>
      <c r="AB90" s="311"/>
      <c r="AC90" s="12"/>
      <c r="AD90" s="196"/>
      <c r="AE90" s="113">
        <f>M90-J90</f>
        <v>-398.77011658695028</v>
      </c>
      <c r="AF90" s="154">
        <f>M90/J90</f>
        <v>0.90505473414596427</v>
      </c>
      <c r="AG90" s="312">
        <f>AF106</f>
        <v>0.90508040185190242</v>
      </c>
    </row>
    <row r="91" spans="1:33" ht="15.75" customHeight="1">
      <c r="A91" s="302"/>
      <c r="B91" s="98" t="s">
        <v>188</v>
      </c>
      <c r="C91" s="297" t="s">
        <v>202</v>
      </c>
      <c r="D91" s="298"/>
      <c r="E91" s="99">
        <v>15.01</v>
      </c>
      <c r="F91" s="100">
        <v>1680</v>
      </c>
      <c r="G91" s="101">
        <f t="shared" si="35"/>
        <v>25216.799999999999</v>
      </c>
      <c r="H91" s="26"/>
      <c r="I91" s="102">
        <v>6</v>
      </c>
      <c r="J91" s="103">
        <v>4200</v>
      </c>
      <c r="K91" s="104">
        <f t="shared" si="27"/>
        <v>700</v>
      </c>
      <c r="L91" s="105">
        <v>6</v>
      </c>
      <c r="M91" s="103">
        <f>F91/V91*60</f>
        <v>3801.4454921429301</v>
      </c>
      <c r="N91" s="104">
        <f>M91/L91</f>
        <v>633.57424869048839</v>
      </c>
      <c r="O91" s="106">
        <f>L91-I91</f>
        <v>0</v>
      </c>
      <c r="P91" s="107">
        <f>N91-K91</f>
        <v>-66.425751309511611</v>
      </c>
      <c r="Q91" s="108">
        <f>N91/K91</f>
        <v>0.90510606955784056</v>
      </c>
      <c r="R91" s="308"/>
      <c r="S91" s="46">
        <v>0.27083333333333331</v>
      </c>
      <c r="T91" s="47">
        <v>0.28923611111111108</v>
      </c>
      <c r="U91" s="109">
        <v>5</v>
      </c>
      <c r="V91" s="110">
        <v>26.516229210267479</v>
      </c>
      <c r="W91" s="111"/>
      <c r="X91" s="13"/>
      <c r="Y91" s="12"/>
      <c r="Z91" s="196"/>
      <c r="AA91" s="299"/>
      <c r="AB91" s="300"/>
      <c r="AC91" s="12"/>
      <c r="AD91" s="196"/>
      <c r="AE91" s="115">
        <f>M91-J91</f>
        <v>-398.55450785706989</v>
      </c>
      <c r="AF91" s="108">
        <f>M91/J91</f>
        <v>0.90510606955784045</v>
      </c>
      <c r="AG91" s="313"/>
    </row>
    <row r="92" spans="1:33" ht="15.75" customHeight="1">
      <c r="A92" s="302"/>
      <c r="B92" s="98"/>
      <c r="C92" s="297"/>
      <c r="D92" s="298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8"/>
      <c r="S92" s="46"/>
      <c r="T92" s="47"/>
      <c r="U92" s="109"/>
      <c r="V92" s="110"/>
      <c r="W92" s="111"/>
      <c r="X92" s="13"/>
      <c r="Y92" s="12"/>
      <c r="Z92" s="196"/>
      <c r="AA92" s="299"/>
      <c r="AB92" s="300"/>
      <c r="AC92" s="12"/>
      <c r="AD92" s="196"/>
      <c r="AE92" s="115"/>
      <c r="AF92" s="108"/>
      <c r="AG92" s="313"/>
    </row>
    <row r="93" spans="1:33" ht="15.75" customHeight="1">
      <c r="A93" s="302"/>
      <c r="B93" s="98"/>
      <c r="C93" s="297"/>
      <c r="D93" s="298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8"/>
      <c r="S93" s="46"/>
      <c r="T93" s="47"/>
      <c r="U93" s="109"/>
      <c r="V93" s="110"/>
      <c r="W93" s="111"/>
      <c r="X93" s="114"/>
      <c r="Y93" s="12"/>
      <c r="Z93" s="196"/>
      <c r="AA93" s="299"/>
      <c r="AB93" s="300"/>
      <c r="AC93" s="12"/>
      <c r="AD93" s="196"/>
      <c r="AE93" s="115"/>
      <c r="AF93" s="108"/>
      <c r="AG93" s="313"/>
    </row>
    <row r="94" spans="1:33" ht="15.75" customHeight="1">
      <c r="A94" s="303"/>
      <c r="B94" s="98"/>
      <c r="C94" s="297"/>
      <c r="D94" s="298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8"/>
      <c r="S94" s="46"/>
      <c r="T94" s="47"/>
      <c r="U94" s="109"/>
      <c r="V94" s="110"/>
      <c r="W94" s="111"/>
      <c r="X94" s="13"/>
      <c r="Y94" s="12"/>
      <c r="Z94" s="196"/>
      <c r="AA94" s="299"/>
      <c r="AB94" s="300"/>
      <c r="AC94" s="12"/>
      <c r="AD94" s="196"/>
      <c r="AE94" s="115"/>
      <c r="AF94" s="108"/>
      <c r="AG94" s="313"/>
    </row>
    <row r="95" spans="1:33" ht="15.75" customHeight="1">
      <c r="A95" s="303"/>
      <c r="B95" s="98"/>
      <c r="C95" s="297"/>
      <c r="D95" s="298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8"/>
      <c r="S95" s="46"/>
      <c r="T95" s="118"/>
      <c r="U95" s="109"/>
      <c r="V95" s="110"/>
      <c r="W95" s="111"/>
      <c r="X95" s="49"/>
      <c r="Y95" s="12"/>
      <c r="Z95" s="196"/>
      <c r="AA95" s="299"/>
      <c r="AB95" s="300"/>
      <c r="AC95" s="12"/>
      <c r="AD95" s="196"/>
      <c r="AE95" s="115"/>
      <c r="AF95" s="108"/>
      <c r="AG95" s="313"/>
    </row>
    <row r="96" spans="1:33" ht="15.75" customHeight="1">
      <c r="A96" s="303"/>
      <c r="B96" s="98"/>
      <c r="C96" s="297"/>
      <c r="D96" s="298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8"/>
      <c r="S96" s="46"/>
      <c r="T96" s="118"/>
      <c r="U96" s="109"/>
      <c r="V96" s="110"/>
      <c r="W96" s="111"/>
      <c r="X96" s="114"/>
      <c r="Y96" s="12"/>
      <c r="Z96" s="196"/>
      <c r="AA96" s="299"/>
      <c r="AB96" s="300"/>
      <c r="AC96" s="12"/>
      <c r="AD96" s="196"/>
      <c r="AE96" s="115"/>
      <c r="AF96" s="108"/>
      <c r="AG96" s="313"/>
    </row>
    <row r="97" spans="1:33" ht="15.75" customHeight="1">
      <c r="A97" s="303"/>
      <c r="B97" s="98"/>
      <c r="C97" s="297"/>
      <c r="D97" s="298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8"/>
      <c r="S97" s="46"/>
      <c r="T97" s="118"/>
      <c r="U97" s="109"/>
      <c r="V97" s="110"/>
      <c r="W97" s="111"/>
      <c r="X97" s="114"/>
      <c r="Y97" s="12"/>
      <c r="Z97" s="196"/>
      <c r="AA97" s="299"/>
      <c r="AB97" s="300"/>
      <c r="AC97" s="12"/>
      <c r="AD97" s="196"/>
      <c r="AE97" s="115"/>
      <c r="AF97" s="108"/>
      <c r="AG97" s="313"/>
    </row>
    <row r="98" spans="1:33" ht="15.75" customHeight="1">
      <c r="A98" s="303"/>
      <c r="B98" s="98"/>
      <c r="C98" s="297"/>
      <c r="D98" s="298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8"/>
      <c r="S98" s="117"/>
      <c r="T98" s="118"/>
      <c r="U98" s="109"/>
      <c r="V98" s="129"/>
      <c r="W98" s="111"/>
      <c r="X98" s="114"/>
      <c r="Y98" s="12"/>
      <c r="Z98" s="196"/>
      <c r="AA98" s="299"/>
      <c r="AB98" s="300"/>
      <c r="AC98" s="12"/>
      <c r="AD98" s="196"/>
      <c r="AE98" s="115"/>
      <c r="AF98" s="108"/>
      <c r="AG98" s="313"/>
    </row>
    <row r="99" spans="1:33" ht="15.75" customHeight="1">
      <c r="A99" s="303"/>
      <c r="B99" s="98"/>
      <c r="C99" s="297"/>
      <c r="D99" s="298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8"/>
      <c r="S99" s="117"/>
      <c r="T99" s="118"/>
      <c r="U99" s="109"/>
      <c r="V99" s="129"/>
      <c r="W99" s="124"/>
      <c r="X99" s="125"/>
      <c r="Y99" s="12"/>
      <c r="Z99" s="196"/>
      <c r="AA99" s="299"/>
      <c r="AB99" s="300"/>
      <c r="AC99" s="12"/>
      <c r="AD99" s="196"/>
      <c r="AE99" s="115"/>
      <c r="AF99" s="108"/>
      <c r="AG99" s="313"/>
    </row>
    <row r="100" spans="1:33" ht="15.75" customHeight="1">
      <c r="A100" s="303"/>
      <c r="B100" s="98"/>
      <c r="C100" s="297"/>
      <c r="D100" s="298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8"/>
      <c r="S100" s="117"/>
      <c r="T100" s="118"/>
      <c r="U100" s="109"/>
      <c r="V100" s="129"/>
      <c r="W100" s="124"/>
      <c r="X100" s="125"/>
      <c r="Y100" s="12"/>
      <c r="Z100" s="196"/>
      <c r="AA100" s="299"/>
      <c r="AB100" s="300"/>
      <c r="AC100" s="12"/>
      <c r="AD100" s="196"/>
      <c r="AE100" s="115"/>
      <c r="AF100" s="108"/>
      <c r="AG100" s="313"/>
    </row>
    <row r="101" spans="1:33" ht="15.75" customHeight="1">
      <c r="A101" s="303"/>
      <c r="B101" s="98"/>
      <c r="C101" s="297"/>
      <c r="D101" s="298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8"/>
      <c r="S101" s="117"/>
      <c r="T101" s="118"/>
      <c r="U101" s="109"/>
      <c r="V101" s="129"/>
      <c r="W101" s="124"/>
      <c r="X101" s="125"/>
      <c r="Y101" s="12"/>
      <c r="Z101" s="196"/>
      <c r="AA101" s="299"/>
      <c r="AB101" s="300"/>
      <c r="AC101" s="12"/>
      <c r="AD101" s="196"/>
      <c r="AE101" s="115"/>
      <c r="AF101" s="108"/>
      <c r="AG101" s="313"/>
    </row>
    <row r="102" spans="1:33" ht="15.75" customHeight="1">
      <c r="A102" s="303"/>
      <c r="B102" s="98"/>
      <c r="C102" s="297"/>
      <c r="D102" s="298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8"/>
      <c r="S102" s="117"/>
      <c r="T102" s="118"/>
      <c r="U102" s="109"/>
      <c r="V102" s="129"/>
      <c r="W102" s="124"/>
      <c r="X102" s="125"/>
      <c r="Y102" s="12"/>
      <c r="Z102" s="196"/>
      <c r="AA102" s="299"/>
      <c r="AB102" s="300"/>
      <c r="AC102" s="12"/>
      <c r="AD102" s="196"/>
      <c r="AE102" s="115"/>
      <c r="AF102" s="108"/>
      <c r="AG102" s="313"/>
    </row>
    <row r="103" spans="1:33" ht="15.75" customHeight="1">
      <c r="A103" s="303"/>
      <c r="B103" s="98"/>
      <c r="C103" s="297"/>
      <c r="D103" s="298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8"/>
      <c r="S103" s="117"/>
      <c r="T103" s="118"/>
      <c r="U103" s="109"/>
      <c r="V103" s="129"/>
      <c r="W103" s="124"/>
      <c r="X103" s="125"/>
      <c r="Y103" s="12"/>
      <c r="Z103" s="196"/>
      <c r="AA103" s="299"/>
      <c r="AB103" s="300"/>
      <c r="AC103" s="12"/>
      <c r="AD103" s="196"/>
      <c r="AE103" s="115"/>
      <c r="AF103" s="108"/>
      <c r="AG103" s="313"/>
    </row>
    <row r="104" spans="1:33" ht="15.75" customHeight="1">
      <c r="A104" s="303"/>
      <c r="B104" s="98"/>
      <c r="C104" s="297"/>
      <c r="D104" s="298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8"/>
      <c r="S104" s="117"/>
      <c r="T104" s="118"/>
      <c r="U104" s="109"/>
      <c r="V104" s="129"/>
      <c r="W104" s="124"/>
      <c r="X104" s="125"/>
      <c r="Y104" s="12"/>
      <c r="Z104" s="196"/>
      <c r="AA104" s="299"/>
      <c r="AB104" s="300"/>
      <c r="AC104" s="12"/>
      <c r="AD104" s="196"/>
      <c r="AE104" s="115"/>
      <c r="AF104" s="108"/>
      <c r="AG104" s="313"/>
    </row>
    <row r="105" spans="1:33" ht="15.75" customHeight="1">
      <c r="A105" s="303"/>
      <c r="B105" s="98"/>
      <c r="C105" s="297"/>
      <c r="D105" s="298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8"/>
      <c r="S105" s="117"/>
      <c r="T105" s="118"/>
      <c r="U105" s="128"/>
      <c r="V105" s="129"/>
      <c r="W105" s="124"/>
      <c r="X105" s="125"/>
      <c r="Y105" s="12"/>
      <c r="Z105" s="196"/>
      <c r="AA105" s="299"/>
      <c r="AB105" s="300"/>
      <c r="AC105" s="12"/>
      <c r="AD105" s="196"/>
      <c r="AE105" s="163"/>
      <c r="AF105" s="123"/>
      <c r="AG105" s="313"/>
    </row>
    <row r="106" spans="1:33" ht="15.75" customHeight="1" thickBot="1">
      <c r="A106" s="304"/>
      <c r="B106" s="131" t="s">
        <v>115</v>
      </c>
      <c r="C106" s="294"/>
      <c r="D106" s="294"/>
      <c r="E106" s="132"/>
      <c r="F106" s="165"/>
      <c r="G106" s="133"/>
      <c r="H106" s="67"/>
      <c r="I106" s="134">
        <f t="shared" ref="I106:J106" si="36">AVERAGE(I90:I105)</f>
        <v>6</v>
      </c>
      <c r="J106" s="135">
        <f t="shared" si="36"/>
        <v>4200</v>
      </c>
      <c r="K106" s="136">
        <f t="shared" ref="K106" si="37">J106/I106</f>
        <v>700</v>
      </c>
      <c r="L106" s="134">
        <f t="shared" ref="L106:M106" si="38">AVERAGE(L90:L105)</f>
        <v>6</v>
      </c>
      <c r="M106" s="135">
        <f t="shared" si="38"/>
        <v>3801.3376877779901</v>
      </c>
      <c r="N106" s="136">
        <f>M106/L106</f>
        <v>633.55628129633169</v>
      </c>
      <c r="O106" s="137">
        <f>L106-I106</f>
        <v>0</v>
      </c>
      <c r="P106" s="138">
        <f>N106-K106</f>
        <v>-66.44371870366831</v>
      </c>
      <c r="Q106" s="139">
        <f>N106/K106</f>
        <v>0.90508040185190242</v>
      </c>
      <c r="R106" s="309"/>
      <c r="S106" s="140">
        <v>0.25</v>
      </c>
      <c r="T106" s="141">
        <v>0.28923611111111108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5"/>
      <c r="AB106" s="296"/>
      <c r="AC106" s="177">
        <f>SUM(AC90:AC105)</f>
        <v>0</v>
      </c>
      <c r="AD106" s="189">
        <f>SUM(AD90:AD105)</f>
        <v>0</v>
      </c>
      <c r="AE106" s="166">
        <f>M106-J106</f>
        <v>-398.66231222200986</v>
      </c>
      <c r="AF106" s="139">
        <f>M106/J106</f>
        <v>0.90508040185190242</v>
      </c>
      <c r="AG106" s="314"/>
    </row>
    <row r="107" spans="1:33" ht="15.75" customHeight="1">
      <c r="A107" s="315" t="s">
        <v>189</v>
      </c>
      <c r="B107" s="144" t="s">
        <v>169</v>
      </c>
      <c r="C107" s="305" t="s">
        <v>198</v>
      </c>
      <c r="D107" s="306"/>
      <c r="E107" s="145">
        <v>58.17</v>
      </c>
      <c r="F107" s="95">
        <v>1449</v>
      </c>
      <c r="G107" s="146">
        <f t="shared" ref="G107:G109" si="39">E107*F107</f>
        <v>84288.33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1806.2</v>
      </c>
      <c r="N107" s="150">
        <f>M107/L107</f>
        <v>106.24705882352941</v>
      </c>
      <c r="O107" s="152">
        <f>L107-I107</f>
        <v>-1</v>
      </c>
      <c r="P107" s="153">
        <f>N107-K107</f>
        <v>-4.8640522875816998</v>
      </c>
      <c r="Q107" s="154">
        <f>N107/K107</f>
        <v>0.95622352941176469</v>
      </c>
      <c r="R107" s="307">
        <f>Q123</f>
        <v>0.95126964285714277</v>
      </c>
      <c r="S107" s="155">
        <v>0.70833333333333337</v>
      </c>
      <c r="T107" s="156">
        <v>0.74175925925925934</v>
      </c>
      <c r="U107" s="157"/>
      <c r="V107" s="158">
        <v>48.134204407042404</v>
      </c>
      <c r="W107" s="156"/>
      <c r="X107" s="167"/>
      <c r="Y107" s="194"/>
      <c r="Z107" s="195"/>
      <c r="AA107" s="310"/>
      <c r="AB107" s="311"/>
      <c r="AC107" s="194"/>
      <c r="AD107" s="195"/>
      <c r="AE107" s="113">
        <f>M107-J107</f>
        <v>-193.79999999999995</v>
      </c>
      <c r="AF107" s="154">
        <f>M107/J107</f>
        <v>0.90310000000000001</v>
      </c>
      <c r="AG107" s="312">
        <f>AF123</f>
        <v>0.90289999999999992</v>
      </c>
    </row>
    <row r="108" spans="1:33" ht="15.75" customHeight="1">
      <c r="A108" s="316"/>
      <c r="B108" s="161" t="s">
        <v>169</v>
      </c>
      <c r="C108" s="297" t="s">
        <v>190</v>
      </c>
      <c r="D108" s="298"/>
      <c r="E108" s="99">
        <v>50.67</v>
      </c>
      <c r="F108" s="100">
        <v>1631</v>
      </c>
      <c r="G108" s="101">
        <f t="shared" si="39"/>
        <v>82642.77</v>
      </c>
      <c r="H108" s="26"/>
      <c r="I108" s="102">
        <v>20</v>
      </c>
      <c r="J108" s="103">
        <v>2000</v>
      </c>
      <c r="K108" s="104">
        <f t="shared" ref="K108:K109" si="40">J108/I108</f>
        <v>100</v>
      </c>
      <c r="L108" s="105">
        <v>19</v>
      </c>
      <c r="M108" s="103">
        <f>F108/V108*60</f>
        <v>1805.8000000000002</v>
      </c>
      <c r="N108" s="104">
        <f>M108/L108</f>
        <v>95.042105263157907</v>
      </c>
      <c r="O108" s="106">
        <f>L108-I108</f>
        <v>-1</v>
      </c>
      <c r="P108" s="107">
        <f>N108-K108</f>
        <v>-4.9578947368420927</v>
      </c>
      <c r="Q108" s="108">
        <f>N108/K108</f>
        <v>0.95042105263157906</v>
      </c>
      <c r="R108" s="308"/>
      <c r="S108" s="46">
        <v>0.74583333333333335</v>
      </c>
      <c r="T108" s="47">
        <v>0.7834606481481482</v>
      </c>
      <c r="U108" s="109">
        <v>5.8666666666665712</v>
      </c>
      <c r="V108" s="110">
        <v>54.192047845830096</v>
      </c>
      <c r="W108" s="111"/>
      <c r="X108" s="114"/>
      <c r="Y108" s="12"/>
      <c r="Z108" s="196"/>
      <c r="AA108" s="299"/>
      <c r="AB108" s="300"/>
      <c r="AC108" s="12"/>
      <c r="AD108" s="196"/>
      <c r="AE108" s="115">
        <f>M108-J108</f>
        <v>-194.19999999999982</v>
      </c>
      <c r="AF108" s="108">
        <f>M108/J108</f>
        <v>0.90290000000000004</v>
      </c>
      <c r="AG108" s="313"/>
    </row>
    <row r="109" spans="1:33" ht="15.75" customHeight="1">
      <c r="A109" s="316"/>
      <c r="B109" s="161" t="s">
        <v>169</v>
      </c>
      <c r="C109" s="297" t="s">
        <v>205</v>
      </c>
      <c r="D109" s="298"/>
      <c r="E109" s="99">
        <v>57.3</v>
      </c>
      <c r="F109" s="100">
        <v>1079</v>
      </c>
      <c r="G109" s="101">
        <f t="shared" si="39"/>
        <v>61826.7</v>
      </c>
      <c r="H109" s="26"/>
      <c r="I109" s="102">
        <v>21</v>
      </c>
      <c r="J109" s="103">
        <v>2000</v>
      </c>
      <c r="K109" s="104">
        <f t="shared" si="40"/>
        <v>95.238095238095241</v>
      </c>
      <c r="L109" s="105">
        <v>20</v>
      </c>
      <c r="M109" s="103">
        <f>F109/V109*60</f>
        <v>1805.4</v>
      </c>
      <c r="N109" s="104">
        <f>M109/L109</f>
        <v>90.27000000000001</v>
      </c>
      <c r="O109" s="106">
        <f>L109-I109</f>
        <v>-1</v>
      </c>
      <c r="P109" s="107">
        <f>N109-K109</f>
        <v>-4.9680952380952306</v>
      </c>
      <c r="Q109" s="108">
        <f>N109/K109</f>
        <v>0.94783500000000009</v>
      </c>
      <c r="R109" s="308"/>
      <c r="S109" s="46">
        <v>0.78680555555555554</v>
      </c>
      <c r="T109" s="47">
        <v>0.81170138888888888</v>
      </c>
      <c r="U109" s="109">
        <v>4.816666666666567</v>
      </c>
      <c r="V109" s="110">
        <v>35.859089398471255</v>
      </c>
      <c r="W109" s="111"/>
      <c r="X109" s="114"/>
      <c r="Y109" s="12"/>
      <c r="Z109" s="196"/>
      <c r="AA109" s="299"/>
      <c r="AB109" s="300"/>
      <c r="AC109" s="12"/>
      <c r="AD109" s="196"/>
      <c r="AE109" s="115">
        <f>M109-J109</f>
        <v>-194.59999999999991</v>
      </c>
      <c r="AF109" s="108">
        <f>M109/J109</f>
        <v>0.90270000000000006</v>
      </c>
      <c r="AG109" s="313"/>
    </row>
    <row r="110" spans="1:33" ht="15.75" customHeight="1">
      <c r="A110" s="316"/>
      <c r="B110" s="161"/>
      <c r="C110" s="297"/>
      <c r="D110" s="298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8"/>
      <c r="S110" s="46"/>
      <c r="T110" s="47"/>
      <c r="U110" s="109"/>
      <c r="V110" s="110"/>
      <c r="W110" s="111"/>
      <c r="X110" s="114"/>
      <c r="Y110" s="12"/>
      <c r="Z110" s="196"/>
      <c r="AA110" s="299"/>
      <c r="AB110" s="300"/>
      <c r="AC110" s="12"/>
      <c r="AD110" s="196"/>
      <c r="AE110" s="115"/>
      <c r="AF110" s="108"/>
      <c r="AG110" s="313"/>
    </row>
    <row r="111" spans="1:33" ht="15.75" customHeight="1">
      <c r="A111" s="316"/>
      <c r="B111" s="161"/>
      <c r="C111" s="297"/>
      <c r="D111" s="298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8"/>
      <c r="S111" s="46"/>
      <c r="T111" s="47"/>
      <c r="U111" s="109"/>
      <c r="V111" s="110"/>
      <c r="W111" s="111"/>
      <c r="X111" s="114"/>
      <c r="Y111" s="12"/>
      <c r="Z111" s="196"/>
      <c r="AA111" s="299"/>
      <c r="AB111" s="300"/>
      <c r="AC111" s="12"/>
      <c r="AD111" s="196"/>
      <c r="AE111" s="115"/>
      <c r="AF111" s="108"/>
      <c r="AG111" s="313"/>
    </row>
    <row r="112" spans="1:33" ht="15.75" customHeight="1">
      <c r="A112" s="316"/>
      <c r="B112" s="161"/>
      <c r="C112" s="297"/>
      <c r="D112" s="298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8"/>
      <c r="S112" s="46"/>
      <c r="T112" s="118"/>
      <c r="U112" s="109"/>
      <c r="V112" s="110"/>
      <c r="W112" s="111"/>
      <c r="X112" s="114"/>
      <c r="Y112" s="12"/>
      <c r="Z112" s="196"/>
      <c r="AA112" s="299"/>
      <c r="AB112" s="300"/>
      <c r="AC112" s="12"/>
      <c r="AD112" s="196"/>
      <c r="AE112" s="115"/>
      <c r="AF112" s="108"/>
      <c r="AG112" s="313"/>
    </row>
    <row r="113" spans="1:33" ht="15.75" customHeight="1">
      <c r="A113" s="316"/>
      <c r="B113" s="161"/>
      <c r="C113" s="297"/>
      <c r="D113" s="298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8"/>
      <c r="S113" s="117"/>
      <c r="T113" s="118"/>
      <c r="U113" s="109"/>
      <c r="V113" s="110"/>
      <c r="W113" s="118"/>
      <c r="X113" s="187"/>
      <c r="Y113" s="12"/>
      <c r="Z113" s="196"/>
      <c r="AA113" s="299"/>
      <c r="AB113" s="300"/>
      <c r="AC113" s="12"/>
      <c r="AD113" s="196"/>
      <c r="AE113" s="115"/>
      <c r="AF113" s="108"/>
      <c r="AG113" s="313"/>
    </row>
    <row r="114" spans="1:33" ht="15.75" customHeight="1">
      <c r="A114" s="316"/>
      <c r="B114" s="161"/>
      <c r="C114" s="297"/>
      <c r="D114" s="298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8"/>
      <c r="S114" s="117"/>
      <c r="T114" s="118"/>
      <c r="U114" s="109"/>
      <c r="V114" s="110"/>
      <c r="W114" s="118"/>
      <c r="X114" s="187"/>
      <c r="Y114" s="12"/>
      <c r="Z114" s="196"/>
      <c r="AA114" s="299"/>
      <c r="AB114" s="300"/>
      <c r="AC114" s="12"/>
      <c r="AD114" s="196"/>
      <c r="AE114" s="115"/>
      <c r="AF114" s="108"/>
      <c r="AG114" s="313"/>
    </row>
    <row r="115" spans="1:33" ht="15.75" customHeight="1">
      <c r="A115" s="316"/>
      <c r="B115" s="161"/>
      <c r="C115" s="297"/>
      <c r="D115" s="298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8"/>
      <c r="S115" s="117"/>
      <c r="T115" s="118"/>
      <c r="U115" s="109"/>
      <c r="V115" s="110"/>
      <c r="W115" s="118"/>
      <c r="X115" s="187"/>
      <c r="Y115" s="12"/>
      <c r="Z115" s="196"/>
      <c r="AA115" s="299"/>
      <c r="AB115" s="300"/>
      <c r="AC115" s="12"/>
      <c r="AD115" s="196"/>
      <c r="AE115" s="115"/>
      <c r="AF115" s="108"/>
      <c r="AG115" s="313"/>
    </row>
    <row r="116" spans="1:33" ht="15.75" customHeight="1">
      <c r="A116" s="316"/>
      <c r="B116" s="161"/>
      <c r="C116" s="297"/>
      <c r="D116" s="298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8"/>
      <c r="S116" s="117"/>
      <c r="T116" s="118"/>
      <c r="U116" s="109"/>
      <c r="V116" s="110"/>
      <c r="W116" s="118"/>
      <c r="X116" s="187"/>
      <c r="Y116" s="12"/>
      <c r="Z116" s="196"/>
      <c r="AA116" s="299"/>
      <c r="AB116" s="300"/>
      <c r="AC116" s="12"/>
      <c r="AD116" s="196"/>
      <c r="AE116" s="115"/>
      <c r="AF116" s="108"/>
      <c r="AG116" s="313"/>
    </row>
    <row r="117" spans="1:33" ht="15.75" customHeight="1">
      <c r="A117" s="316"/>
      <c r="B117" s="161"/>
      <c r="C117" s="297"/>
      <c r="D117" s="298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8"/>
      <c r="S117" s="117"/>
      <c r="T117" s="118"/>
      <c r="U117" s="109"/>
      <c r="V117" s="110"/>
      <c r="W117" s="118"/>
      <c r="X117" s="187"/>
      <c r="Y117" s="12"/>
      <c r="Z117" s="196"/>
      <c r="AA117" s="299"/>
      <c r="AB117" s="300"/>
      <c r="AC117" s="12"/>
      <c r="AD117" s="196"/>
      <c r="AE117" s="115"/>
      <c r="AF117" s="108"/>
      <c r="AG117" s="313"/>
    </row>
    <row r="118" spans="1:33" ht="15.75" customHeight="1">
      <c r="A118" s="316"/>
      <c r="B118" s="161"/>
      <c r="C118" s="297"/>
      <c r="D118" s="298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8"/>
      <c r="S118" s="117"/>
      <c r="T118" s="118"/>
      <c r="U118" s="109"/>
      <c r="V118" s="110"/>
      <c r="W118" s="118"/>
      <c r="X118" s="187"/>
      <c r="Y118" s="12"/>
      <c r="Z118" s="196"/>
      <c r="AA118" s="299"/>
      <c r="AB118" s="300"/>
      <c r="AC118" s="12"/>
      <c r="AD118" s="196"/>
      <c r="AE118" s="115"/>
      <c r="AF118" s="108"/>
      <c r="AG118" s="313"/>
    </row>
    <row r="119" spans="1:33" ht="15.75" customHeight="1">
      <c r="A119" s="316"/>
      <c r="B119" s="161"/>
      <c r="C119" s="297"/>
      <c r="D119" s="298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8"/>
      <c r="S119" s="117"/>
      <c r="T119" s="118"/>
      <c r="U119" s="109"/>
      <c r="V119" s="110"/>
      <c r="W119" s="118"/>
      <c r="X119" s="187"/>
      <c r="Y119" s="12"/>
      <c r="Z119" s="196"/>
      <c r="AA119" s="299"/>
      <c r="AB119" s="300"/>
      <c r="AC119" s="12"/>
      <c r="AD119" s="196"/>
      <c r="AE119" s="115"/>
      <c r="AF119" s="108"/>
      <c r="AG119" s="313"/>
    </row>
    <row r="120" spans="1:33" ht="15.75" customHeight="1">
      <c r="A120" s="316"/>
      <c r="B120" s="161"/>
      <c r="C120" s="297"/>
      <c r="D120" s="298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8"/>
      <c r="S120" s="117"/>
      <c r="T120" s="118"/>
      <c r="U120" s="109"/>
      <c r="V120" s="110"/>
      <c r="W120" s="118"/>
      <c r="X120" s="187"/>
      <c r="Y120" s="12"/>
      <c r="Z120" s="196"/>
      <c r="AA120" s="299"/>
      <c r="AB120" s="300"/>
      <c r="AC120" s="12"/>
      <c r="AD120" s="196"/>
      <c r="AE120" s="115"/>
      <c r="AF120" s="108"/>
      <c r="AG120" s="313"/>
    </row>
    <row r="121" spans="1:33" ht="15.75" customHeight="1">
      <c r="A121" s="316"/>
      <c r="B121" s="161"/>
      <c r="C121" s="297"/>
      <c r="D121" s="298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8"/>
      <c r="S121" s="117"/>
      <c r="T121" s="118"/>
      <c r="U121" s="109"/>
      <c r="V121" s="110"/>
      <c r="W121" s="118"/>
      <c r="X121" s="187"/>
      <c r="Y121" s="12"/>
      <c r="Z121" s="196"/>
      <c r="AA121" s="299"/>
      <c r="AB121" s="300"/>
      <c r="AC121" s="12"/>
      <c r="AD121" s="196"/>
      <c r="AE121" s="115"/>
      <c r="AF121" s="108"/>
      <c r="AG121" s="313"/>
    </row>
    <row r="122" spans="1:33" ht="15.75" customHeight="1">
      <c r="A122" s="316"/>
      <c r="B122" s="161"/>
      <c r="C122" s="297"/>
      <c r="D122" s="298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8"/>
      <c r="S122" s="117"/>
      <c r="T122" s="118"/>
      <c r="U122" s="128"/>
      <c r="V122" s="129"/>
      <c r="W122" s="124"/>
      <c r="X122" s="125"/>
      <c r="Y122" s="12"/>
      <c r="Z122" s="196"/>
      <c r="AA122" s="299"/>
      <c r="AB122" s="300"/>
      <c r="AC122" s="12"/>
      <c r="AD122" s="196"/>
      <c r="AE122" s="163"/>
      <c r="AF122" s="123"/>
      <c r="AG122" s="313"/>
    </row>
    <row r="123" spans="1:33" ht="15.75" customHeight="1" thickBot="1">
      <c r="A123" s="317"/>
      <c r="B123" s="131" t="s">
        <v>115</v>
      </c>
      <c r="C123" s="294"/>
      <c r="D123" s="294"/>
      <c r="E123" s="132"/>
      <c r="F123" s="165"/>
      <c r="G123" s="133"/>
      <c r="H123" s="67"/>
      <c r="I123" s="134">
        <f t="shared" ref="I123:J123" si="41">AVERAGE(I107:I122)</f>
        <v>19.666666666666668</v>
      </c>
      <c r="J123" s="135">
        <f t="shared" si="41"/>
        <v>2000</v>
      </c>
      <c r="K123" s="136">
        <f t="shared" ref="K123" si="42">J123/I123</f>
        <v>101.69491525423729</v>
      </c>
      <c r="L123" s="134">
        <f t="shared" ref="L123:M123" si="43">AVERAGE(L107:L122)</f>
        <v>18.666666666666668</v>
      </c>
      <c r="M123" s="135">
        <f t="shared" si="43"/>
        <v>1805.8</v>
      </c>
      <c r="N123" s="136">
        <f>M123/L123</f>
        <v>96.7392857142857</v>
      </c>
      <c r="O123" s="137">
        <f>L123-I123</f>
        <v>-1</v>
      </c>
      <c r="P123" s="138">
        <f>N123-K123</f>
        <v>-4.9556295399515875</v>
      </c>
      <c r="Q123" s="139">
        <f>N123/K123</f>
        <v>0.95126964285714277</v>
      </c>
      <c r="R123" s="309"/>
      <c r="S123" s="140">
        <v>0.70833333333333337</v>
      </c>
      <c r="T123" s="141">
        <v>0.81170138888888888</v>
      </c>
      <c r="U123" s="142"/>
      <c r="V123" s="164"/>
      <c r="W123" s="165"/>
      <c r="X123" s="136"/>
      <c r="Y123" s="177">
        <f t="shared" ref="Y123:Z123" si="44">SUM(Y107:Y122)</f>
        <v>0</v>
      </c>
      <c r="Z123" s="178">
        <f t="shared" si="44"/>
        <v>0</v>
      </c>
      <c r="AA123" s="295"/>
      <c r="AB123" s="296"/>
      <c r="AC123" s="177">
        <f t="shared" ref="AC123:AD123" si="45">SUM(AC107:AC122)</f>
        <v>0</v>
      </c>
      <c r="AD123" s="178">
        <f t="shared" si="45"/>
        <v>0</v>
      </c>
      <c r="AE123" s="166">
        <f>M123-J123</f>
        <v>-194.20000000000005</v>
      </c>
      <c r="AF123" s="139">
        <f>M123/J123</f>
        <v>0.90289999999999992</v>
      </c>
      <c r="AG123" s="314"/>
    </row>
    <row r="124" spans="1:33" ht="15.75" customHeight="1">
      <c r="A124" s="301" t="s">
        <v>179</v>
      </c>
      <c r="B124" s="144" t="s">
        <v>169</v>
      </c>
      <c r="C124" s="305" t="s">
        <v>181</v>
      </c>
      <c r="D124" s="306"/>
      <c r="E124" s="145">
        <v>56.87</v>
      </c>
      <c r="F124" s="157">
        <v>1362</v>
      </c>
      <c r="G124" s="146">
        <f t="shared" ref="G124:G126" si="46">E124*F124</f>
        <v>77456.94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1804.0185642727752</v>
      </c>
      <c r="N124" s="150">
        <f>M124/L124</f>
        <v>78.435589750990218</v>
      </c>
      <c r="O124" s="152">
        <f>L124-I124</f>
        <v>0</v>
      </c>
      <c r="P124" s="153">
        <f>N124-K124</f>
        <v>-8.5209319881402195</v>
      </c>
      <c r="Q124" s="154">
        <f>N124/K124</f>
        <v>0.90200928213638742</v>
      </c>
      <c r="R124" s="307">
        <f>Q140</f>
        <v>0.90227729843418925</v>
      </c>
      <c r="S124" s="155">
        <v>0.70833333333333337</v>
      </c>
      <c r="T124" s="156">
        <v>0.73978009259259259</v>
      </c>
      <c r="U124" s="157"/>
      <c r="V124" s="158">
        <v>45.298868658229388</v>
      </c>
      <c r="W124" s="95"/>
      <c r="X124" s="96"/>
      <c r="Y124" s="194"/>
      <c r="Z124" s="195"/>
      <c r="AA124" s="310"/>
      <c r="AB124" s="311"/>
      <c r="AC124" s="194"/>
      <c r="AD124" s="195"/>
      <c r="AE124" s="113">
        <f>M124-J124</f>
        <v>-195.98143572722483</v>
      </c>
      <c r="AF124" s="154">
        <f>M124/J124</f>
        <v>0.90200928213638754</v>
      </c>
      <c r="AG124" s="379">
        <f>AF140</f>
        <v>0.90227729843418925</v>
      </c>
    </row>
    <row r="125" spans="1:33" ht="15.75" customHeight="1">
      <c r="A125" s="302"/>
      <c r="B125" s="161" t="s">
        <v>169</v>
      </c>
      <c r="C125" s="297" t="s">
        <v>180</v>
      </c>
      <c r="D125" s="298"/>
      <c r="E125" s="99">
        <v>56.79</v>
      </c>
      <c r="F125" s="109">
        <v>1952</v>
      </c>
      <c r="G125" s="101">
        <f t="shared" si="46"/>
        <v>110854.08</v>
      </c>
      <c r="H125" s="26"/>
      <c r="I125" s="102">
        <v>23</v>
      </c>
      <c r="J125" s="103">
        <v>2000</v>
      </c>
      <c r="K125" s="104">
        <f t="shared" ref="K125:K126" si="47">J125/I125</f>
        <v>86.956521739130437</v>
      </c>
      <c r="L125" s="105">
        <v>23</v>
      </c>
      <c r="M125" s="103">
        <f>F125/V125*60</f>
        <v>1802.1667199915469</v>
      </c>
      <c r="N125" s="104">
        <f>M125/L125</f>
        <v>78.355074782241175</v>
      </c>
      <c r="O125" s="106">
        <f>L125-I125</f>
        <v>0</v>
      </c>
      <c r="P125" s="107">
        <f>N125-K125</f>
        <v>-8.6014469568892622</v>
      </c>
      <c r="Q125" s="108">
        <f>N125/K125</f>
        <v>0.90108335999577349</v>
      </c>
      <c r="R125" s="308"/>
      <c r="S125" s="46">
        <v>0.74305555555555558</v>
      </c>
      <c r="T125" s="47">
        <v>0.78818287037037038</v>
      </c>
      <c r="U125" s="109">
        <v>4.7166666666667112</v>
      </c>
      <c r="V125" s="110">
        <v>64.988437917968739</v>
      </c>
      <c r="W125" s="111"/>
      <c r="X125" s="114"/>
      <c r="Y125" s="12"/>
      <c r="Z125" s="196"/>
      <c r="AA125" s="299"/>
      <c r="AB125" s="300"/>
      <c r="AC125" s="12"/>
      <c r="AD125" s="196"/>
      <c r="AE125" s="115">
        <f>M125-J125</f>
        <v>-197.83328000845313</v>
      </c>
      <c r="AF125" s="108">
        <f>M125/J125</f>
        <v>0.90108335999577338</v>
      </c>
      <c r="AG125" s="380"/>
    </row>
    <row r="126" spans="1:33" ht="15.75" customHeight="1">
      <c r="A126" s="302"/>
      <c r="B126" s="161" t="s">
        <v>169</v>
      </c>
      <c r="C126" s="297" t="s">
        <v>220</v>
      </c>
      <c r="D126" s="298"/>
      <c r="E126" s="99">
        <v>47.6</v>
      </c>
      <c r="F126" s="109">
        <v>2524</v>
      </c>
      <c r="G126" s="101">
        <f t="shared" si="46"/>
        <v>120142.40000000001</v>
      </c>
      <c r="H126" s="26"/>
      <c r="I126" s="102">
        <v>23</v>
      </c>
      <c r="J126" s="103">
        <v>2000</v>
      </c>
      <c r="K126" s="104">
        <f t="shared" si="47"/>
        <v>86.956521739130437</v>
      </c>
      <c r="L126" s="105">
        <v>23</v>
      </c>
      <c r="M126" s="103">
        <f>F126/V126*60</f>
        <v>1807.4785063408137</v>
      </c>
      <c r="N126" s="104">
        <f>M126/L126</f>
        <v>78.586022014817985</v>
      </c>
      <c r="O126" s="106">
        <f>L126-I126</f>
        <v>0</v>
      </c>
      <c r="P126" s="107">
        <f>N126-K126</f>
        <v>-8.3704997243124524</v>
      </c>
      <c r="Q126" s="108">
        <f>N126/K126</f>
        <v>0.90373925317040682</v>
      </c>
      <c r="R126" s="308"/>
      <c r="S126" s="46">
        <v>0.79097222222222219</v>
      </c>
      <c r="T126" s="47">
        <v>0.84915509259259259</v>
      </c>
      <c r="U126" s="109">
        <v>5</v>
      </c>
      <c r="V126" s="110">
        <v>83.785228686666798</v>
      </c>
      <c r="W126" s="111"/>
      <c r="X126" s="114"/>
      <c r="Y126" s="12"/>
      <c r="Z126" s="196"/>
      <c r="AA126" s="299"/>
      <c r="AB126" s="300"/>
      <c r="AC126" s="12"/>
      <c r="AD126" s="196"/>
      <c r="AE126" s="115">
        <f>M126-J126</f>
        <v>-192.52149365918626</v>
      </c>
      <c r="AF126" s="108">
        <f>M126/J126</f>
        <v>0.90373925317040682</v>
      </c>
      <c r="AG126" s="380"/>
    </row>
    <row r="127" spans="1:33" ht="15.75" customHeight="1">
      <c r="A127" s="302"/>
      <c r="B127" s="161"/>
      <c r="C127" s="297"/>
      <c r="D127" s="298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8"/>
      <c r="S127" s="46"/>
      <c r="T127" s="47"/>
      <c r="U127" s="109"/>
      <c r="V127" s="110"/>
      <c r="W127" s="111"/>
      <c r="X127" s="114"/>
      <c r="Y127" s="12"/>
      <c r="Z127" s="196"/>
      <c r="AA127" s="299"/>
      <c r="AB127" s="300"/>
      <c r="AC127" s="12"/>
      <c r="AD127" s="196"/>
      <c r="AE127" s="115"/>
      <c r="AF127" s="108"/>
      <c r="AG127" s="380"/>
    </row>
    <row r="128" spans="1:33" ht="15.75" customHeight="1">
      <c r="A128" s="303"/>
      <c r="B128" s="161"/>
      <c r="C128" s="297"/>
      <c r="D128" s="298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8"/>
      <c r="S128" s="46"/>
      <c r="T128" s="47"/>
      <c r="U128" s="109"/>
      <c r="V128" s="110"/>
      <c r="W128" s="111"/>
      <c r="X128" s="114"/>
      <c r="Y128" s="12"/>
      <c r="Z128" s="196"/>
      <c r="AA128" s="299"/>
      <c r="AB128" s="300"/>
      <c r="AC128" s="12"/>
      <c r="AD128" s="196"/>
      <c r="AE128" s="115"/>
      <c r="AF128" s="108"/>
      <c r="AG128" s="380"/>
    </row>
    <row r="129" spans="1:33" ht="15.75" customHeight="1">
      <c r="A129" s="303"/>
      <c r="B129" s="161"/>
      <c r="C129" s="297"/>
      <c r="D129" s="298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8"/>
      <c r="S129" s="46"/>
      <c r="T129" s="118"/>
      <c r="U129" s="109"/>
      <c r="V129" s="110"/>
      <c r="W129" s="111"/>
      <c r="X129" s="114"/>
      <c r="Y129" s="12"/>
      <c r="Z129" s="196"/>
      <c r="AA129" s="299"/>
      <c r="AB129" s="300"/>
      <c r="AC129" s="12"/>
      <c r="AD129" s="196"/>
      <c r="AE129" s="115"/>
      <c r="AF129" s="108"/>
      <c r="AG129" s="380"/>
    </row>
    <row r="130" spans="1:33" ht="15.75" customHeight="1">
      <c r="A130" s="303"/>
      <c r="B130" s="161"/>
      <c r="C130" s="297"/>
      <c r="D130" s="298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8"/>
      <c r="S130" s="46"/>
      <c r="T130" s="118"/>
      <c r="U130" s="109"/>
      <c r="V130" s="110"/>
      <c r="W130" s="111"/>
      <c r="X130" s="114"/>
      <c r="Y130" s="12"/>
      <c r="Z130" s="196"/>
      <c r="AA130" s="299"/>
      <c r="AB130" s="300"/>
      <c r="AC130" s="12"/>
      <c r="AD130" s="196"/>
      <c r="AE130" s="115"/>
      <c r="AF130" s="108"/>
      <c r="AG130" s="380"/>
    </row>
    <row r="131" spans="1:33" ht="15.75" customHeight="1">
      <c r="A131" s="303"/>
      <c r="B131" s="161"/>
      <c r="C131" s="297"/>
      <c r="D131" s="298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8"/>
      <c r="S131" s="46"/>
      <c r="T131" s="118"/>
      <c r="U131" s="109"/>
      <c r="V131" s="110"/>
      <c r="W131" s="111"/>
      <c r="X131" s="114"/>
      <c r="Y131" s="12"/>
      <c r="Z131" s="196"/>
      <c r="AA131" s="299"/>
      <c r="AB131" s="300"/>
      <c r="AC131" s="12"/>
      <c r="AD131" s="196"/>
      <c r="AE131" s="115"/>
      <c r="AF131" s="108"/>
      <c r="AG131" s="380"/>
    </row>
    <row r="132" spans="1:33" ht="15.75" customHeight="1">
      <c r="A132" s="303"/>
      <c r="B132" s="161"/>
      <c r="C132" s="297"/>
      <c r="D132" s="298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8"/>
      <c r="S132" s="46"/>
      <c r="T132" s="118"/>
      <c r="U132" s="109"/>
      <c r="V132" s="110"/>
      <c r="W132" s="111"/>
      <c r="X132" s="114"/>
      <c r="Y132" s="12"/>
      <c r="Z132" s="196"/>
      <c r="AA132" s="299"/>
      <c r="AB132" s="300"/>
      <c r="AC132" s="12"/>
      <c r="AD132" s="196"/>
      <c r="AE132" s="115"/>
      <c r="AF132" s="108"/>
      <c r="AG132" s="380"/>
    </row>
    <row r="133" spans="1:33" ht="15.75" customHeight="1">
      <c r="A133" s="303"/>
      <c r="B133" s="161"/>
      <c r="C133" s="297"/>
      <c r="D133" s="298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8"/>
      <c r="S133" s="46"/>
      <c r="T133" s="118"/>
      <c r="U133" s="109"/>
      <c r="V133" s="110"/>
      <c r="W133" s="111"/>
      <c r="X133" s="114"/>
      <c r="Y133" s="12"/>
      <c r="Z133" s="196"/>
      <c r="AA133" s="299"/>
      <c r="AB133" s="300"/>
      <c r="AC133" s="12"/>
      <c r="AD133" s="196"/>
      <c r="AE133" s="115"/>
      <c r="AF133" s="108"/>
      <c r="AG133" s="380"/>
    </row>
    <row r="134" spans="1:33" ht="15.75" customHeight="1">
      <c r="A134" s="303"/>
      <c r="B134" s="161"/>
      <c r="C134" s="297"/>
      <c r="D134" s="298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8"/>
      <c r="S134" s="46"/>
      <c r="T134" s="118"/>
      <c r="U134" s="109"/>
      <c r="V134" s="110"/>
      <c r="W134" s="111"/>
      <c r="X134" s="114"/>
      <c r="Y134" s="12"/>
      <c r="Z134" s="196"/>
      <c r="AA134" s="299"/>
      <c r="AB134" s="300"/>
      <c r="AC134" s="12"/>
      <c r="AD134" s="196"/>
      <c r="AE134" s="115"/>
      <c r="AF134" s="108"/>
      <c r="AG134" s="380"/>
    </row>
    <row r="135" spans="1:33" ht="15.75" customHeight="1">
      <c r="A135" s="303"/>
      <c r="B135" s="161"/>
      <c r="C135" s="297"/>
      <c r="D135" s="298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8"/>
      <c r="S135" s="46"/>
      <c r="T135" s="118"/>
      <c r="U135" s="109"/>
      <c r="V135" s="110"/>
      <c r="W135" s="111"/>
      <c r="X135" s="114"/>
      <c r="Y135" s="12"/>
      <c r="Z135" s="196"/>
      <c r="AA135" s="299"/>
      <c r="AB135" s="300"/>
      <c r="AC135" s="12"/>
      <c r="AD135" s="196"/>
      <c r="AE135" s="115"/>
      <c r="AF135" s="108"/>
      <c r="AG135" s="380"/>
    </row>
    <row r="136" spans="1:33" ht="15.75" customHeight="1">
      <c r="A136" s="303"/>
      <c r="B136" s="161"/>
      <c r="C136" s="297"/>
      <c r="D136" s="298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8"/>
      <c r="S136" s="46"/>
      <c r="T136" s="118"/>
      <c r="U136" s="109"/>
      <c r="V136" s="110"/>
      <c r="W136" s="111"/>
      <c r="X136" s="114"/>
      <c r="Y136" s="12"/>
      <c r="Z136" s="196"/>
      <c r="AA136" s="299"/>
      <c r="AB136" s="300"/>
      <c r="AC136" s="12"/>
      <c r="AD136" s="196"/>
      <c r="AE136" s="115"/>
      <c r="AF136" s="108"/>
      <c r="AG136" s="380"/>
    </row>
    <row r="137" spans="1:33" ht="15.75" customHeight="1">
      <c r="A137" s="303"/>
      <c r="B137" s="161"/>
      <c r="C137" s="297"/>
      <c r="D137" s="298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8"/>
      <c r="S137" s="46"/>
      <c r="T137" s="118"/>
      <c r="U137" s="109"/>
      <c r="V137" s="110"/>
      <c r="W137" s="181"/>
      <c r="X137" s="182"/>
      <c r="Y137" s="12"/>
      <c r="Z137" s="196"/>
      <c r="AA137" s="299"/>
      <c r="AB137" s="300"/>
      <c r="AC137" s="12"/>
      <c r="AD137" s="196"/>
      <c r="AE137" s="115"/>
      <c r="AF137" s="108"/>
      <c r="AG137" s="380"/>
    </row>
    <row r="138" spans="1:33" ht="15.75" customHeight="1">
      <c r="A138" s="303"/>
      <c r="B138" s="161"/>
      <c r="C138" s="297"/>
      <c r="D138" s="298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8"/>
      <c r="S138" s="46"/>
      <c r="T138" s="118"/>
      <c r="U138" s="109"/>
      <c r="V138" s="110"/>
      <c r="W138" s="183"/>
      <c r="X138" s="184"/>
      <c r="Y138" s="12"/>
      <c r="Z138" s="196"/>
      <c r="AA138" s="299"/>
      <c r="AB138" s="300"/>
      <c r="AC138" s="12"/>
      <c r="AD138" s="196"/>
      <c r="AE138" s="115"/>
      <c r="AF138" s="108"/>
      <c r="AG138" s="380"/>
    </row>
    <row r="139" spans="1:33" ht="15.75" customHeight="1">
      <c r="A139" s="303"/>
      <c r="B139" s="98"/>
      <c r="C139" s="297"/>
      <c r="D139" s="298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8"/>
      <c r="S139" s="46"/>
      <c r="T139" s="118"/>
      <c r="U139" s="128"/>
      <c r="V139" s="110"/>
      <c r="W139" s="183"/>
      <c r="X139" s="184"/>
      <c r="Y139" s="12"/>
      <c r="Z139" s="196"/>
      <c r="AA139" s="299"/>
      <c r="AB139" s="300"/>
      <c r="AC139" s="12"/>
      <c r="AD139" s="196"/>
      <c r="AE139" s="115"/>
      <c r="AF139" s="108"/>
      <c r="AG139" s="380"/>
    </row>
    <row r="140" spans="1:33" ht="15.75" customHeight="1" thickBot="1">
      <c r="A140" s="304"/>
      <c r="B140" s="131" t="s">
        <v>115</v>
      </c>
      <c r="C140" s="294"/>
      <c r="D140" s="294"/>
      <c r="E140" s="132"/>
      <c r="F140" s="165"/>
      <c r="G140" s="133"/>
      <c r="H140" s="67"/>
      <c r="I140" s="134">
        <f t="shared" ref="I140:J140" si="48">AVERAGE(I124:I139)</f>
        <v>23</v>
      </c>
      <c r="J140" s="135">
        <f t="shared" si="48"/>
        <v>2000</v>
      </c>
      <c r="K140" s="136">
        <f t="shared" ref="K140" si="49">J140/I140</f>
        <v>86.956521739130437</v>
      </c>
      <c r="L140" s="134">
        <f t="shared" ref="L140:M140" si="50">AVERAGE(L124:L139)</f>
        <v>23</v>
      </c>
      <c r="M140" s="135">
        <f t="shared" si="50"/>
        <v>1804.5545968683784</v>
      </c>
      <c r="N140" s="136">
        <f>M140/L140</f>
        <v>78.458895516016455</v>
      </c>
      <c r="O140" s="137">
        <f>L140-I140</f>
        <v>0</v>
      </c>
      <c r="P140" s="138">
        <f>N140-K140</f>
        <v>-8.4976262231139827</v>
      </c>
      <c r="Q140" s="139">
        <f>N140/K140</f>
        <v>0.90227729843418925</v>
      </c>
      <c r="R140" s="309"/>
      <c r="S140" s="140">
        <v>0.70833333333333337</v>
      </c>
      <c r="T140" s="141">
        <v>0.84915509259259259</v>
      </c>
      <c r="U140" s="142"/>
      <c r="V140" s="164"/>
      <c r="W140" s="185"/>
      <c r="X140" s="186"/>
      <c r="Y140" s="177">
        <f t="shared" ref="Y140:Z140" si="51">SUM(Y124:Y139)</f>
        <v>0</v>
      </c>
      <c r="Z140" s="178">
        <f t="shared" si="51"/>
        <v>0</v>
      </c>
      <c r="AA140" s="295"/>
      <c r="AB140" s="296"/>
      <c r="AC140" s="177">
        <f t="shared" ref="AC140:AD140" si="52">SUM(AC124:AC139)</f>
        <v>0</v>
      </c>
      <c r="AD140" s="178">
        <f t="shared" si="52"/>
        <v>0</v>
      </c>
      <c r="AE140" s="166">
        <f>M140-J140</f>
        <v>-195.44540313162156</v>
      </c>
      <c r="AF140" s="139">
        <f>M140/J140</f>
        <v>0.90227729843418925</v>
      </c>
      <c r="AG140" s="381"/>
    </row>
    <row r="142" spans="1:33">
      <c r="AA142" s="293" t="s">
        <v>147</v>
      </c>
      <c r="AB142" s="293"/>
    </row>
    <row r="143" spans="1:33">
      <c r="AA143" s="293" t="s">
        <v>148</v>
      </c>
      <c r="AB143" s="293"/>
    </row>
    <row r="144" spans="1:33">
      <c r="AA144" s="293" t="s">
        <v>149</v>
      </c>
      <c r="AB144" s="293"/>
    </row>
    <row r="145" spans="27:28">
      <c r="AA145" s="293" t="s">
        <v>150</v>
      </c>
      <c r="AB145" s="293"/>
    </row>
    <row r="146" spans="27:28">
      <c r="AA146" s="293" t="s">
        <v>151</v>
      </c>
      <c r="AB146" s="293"/>
    </row>
    <row r="147" spans="27:28">
      <c r="AA147" s="293" t="s">
        <v>152</v>
      </c>
      <c r="AB147" s="293"/>
    </row>
    <row r="148" spans="27:28">
      <c r="AA148" s="293" t="s">
        <v>153</v>
      </c>
      <c r="AB148" s="293"/>
    </row>
    <row r="149" spans="27:28">
      <c r="AA149" s="293" t="s">
        <v>154</v>
      </c>
      <c r="AB149" s="293"/>
    </row>
    <row r="150" spans="27:28">
      <c r="AA150" s="293" t="s">
        <v>155</v>
      </c>
      <c r="AB150" s="293"/>
    </row>
    <row r="151" spans="27:28">
      <c r="AA151" s="293" t="s">
        <v>156</v>
      </c>
      <c r="AB151" s="293"/>
    </row>
    <row r="152" spans="27:28">
      <c r="AA152" s="293" t="s">
        <v>157</v>
      </c>
      <c r="AB152" s="293"/>
    </row>
    <row r="153" spans="27:28">
      <c r="AA153" s="293" t="s">
        <v>158</v>
      </c>
      <c r="AB153" s="293"/>
    </row>
    <row r="154" spans="27:28">
      <c r="AA154" s="293" t="s">
        <v>159</v>
      </c>
      <c r="AB154" s="293"/>
    </row>
  </sheetData>
  <dataConsolidate/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A101:AB101"/>
    <mergeCell ref="C102:D102"/>
    <mergeCell ref="AA102:AB102"/>
    <mergeCell ref="C106:D106"/>
    <mergeCell ref="AA106:AB106"/>
    <mergeCell ref="C116:D116"/>
    <mergeCell ref="AA116:AB116"/>
    <mergeCell ref="C117:D117"/>
    <mergeCell ref="AA117:AB117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56" priority="2" operator="greaterThan">
      <formula>0</formula>
    </cfRule>
  </conditionalFormatting>
  <conditionalFormatting sqref="P5:P140 AE5:AE140">
    <cfRule type="cellIs" dxfId="55" priority="5" operator="lessThan">
      <formula>0</formula>
    </cfRule>
  </conditionalFormatting>
  <conditionalFormatting sqref="Q5:Q140 AF5:AF140">
    <cfRule type="cellIs" dxfId="54" priority="3" operator="greaterThan">
      <formula>1</formula>
    </cfRule>
    <cfRule type="cellIs" dxfId="53" priority="4" operator="lessThan">
      <formula>0.8</formula>
    </cfRule>
  </conditionalFormatting>
  <conditionalFormatting sqref="AG5 R5:R140 AG107:AG124">
    <cfRule type="cellIs" dxfId="52" priority="6" operator="lessThan">
      <formula>0.8</formula>
    </cfRule>
  </conditionalFormatting>
  <conditionalFormatting sqref="AG22">
    <cfRule type="cellIs" dxfId="51" priority="11" operator="lessThan">
      <formula>0.8</formula>
    </cfRule>
  </conditionalFormatting>
  <conditionalFormatting sqref="AG37">
    <cfRule type="cellIs" dxfId="50" priority="10" operator="lessThan">
      <formula>0.8</formula>
    </cfRule>
  </conditionalFormatting>
  <conditionalFormatting sqref="AG39:AG74">
    <cfRule type="cellIs" dxfId="49" priority="8" operator="lessThan">
      <formula>0.8</formula>
    </cfRule>
  </conditionalFormatting>
  <conditionalFormatting sqref="AG80:AG88">
    <cfRule type="cellIs" dxfId="48" priority="9" operator="lessThan">
      <formula>0.8</formula>
    </cfRule>
  </conditionalFormatting>
  <conditionalFormatting sqref="AG90:AG95">
    <cfRule type="cellIs" dxfId="47" priority="7" operator="lessThan">
      <formula>0.8</formula>
    </cfRule>
  </conditionalFormatting>
  <conditionalFormatting sqref="AG139">
    <cfRule type="cellIs" dxfId="46" priority="1" operator="lessThan">
      <formula>0.8</formula>
    </cfRule>
  </conditionalFormatting>
  <dataValidations count="1">
    <dataValidation type="list" allowBlank="1" showInputMessage="1" showErrorMessage="1" sqref="AA5:AB140" xr:uid="{C785BF99-6027-4FF4-9F7E-38BC4BCB50DF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62EA8-2C96-4E50-9785-B5B78C3192C9}">
  <sheetPr>
    <tabColor theme="8" tint="0.59999389629810485"/>
  </sheetPr>
  <dimension ref="B1:AR42"/>
  <sheetViews>
    <sheetView zoomScale="70" zoomScaleNormal="70" workbookViewId="0">
      <selection activeCell="M39" sqref="M39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0" t="s">
        <v>0</v>
      </c>
      <c r="C1" s="280"/>
      <c r="D1" s="280"/>
      <c r="E1" s="280"/>
      <c r="F1" s="280"/>
      <c r="G1" s="280"/>
      <c r="H1" s="280"/>
      <c r="I1" s="280"/>
      <c r="J1" s="280"/>
      <c r="K1" s="1"/>
      <c r="L1" s="1"/>
      <c r="M1" s="1"/>
      <c r="N1" s="1"/>
      <c r="O1" s="1"/>
      <c r="P1" s="1"/>
    </row>
    <row r="2" spans="2:34" ht="27.75" customHeight="1">
      <c r="B2" s="281"/>
      <c r="C2" s="281"/>
      <c r="D2" s="281"/>
      <c r="E2" s="281"/>
      <c r="F2" s="281"/>
      <c r="G2" s="281"/>
      <c r="H2" s="281"/>
      <c r="I2" s="281"/>
      <c r="J2" s="28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2" t="s">
        <v>227</v>
      </c>
      <c r="D3" s="283"/>
      <c r="E3" s="3" t="s">
        <v>2</v>
      </c>
      <c r="F3" s="284">
        <f>'1002(18度C)'!D1+'1002(4度C)'!D1</f>
        <v>115858</v>
      </c>
      <c r="G3" s="285"/>
      <c r="H3" s="3" t="s">
        <v>3</v>
      </c>
      <c r="I3" s="286">
        <f>'1002(18度C)'!F1+'1002(4度C)'!F1</f>
        <v>3556504.3699999992</v>
      </c>
      <c r="J3" s="287"/>
      <c r="K3" s="4"/>
      <c r="L3" s="5"/>
      <c r="M3" s="1"/>
      <c r="N3" s="1"/>
      <c r="O3" s="1"/>
      <c r="P3" s="1"/>
    </row>
    <row r="4" spans="2:34" ht="28.5" customHeight="1">
      <c r="B4" s="288" t="s">
        <v>4</v>
      </c>
      <c r="C4" s="268" t="s">
        <v>5</v>
      </c>
      <c r="D4" s="269"/>
      <c r="E4" s="291" t="s">
        <v>6</v>
      </c>
      <c r="F4" s="292"/>
      <c r="G4" s="291" t="s">
        <v>7</v>
      </c>
      <c r="H4" s="292"/>
      <c r="I4" s="291" t="s">
        <v>8</v>
      </c>
      <c r="J4" s="292"/>
      <c r="K4" s="264" t="s">
        <v>9</v>
      </c>
      <c r="L4" s="265"/>
      <c r="M4" s="264" t="s">
        <v>10</v>
      </c>
      <c r="N4" s="265"/>
      <c r="O4" s="266" t="s">
        <v>11</v>
      </c>
      <c r="P4" s="267"/>
      <c r="Q4" s="267" t="s">
        <v>12</v>
      </c>
      <c r="R4" s="267"/>
    </row>
    <row r="5" spans="2:34" ht="28.5" customHeight="1">
      <c r="B5" s="289"/>
      <c r="C5" s="268" t="s">
        <v>13</v>
      </c>
      <c r="D5" s="269"/>
      <c r="E5" s="270" t="s">
        <v>14</v>
      </c>
      <c r="F5" s="271"/>
      <c r="G5" s="272" t="s">
        <v>15</v>
      </c>
      <c r="H5" s="273"/>
      <c r="I5" s="274" t="s">
        <v>16</v>
      </c>
      <c r="J5" s="275"/>
      <c r="K5" s="276" t="s">
        <v>17</v>
      </c>
      <c r="L5" s="277"/>
      <c r="M5" s="278" t="s">
        <v>18</v>
      </c>
      <c r="N5" s="27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9"/>
      <c r="C6" s="268" t="s">
        <v>22</v>
      </c>
      <c r="D6" s="269"/>
      <c r="E6" s="258">
        <f>AVERAGE(D14:O14,D32:X32)</f>
        <v>474.54095580375059</v>
      </c>
      <c r="F6" s="259" t="e">
        <f>AVERAGE(#REF!,D14:K14)</f>
        <v>#REF!</v>
      </c>
      <c r="G6" s="260">
        <f>AVERAGE(D14:K14)</f>
        <v>277.63526672682565</v>
      </c>
      <c r="H6" s="261"/>
      <c r="I6" s="260">
        <f>AVERAGE(L14:O14)</f>
        <v>94.325718496683862</v>
      </c>
      <c r="J6" s="261"/>
      <c r="K6" s="260">
        <f>AVERAGE(D32:O32)</f>
        <v>716.2788331071913</v>
      </c>
      <c r="L6" s="261"/>
      <c r="M6" s="260">
        <f>AVERAGE(P32:X32)</f>
        <v>718.26923076923072</v>
      </c>
      <c r="N6" s="261"/>
      <c r="O6" s="249">
        <f>'1002(4度C)'!Y2</f>
        <v>0</v>
      </c>
      <c r="P6" s="249">
        <f>'1002(4度C)'!Z2</f>
        <v>0</v>
      </c>
      <c r="Q6" s="249">
        <f>'1002(4度C)'!AC2</f>
        <v>0</v>
      </c>
      <c r="R6" s="249">
        <f>'1002(4度C)'!AD2</f>
        <v>0</v>
      </c>
    </row>
    <row r="7" spans="2:34" ht="28.5" customHeight="1">
      <c r="B7" s="289"/>
      <c r="C7" s="252" t="s">
        <v>23</v>
      </c>
      <c r="D7" s="253"/>
      <c r="E7" s="254">
        <f>AVERAGE(D15:O15,D33:X33)</f>
        <v>431.77990287845773</v>
      </c>
      <c r="F7" s="255" t="e">
        <f>AVERAGE(#REF!,D15:K15)</f>
        <v>#REF!</v>
      </c>
      <c r="G7" s="256">
        <f>AVERAGE(D15:K15)</f>
        <v>251.00663246291742</v>
      </c>
      <c r="H7" s="257"/>
      <c r="I7" s="256">
        <f>AVERAGE(L15:O15)</f>
        <v>87.613816288028929</v>
      </c>
      <c r="J7" s="257"/>
      <c r="K7" s="256">
        <f>AVERAGE(D33:O33)</f>
        <v>651.09755243227096</v>
      </c>
      <c r="L7" s="257"/>
      <c r="M7" s="256">
        <f>AVERAGE(P33:X33)</f>
        <v>655.70520224316965</v>
      </c>
      <c r="N7" s="257"/>
      <c r="O7" s="250"/>
      <c r="P7" s="250"/>
      <c r="Q7" s="250"/>
      <c r="R7" s="250"/>
    </row>
    <row r="8" spans="2:34" ht="28.5" customHeight="1">
      <c r="B8" s="290"/>
      <c r="C8" s="252" t="s">
        <v>24</v>
      </c>
      <c r="D8" s="253"/>
      <c r="E8" s="262">
        <f>AVERAGE(D16:O16,D34:X34)</f>
        <v>0.90686300339489911</v>
      </c>
      <c r="F8" s="263" t="e">
        <f>AVERAGE(D16:K16,#REF!)</f>
        <v>#REF!</v>
      </c>
      <c r="G8" s="241">
        <f>AVERAGE(D16:K16)</f>
        <v>0.9028158523214086</v>
      </c>
      <c r="H8" s="242"/>
      <c r="I8" s="241">
        <f>AVERAGE(L16:O16)</f>
        <v>0.92692793493138037</v>
      </c>
      <c r="J8" s="242"/>
      <c r="K8" s="241">
        <f>AVERAGE(D34:O34)</f>
        <v>0.90381254696399149</v>
      </c>
      <c r="L8" s="242"/>
      <c r="M8" s="241">
        <f>AVERAGE(P34:X34)</f>
        <v>0.90595172066780216</v>
      </c>
      <c r="N8" s="242"/>
      <c r="O8" s="251"/>
      <c r="P8" s="251"/>
      <c r="Q8" s="251"/>
      <c r="R8" s="25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9" t="s">
        <v>26</v>
      </c>
      <c r="C11" s="220"/>
      <c r="D11" s="243" t="s">
        <v>27</v>
      </c>
      <c r="E11" s="244"/>
      <c r="F11" s="244"/>
      <c r="G11" s="244"/>
      <c r="H11" s="244"/>
      <c r="I11" s="244"/>
      <c r="J11" s="244"/>
      <c r="K11" s="244"/>
      <c r="L11" s="245" t="s">
        <v>28</v>
      </c>
      <c r="M11" s="246"/>
      <c r="N11" s="246"/>
      <c r="O11" s="247"/>
    </row>
    <row r="12" spans="2:34" ht="17.25" customHeight="1">
      <c r="B12" s="235" t="s">
        <v>29</v>
      </c>
      <c r="C12" s="23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5"/>
      <c r="C13" s="23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U13" s="205"/>
      <c r="AB13" s="25"/>
      <c r="AC13" s="25"/>
      <c r="AD13" s="25"/>
      <c r="AE13" s="25"/>
    </row>
    <row r="14" spans="2:34" ht="40.15" customHeight="1">
      <c r="B14" s="248" t="s">
        <v>40</v>
      </c>
      <c r="C14" s="26" t="s">
        <v>41</v>
      </c>
      <c r="D14" s="27" t="s">
        <v>42</v>
      </c>
      <c r="E14" s="28">
        <v>85.245901639344268</v>
      </c>
      <c r="F14" s="28">
        <v>121.06796116504853</v>
      </c>
      <c r="G14" s="28">
        <v>88.235294117647058</v>
      </c>
      <c r="H14" s="28">
        <v>184.61538461538461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8"/>
      <c r="C15" s="33" t="s">
        <v>43</v>
      </c>
      <c r="D15" s="34" t="s">
        <v>42</v>
      </c>
      <c r="E15" s="35">
        <v>76.992004897381221</v>
      </c>
      <c r="F15" s="35">
        <v>109.20891367733154</v>
      </c>
      <c r="G15" s="35">
        <v>79.679561503226324</v>
      </c>
      <c r="H15" s="35">
        <v>165.71085543892411</v>
      </c>
      <c r="I15" s="35">
        <v>440.85717796430953</v>
      </c>
      <c r="J15" s="35">
        <v>633.59128129633166</v>
      </c>
      <c r="K15" s="36" t="s">
        <v>42</v>
      </c>
      <c r="L15" s="34" t="s">
        <v>42</v>
      </c>
      <c r="M15" s="204">
        <v>96.757142857142838</v>
      </c>
      <c r="N15" s="35">
        <v>78.470489718915019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8"/>
      <c r="C16" s="40" t="s">
        <v>44</v>
      </c>
      <c r="D16" s="41" t="s">
        <v>42</v>
      </c>
      <c r="E16" s="42">
        <f t="shared" ref="E16:J16" si="0">E15/E14</f>
        <v>0.90317544206543354</v>
      </c>
      <c r="F16" s="42">
        <f t="shared" si="0"/>
        <v>0.90204635996512827</v>
      </c>
      <c r="G16" s="42">
        <f t="shared" si="0"/>
        <v>0.90303503036989829</v>
      </c>
      <c r="H16" s="42">
        <f t="shared" si="0"/>
        <v>0.89760046696083895</v>
      </c>
      <c r="I16" s="42">
        <f t="shared" si="0"/>
        <v>0.90590741271524999</v>
      </c>
      <c r="J16" s="42">
        <f t="shared" si="0"/>
        <v>0.90513040185190241</v>
      </c>
      <c r="K16" s="43" t="s">
        <v>42</v>
      </c>
      <c r="L16" s="41" t="s">
        <v>42</v>
      </c>
      <c r="M16" s="44">
        <f>M15/M14</f>
        <v>0.95144523809523796</v>
      </c>
      <c r="N16" s="42">
        <f>N15/N14</f>
        <v>0.90241063176752268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34" t="s">
        <v>45</v>
      </c>
      <c r="C17" s="13" t="s">
        <v>46</v>
      </c>
      <c r="D17" s="46" t="s">
        <v>42</v>
      </c>
      <c r="E17" s="47">
        <v>0.20833333333333334</v>
      </c>
      <c r="F17" s="47">
        <v>0.25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5"/>
      <c r="C18" s="13" t="s">
        <v>47</v>
      </c>
      <c r="D18" s="46" t="s">
        <v>42</v>
      </c>
      <c r="E18" s="47">
        <v>0.5463541666666667</v>
      </c>
      <c r="F18" s="47">
        <v>0.52398148148148138</v>
      </c>
      <c r="G18" s="47">
        <v>0.51880787037037035</v>
      </c>
      <c r="H18" s="47">
        <v>0.37701388888888887</v>
      </c>
      <c r="I18" s="47">
        <v>0.42929398148148135</v>
      </c>
      <c r="J18" s="47">
        <v>0.28865740740740742</v>
      </c>
      <c r="K18" s="47" t="s">
        <v>42</v>
      </c>
      <c r="L18" s="46" t="s">
        <v>42</v>
      </c>
      <c r="M18" s="48">
        <v>0.78877314814814814</v>
      </c>
      <c r="N18" s="47">
        <v>0.82599537037037041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6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7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6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7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5" t="s">
        <v>53</v>
      </c>
      <c r="C23" s="238"/>
      <c r="D23" s="56" t="s">
        <v>42</v>
      </c>
      <c r="E23" s="57">
        <v>20.333333333333332</v>
      </c>
      <c r="F23" s="57">
        <v>21.2</v>
      </c>
      <c r="G23" s="57">
        <v>22.666666666666668</v>
      </c>
      <c r="H23" s="57">
        <v>19.5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9" t="s">
        <v>54</v>
      </c>
      <c r="C24" s="240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9" t="s">
        <v>59</v>
      </c>
      <c r="C25" s="240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7" t="s">
        <v>60</v>
      </c>
      <c r="C26" s="218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9" t="s">
        <v>26</v>
      </c>
      <c r="C29" s="220"/>
      <c r="D29" s="221" t="s">
        <v>64</v>
      </c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3"/>
      <c r="P29" s="224" t="s">
        <v>65</v>
      </c>
      <c r="Q29" s="225"/>
      <c r="R29" s="225"/>
      <c r="S29" s="225"/>
      <c r="T29" s="225"/>
      <c r="U29" s="225"/>
      <c r="V29" s="225"/>
      <c r="W29" s="225"/>
      <c r="X29" s="226"/>
    </row>
    <row r="30" spans="2:44" ht="17.25" customHeight="1">
      <c r="B30" s="227" t="s">
        <v>29</v>
      </c>
      <c r="C30" s="22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9"/>
      <c r="C31" s="230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3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322.38805970149258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750</v>
      </c>
      <c r="N32" s="28">
        <v>920</v>
      </c>
      <c r="O32" s="28">
        <v>872.72727272727275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750</v>
      </c>
      <c r="W32" s="28">
        <v>923.07692307692298</v>
      </c>
      <c r="X32" s="31">
        <v>900</v>
      </c>
    </row>
    <row r="33" spans="2:24" ht="39.6" customHeight="1">
      <c r="B33" s="232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282.59077890771135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682.74156248899658</v>
      </c>
      <c r="N33" s="35">
        <v>844.36921404634552</v>
      </c>
      <c r="O33" s="35">
        <v>794.68865428602999</v>
      </c>
      <c r="P33" s="34">
        <v>260.07177158529618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697.98697238270063</v>
      </c>
      <c r="W33" s="35">
        <v>845.42208862893983</v>
      </c>
      <c r="X33" s="37">
        <v>819.3399763757418</v>
      </c>
    </row>
    <row r="34" spans="2:24" ht="40.15" customHeight="1">
      <c r="B34" s="233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0.87655473087114155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0.91032208331866216</v>
      </c>
      <c r="N34" s="42">
        <f>N33/N32</f>
        <v>0.9177926239634191</v>
      </c>
      <c r="O34" s="42">
        <f>O33/O32</f>
        <v>0.91058074970274272</v>
      </c>
      <c r="P34" s="41">
        <f>P33/P32</f>
        <v>0.86690590528432054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0.93064929651026751</v>
      </c>
      <c r="W34" s="42">
        <f>W33/W32</f>
        <v>0.91587392934801826</v>
      </c>
      <c r="X34" s="45">
        <f>X33/X32</f>
        <v>0.91037775152860201</v>
      </c>
    </row>
    <row r="35" spans="2:24" ht="17.25" customHeight="1">
      <c r="B35" s="211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0.30555555555555552</v>
      </c>
      <c r="N35" s="47">
        <v>0.25</v>
      </c>
      <c r="O35" s="47">
        <v>0.25</v>
      </c>
      <c r="P35" s="46">
        <v>0.73611111111111105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0.73055555555555551</v>
      </c>
      <c r="X35" s="49">
        <v>0.73124999999999996</v>
      </c>
    </row>
    <row r="36" spans="2:24" ht="17.25" customHeight="1">
      <c r="B36" s="212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0.42929398148148135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0.37269675925925921</v>
      </c>
      <c r="N36" s="47">
        <v>0.43229166666666674</v>
      </c>
      <c r="O36" s="47">
        <v>0.4274305555555557</v>
      </c>
      <c r="P36" s="46">
        <v>0.7476273148148147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0.71855324074074078</v>
      </c>
      <c r="W36" s="47">
        <v>1.0511805555555549</v>
      </c>
      <c r="X36" s="49">
        <v>1.0528472222222216</v>
      </c>
    </row>
    <row r="37" spans="2:24" ht="17.25" customHeight="1">
      <c r="B37" s="213" t="s">
        <v>53</v>
      </c>
      <c r="C37" s="214"/>
      <c r="D37" s="57" t="s">
        <v>42</v>
      </c>
      <c r="E37" s="57" t="s">
        <v>42</v>
      </c>
      <c r="F37" s="57" t="s">
        <v>42</v>
      </c>
      <c r="G37" s="57">
        <v>11.166666666666666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3.75</v>
      </c>
      <c r="O37" s="57">
        <v>4.125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</v>
      </c>
      <c r="W37" s="57">
        <v>3.7142857142857144</v>
      </c>
      <c r="X37" s="59">
        <v>4</v>
      </c>
    </row>
    <row r="38" spans="2:24" ht="17.25" customHeight="1">
      <c r="B38" s="213" t="s">
        <v>54</v>
      </c>
      <c r="C38" s="214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13" t="s">
        <v>59</v>
      </c>
      <c r="C39" s="21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5" t="s">
        <v>60</v>
      </c>
      <c r="C40" s="21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8CA40-8CD2-4233-87AA-B083DDC5178C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M39" sqref="M39"/>
      <selection pane="bottomLeft" activeCell="M39" sqref="M39"/>
    </sheetView>
  </sheetViews>
  <sheetFormatPr defaultColWidth="7.109375" defaultRowHeight="15.75"/>
  <cols>
    <col min="1" max="1" width="13.44140625" style="5" customWidth="1"/>
    <col min="2" max="2" width="10.77734375" style="143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60152</v>
      </c>
      <c r="E1" s="86" t="s">
        <v>3</v>
      </c>
      <c r="F1" s="87">
        <f>SUM(G5:G140)</f>
        <v>1207629.0499999996</v>
      </c>
      <c r="G1" s="88" t="s">
        <v>84</v>
      </c>
      <c r="H1" s="89">
        <f>L21+L38+L55+L72+L89+L106+L123+L140</f>
        <v>46.75595238095238</v>
      </c>
      <c r="I1" s="359" t="s">
        <v>85</v>
      </c>
      <c r="J1" s="360"/>
      <c r="K1" s="361"/>
      <c r="L1" s="365" t="s">
        <v>86</v>
      </c>
      <c r="M1" s="366"/>
      <c r="N1" s="367"/>
      <c r="O1" s="360" t="s">
        <v>87</v>
      </c>
      <c r="P1" s="360"/>
      <c r="Q1" s="360"/>
      <c r="R1" s="371"/>
      <c r="S1" s="359" t="s">
        <v>88</v>
      </c>
      <c r="T1" s="360"/>
      <c r="U1" s="360"/>
      <c r="V1" s="360"/>
      <c r="W1" s="360"/>
      <c r="X1" s="371"/>
      <c r="Y1" s="360" t="s">
        <v>89</v>
      </c>
      <c r="Z1" s="360"/>
      <c r="AA1" s="359" t="s">
        <v>90</v>
      </c>
      <c r="AB1" s="374"/>
      <c r="AC1" s="375"/>
    </row>
    <row r="2" spans="1:29" ht="26.25" customHeight="1" thickBot="1">
      <c r="A2" s="352">
        <v>46297</v>
      </c>
      <c r="B2" s="353"/>
      <c r="C2" s="90" t="s">
        <v>40</v>
      </c>
      <c r="D2" s="91">
        <f>AVERAGE(N21,N38,N55,N72,N89,N106,N123,N140)</f>
        <v>653.40137733772019</v>
      </c>
      <c r="E2" s="91" t="s">
        <v>91</v>
      </c>
      <c r="F2" s="92">
        <f>F1/D1</f>
        <v>20.07629089639579</v>
      </c>
      <c r="G2" s="93" t="s">
        <v>92</v>
      </c>
      <c r="H2" s="94">
        <f>COUNT(H5:H140)</f>
        <v>14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93</v>
      </c>
      <c r="B3" s="356" t="s">
        <v>94</v>
      </c>
      <c r="C3" s="326" t="s">
        <v>95</v>
      </c>
      <c r="D3" s="326"/>
      <c r="E3" s="346" t="s">
        <v>96</v>
      </c>
      <c r="F3" s="326" t="s">
        <v>97</v>
      </c>
      <c r="G3" s="346" t="s">
        <v>98</v>
      </c>
      <c r="H3" s="348" t="s">
        <v>99</v>
      </c>
      <c r="I3" s="338" t="s">
        <v>100</v>
      </c>
      <c r="J3" s="334" t="s">
        <v>101</v>
      </c>
      <c r="K3" s="336" t="s">
        <v>40</v>
      </c>
      <c r="L3" s="350" t="s">
        <v>100</v>
      </c>
      <c r="M3" s="334" t="s">
        <v>101</v>
      </c>
      <c r="N3" s="336" t="s">
        <v>40</v>
      </c>
      <c r="O3" s="338" t="s">
        <v>100</v>
      </c>
      <c r="P3" s="340" t="s">
        <v>40</v>
      </c>
      <c r="Q3" s="342" t="s">
        <v>102</v>
      </c>
      <c r="R3" s="344" t="s">
        <v>103</v>
      </c>
      <c r="S3" s="322" t="s">
        <v>104</v>
      </c>
      <c r="T3" s="323"/>
      <c r="U3" s="324" t="s">
        <v>105</v>
      </c>
      <c r="V3" s="324" t="s">
        <v>106</v>
      </c>
      <c r="W3" s="326" t="s">
        <v>107</v>
      </c>
      <c r="X3" s="327"/>
      <c r="Y3" s="328" t="s">
        <v>108</v>
      </c>
      <c r="Z3" s="329"/>
      <c r="AA3" s="332" t="s">
        <v>101</v>
      </c>
      <c r="AB3" s="318" t="s">
        <v>102</v>
      </c>
      <c r="AC3" s="320" t="s">
        <v>109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201" t="s">
        <v>110</v>
      </c>
      <c r="T4" s="202" t="s">
        <v>111</v>
      </c>
      <c r="U4" s="325"/>
      <c r="V4" s="325"/>
      <c r="W4" s="97" t="s">
        <v>112</v>
      </c>
      <c r="X4" s="67" t="s">
        <v>113</v>
      </c>
      <c r="Y4" s="330"/>
      <c r="Z4" s="331"/>
      <c r="AA4" s="333"/>
      <c r="AB4" s="319"/>
      <c r="AC4" s="321"/>
    </row>
    <row r="5" spans="1:29" ht="15.75" customHeight="1">
      <c r="A5" s="315" t="s">
        <v>116</v>
      </c>
      <c r="B5" s="144" t="s">
        <v>114</v>
      </c>
      <c r="C5" s="305" t="s">
        <v>117</v>
      </c>
      <c r="D5" s="306"/>
      <c r="E5" s="145">
        <v>25.64</v>
      </c>
      <c r="F5" s="95">
        <v>932</v>
      </c>
      <c r="G5" s="146">
        <f t="shared" ref="G5:G10" si="0">E5*F5</f>
        <v>23896.48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 t="shared" ref="M5:M10" si="1">F5/V5*60</f>
        <v>3214.7295511531825</v>
      </c>
      <c r="N5" s="150">
        <f t="shared" ref="N5:N10" si="2">M5/L5</f>
        <v>321.47295511531826</v>
      </c>
      <c r="O5" s="152">
        <f t="shared" ref="O5:O10" si="3">L5-I5</f>
        <v>0</v>
      </c>
      <c r="P5" s="153">
        <f t="shared" ref="P5:P10" si="4">N5-K5</f>
        <v>-38.527044884681743</v>
      </c>
      <c r="Q5" s="154">
        <f t="shared" ref="Q5:Q10" si="5">N5/K5</f>
        <v>0.89298043087588408</v>
      </c>
      <c r="R5" s="307">
        <f>Q21</f>
        <v>0.87655473087114155</v>
      </c>
      <c r="S5" s="155">
        <v>0.25</v>
      </c>
      <c r="T5" s="156">
        <v>0.26207175925925924</v>
      </c>
      <c r="U5" s="157"/>
      <c r="V5" s="158">
        <v>17.394931396309985</v>
      </c>
      <c r="W5" s="159"/>
      <c r="X5" s="160"/>
      <c r="Y5" s="310"/>
      <c r="Z5" s="311"/>
      <c r="AA5" s="113">
        <f t="shared" ref="AA5:AA10" si="6">M5-J5</f>
        <v>-385.27044884681754</v>
      </c>
      <c r="AB5" s="154">
        <f t="shared" ref="AB5:AB10" si="7">M5/J5</f>
        <v>0.89298043087588397</v>
      </c>
      <c r="AC5" s="312">
        <f>AB21</f>
        <v>0.87655473087114177</v>
      </c>
    </row>
    <row r="6" spans="1:29" ht="15.75" customHeight="1">
      <c r="A6" s="316"/>
      <c r="B6" s="98" t="s">
        <v>114</v>
      </c>
      <c r="C6" s="297" t="s">
        <v>191</v>
      </c>
      <c r="D6" s="298"/>
      <c r="E6" s="99">
        <v>29.52</v>
      </c>
      <c r="F6" s="100">
        <v>1467</v>
      </c>
      <c r="G6" s="101">
        <f t="shared" si="0"/>
        <v>43305.84</v>
      </c>
      <c r="H6" s="26"/>
      <c r="I6" s="102">
        <v>11</v>
      </c>
      <c r="J6" s="103">
        <v>3600</v>
      </c>
      <c r="K6" s="104">
        <f t="shared" ref="K6:K10" si="8">J6/I6</f>
        <v>327.27272727272725</v>
      </c>
      <c r="L6" s="105">
        <v>11</v>
      </c>
      <c r="M6" s="103">
        <f t="shared" si="1"/>
        <v>3157.8834890742373</v>
      </c>
      <c r="N6" s="104">
        <f t="shared" si="2"/>
        <v>287.08031718856705</v>
      </c>
      <c r="O6" s="106">
        <f t="shared" si="3"/>
        <v>0</v>
      </c>
      <c r="P6" s="107">
        <f t="shared" si="4"/>
        <v>-40.192410084160201</v>
      </c>
      <c r="Q6" s="108">
        <f t="shared" si="5"/>
        <v>0.87718985807617711</v>
      </c>
      <c r="R6" s="308"/>
      <c r="S6" s="46">
        <v>0.26597222222222222</v>
      </c>
      <c r="T6" s="47">
        <v>0.28532407407407406</v>
      </c>
      <c r="U6" s="109">
        <v>5.616666666666692</v>
      </c>
      <c r="V6" s="110">
        <v>27.873099278214308</v>
      </c>
      <c r="W6" s="111"/>
      <c r="X6" s="114"/>
      <c r="Y6" s="299"/>
      <c r="Z6" s="300"/>
      <c r="AA6" s="115">
        <f t="shared" si="6"/>
        <v>-442.11651092576267</v>
      </c>
      <c r="AB6" s="108">
        <f t="shared" si="7"/>
        <v>0.877189858076177</v>
      </c>
      <c r="AC6" s="313"/>
    </row>
    <row r="7" spans="1:29" ht="15.75" customHeight="1">
      <c r="A7" s="316"/>
      <c r="B7" s="98" t="s">
        <v>114</v>
      </c>
      <c r="C7" s="297" t="s">
        <v>192</v>
      </c>
      <c r="D7" s="298"/>
      <c r="E7" s="99">
        <v>29.85</v>
      </c>
      <c r="F7" s="100">
        <v>1711</v>
      </c>
      <c r="G7" s="101">
        <f t="shared" si="0"/>
        <v>51073.350000000006</v>
      </c>
      <c r="H7" s="26"/>
      <c r="I7" s="102">
        <v>11</v>
      </c>
      <c r="J7" s="103">
        <v>3600</v>
      </c>
      <c r="K7" s="104">
        <f t="shared" si="8"/>
        <v>327.27272727272725</v>
      </c>
      <c r="L7" s="105">
        <v>11</v>
      </c>
      <c r="M7" s="103">
        <f t="shared" si="1"/>
        <v>3155.0314377596478</v>
      </c>
      <c r="N7" s="104">
        <f t="shared" si="2"/>
        <v>286.8210397963316</v>
      </c>
      <c r="O7" s="106">
        <f t="shared" si="3"/>
        <v>0</v>
      </c>
      <c r="P7" s="107">
        <f t="shared" si="4"/>
        <v>-40.451687476395648</v>
      </c>
      <c r="Q7" s="108">
        <f t="shared" si="5"/>
        <v>0.8763976215999022</v>
      </c>
      <c r="R7" s="308"/>
      <c r="S7" s="46">
        <v>0.28819444444444442</v>
      </c>
      <c r="T7" s="47">
        <v>0.31078703703703703</v>
      </c>
      <c r="U7" s="109">
        <v>5</v>
      </c>
      <c r="V7" s="110">
        <v>32.538503030859722</v>
      </c>
      <c r="W7" s="111"/>
      <c r="X7" s="114"/>
      <c r="Y7" s="299"/>
      <c r="Z7" s="300"/>
      <c r="AA7" s="115">
        <f t="shared" si="6"/>
        <v>-444.96856224035218</v>
      </c>
      <c r="AB7" s="108">
        <f t="shared" si="7"/>
        <v>0.8763976215999022</v>
      </c>
      <c r="AC7" s="313"/>
    </row>
    <row r="8" spans="1:29" ht="15.75" customHeight="1">
      <c r="A8" s="316"/>
      <c r="B8" s="98" t="s">
        <v>114</v>
      </c>
      <c r="C8" s="297" t="s">
        <v>208</v>
      </c>
      <c r="D8" s="298"/>
      <c r="E8" s="99">
        <v>30</v>
      </c>
      <c r="F8" s="100">
        <v>107</v>
      </c>
      <c r="G8" s="101">
        <f t="shared" si="0"/>
        <v>3210</v>
      </c>
      <c r="H8" s="26"/>
      <c r="I8" s="102">
        <v>11</v>
      </c>
      <c r="J8" s="103">
        <v>3600</v>
      </c>
      <c r="K8" s="104">
        <f t="shared" si="8"/>
        <v>327.27272727272725</v>
      </c>
      <c r="L8" s="105">
        <v>11</v>
      </c>
      <c r="M8" s="103">
        <f t="shared" si="1"/>
        <v>3155.907290250761</v>
      </c>
      <c r="N8" s="104">
        <f t="shared" si="2"/>
        <v>286.90066275006916</v>
      </c>
      <c r="O8" s="106">
        <f t="shared" si="3"/>
        <v>0</v>
      </c>
      <c r="P8" s="107">
        <f t="shared" si="4"/>
        <v>-40.372064522658093</v>
      </c>
      <c r="Q8" s="108">
        <f t="shared" si="5"/>
        <v>0.87664091395854471</v>
      </c>
      <c r="R8" s="308"/>
      <c r="S8" s="46">
        <v>0.31458333333333327</v>
      </c>
      <c r="T8" s="47">
        <v>0.31599537037037029</v>
      </c>
      <c r="U8" s="109">
        <v>5.4666666666665886</v>
      </c>
      <c r="V8" s="110">
        <v>2.0342802907527369</v>
      </c>
      <c r="W8" s="111"/>
      <c r="X8" s="114"/>
      <c r="Y8" s="299"/>
      <c r="Z8" s="300"/>
      <c r="AA8" s="115">
        <f t="shared" si="6"/>
        <v>-444.09270974923902</v>
      </c>
      <c r="AB8" s="108">
        <f t="shared" si="7"/>
        <v>0.87664091395854471</v>
      </c>
      <c r="AC8" s="313"/>
    </row>
    <row r="9" spans="1:29" ht="15.75" customHeight="1">
      <c r="A9" s="316"/>
      <c r="B9" s="98" t="s">
        <v>114</v>
      </c>
      <c r="C9" s="297" t="s">
        <v>224</v>
      </c>
      <c r="D9" s="298"/>
      <c r="E9" s="99">
        <v>30.95</v>
      </c>
      <c r="F9" s="100">
        <v>2461</v>
      </c>
      <c r="G9" s="101">
        <f t="shared" si="0"/>
        <v>76167.95</v>
      </c>
      <c r="H9" s="13"/>
      <c r="I9" s="102">
        <v>12</v>
      </c>
      <c r="J9" s="103">
        <v>3600</v>
      </c>
      <c r="K9" s="104">
        <f t="shared" si="8"/>
        <v>300</v>
      </c>
      <c r="L9" s="105">
        <v>12</v>
      </c>
      <c r="M9" s="103">
        <f t="shared" si="1"/>
        <v>3130.4829628799989</v>
      </c>
      <c r="N9" s="104">
        <f t="shared" si="2"/>
        <v>260.87358023999991</v>
      </c>
      <c r="O9" s="106">
        <f t="shared" si="3"/>
        <v>0</v>
      </c>
      <c r="P9" s="107">
        <f t="shared" si="4"/>
        <v>-39.12641976000009</v>
      </c>
      <c r="Q9" s="108">
        <f t="shared" si="5"/>
        <v>0.86957860079999971</v>
      </c>
      <c r="R9" s="308"/>
      <c r="S9" s="46">
        <v>0.31944444444444436</v>
      </c>
      <c r="T9" s="47">
        <v>0.35219907407407397</v>
      </c>
      <c r="U9" s="109">
        <v>4.9666666666666703</v>
      </c>
      <c r="V9" s="110">
        <v>47.168440700969335</v>
      </c>
      <c r="W9" s="111"/>
      <c r="X9" s="114"/>
      <c r="Y9" s="299"/>
      <c r="Z9" s="300"/>
      <c r="AA9" s="115">
        <f t="shared" si="6"/>
        <v>-469.51703712000108</v>
      </c>
      <c r="AB9" s="108">
        <f t="shared" si="7"/>
        <v>0.86957860079999971</v>
      </c>
      <c r="AC9" s="313"/>
    </row>
    <row r="10" spans="1:29" ht="15.75" customHeight="1">
      <c r="A10" s="316"/>
      <c r="B10" s="98" t="s">
        <v>118</v>
      </c>
      <c r="C10" s="297" t="s">
        <v>119</v>
      </c>
      <c r="D10" s="298"/>
      <c r="E10" s="99">
        <v>28.57</v>
      </c>
      <c r="F10" s="100">
        <v>555</v>
      </c>
      <c r="G10" s="119">
        <f t="shared" si="0"/>
        <v>15856.35</v>
      </c>
      <c r="H10" s="120"/>
      <c r="I10" s="102">
        <v>12</v>
      </c>
      <c r="J10" s="103">
        <v>3600</v>
      </c>
      <c r="K10" s="104">
        <f t="shared" si="8"/>
        <v>300</v>
      </c>
      <c r="L10" s="105">
        <v>12</v>
      </c>
      <c r="M10" s="103">
        <f t="shared" si="1"/>
        <v>3119.5474556988343</v>
      </c>
      <c r="N10" s="104">
        <f t="shared" si="2"/>
        <v>259.96228797490284</v>
      </c>
      <c r="O10" s="106">
        <f t="shared" si="3"/>
        <v>0</v>
      </c>
      <c r="P10" s="107">
        <f t="shared" si="4"/>
        <v>-40.037712025097164</v>
      </c>
      <c r="Q10" s="108">
        <f t="shared" si="5"/>
        <v>0.86654095991634283</v>
      </c>
      <c r="R10" s="308"/>
      <c r="S10" s="46">
        <v>0.35555555555555546</v>
      </c>
      <c r="T10" s="118">
        <v>0.36296296296296288</v>
      </c>
      <c r="U10" s="109">
        <v>4.8333333333333428</v>
      </c>
      <c r="V10" s="110">
        <v>10.674625237441758</v>
      </c>
      <c r="W10" s="111"/>
      <c r="X10" s="114"/>
      <c r="Y10" s="299"/>
      <c r="Z10" s="300"/>
      <c r="AA10" s="115">
        <f t="shared" si="6"/>
        <v>-480.45254430116574</v>
      </c>
      <c r="AB10" s="108">
        <f t="shared" si="7"/>
        <v>0.86654095991634283</v>
      </c>
      <c r="AC10" s="313"/>
    </row>
    <row r="11" spans="1:29" ht="15.75" customHeight="1">
      <c r="A11" s="316"/>
      <c r="B11" s="98"/>
      <c r="C11" s="297"/>
      <c r="D11" s="298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8"/>
      <c r="S11" s="46"/>
      <c r="T11" s="118"/>
      <c r="U11" s="109"/>
      <c r="V11" s="110"/>
      <c r="W11" s="111"/>
      <c r="X11" s="114"/>
      <c r="Y11" s="299"/>
      <c r="Z11" s="300"/>
      <c r="AA11" s="115"/>
      <c r="AB11" s="108"/>
      <c r="AC11" s="313"/>
    </row>
    <row r="12" spans="1:29" ht="15.75" customHeight="1">
      <c r="A12" s="316"/>
      <c r="B12" s="98"/>
      <c r="C12" s="297"/>
      <c r="D12" s="298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8"/>
      <c r="S12" s="46"/>
      <c r="T12" s="118"/>
      <c r="U12" s="109"/>
      <c r="V12" s="110"/>
      <c r="W12" s="111"/>
      <c r="X12" s="114"/>
      <c r="Y12" s="299"/>
      <c r="Z12" s="300"/>
      <c r="AA12" s="115"/>
      <c r="AB12" s="108"/>
      <c r="AC12" s="313"/>
    </row>
    <row r="13" spans="1:29" ht="15.75" customHeight="1">
      <c r="A13" s="316"/>
      <c r="B13" s="98"/>
      <c r="C13" s="297"/>
      <c r="D13" s="298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8"/>
      <c r="S13" s="46"/>
      <c r="T13" s="118"/>
      <c r="U13" s="109"/>
      <c r="V13" s="110"/>
      <c r="W13" s="111"/>
      <c r="X13" s="125"/>
      <c r="Y13" s="299"/>
      <c r="Z13" s="300"/>
      <c r="AA13" s="115"/>
      <c r="AB13" s="108"/>
      <c r="AC13" s="313"/>
    </row>
    <row r="14" spans="1:29" ht="15.75" customHeight="1">
      <c r="A14" s="316"/>
      <c r="B14" s="98"/>
      <c r="C14" s="297"/>
      <c r="D14" s="298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8"/>
      <c r="S14" s="46"/>
      <c r="T14" s="118"/>
      <c r="U14" s="109"/>
      <c r="V14" s="110"/>
      <c r="W14" s="111"/>
      <c r="X14" s="125"/>
      <c r="Y14" s="299"/>
      <c r="Z14" s="300"/>
      <c r="AA14" s="115"/>
      <c r="AB14" s="108"/>
      <c r="AC14" s="313"/>
    </row>
    <row r="15" spans="1:29" ht="15.75" customHeight="1">
      <c r="A15" s="316"/>
      <c r="B15" s="98"/>
      <c r="C15" s="297"/>
      <c r="D15" s="298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8"/>
      <c r="S15" s="46"/>
      <c r="T15" s="118"/>
      <c r="U15" s="109"/>
      <c r="V15" s="110"/>
      <c r="W15" s="111"/>
      <c r="X15" s="125"/>
      <c r="Y15" s="299"/>
      <c r="Z15" s="300"/>
      <c r="AA15" s="115"/>
      <c r="AB15" s="108"/>
      <c r="AC15" s="313"/>
    </row>
    <row r="16" spans="1:29" ht="15.75" customHeight="1">
      <c r="A16" s="316"/>
      <c r="B16" s="98"/>
      <c r="C16" s="297"/>
      <c r="D16" s="298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8"/>
      <c r="S16" s="46"/>
      <c r="T16" s="118"/>
      <c r="U16" s="109"/>
      <c r="V16" s="110"/>
      <c r="W16" s="111"/>
      <c r="X16" s="125"/>
      <c r="Y16" s="299"/>
      <c r="Z16" s="300"/>
      <c r="AA16" s="115"/>
      <c r="AB16" s="108"/>
      <c r="AC16" s="313"/>
    </row>
    <row r="17" spans="1:29" ht="15.75" customHeight="1">
      <c r="A17" s="316"/>
      <c r="B17" s="98"/>
      <c r="C17" s="297"/>
      <c r="D17" s="298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8"/>
      <c r="S17" s="46"/>
      <c r="T17" s="118"/>
      <c r="U17" s="109"/>
      <c r="V17" s="110"/>
      <c r="W17" s="111"/>
      <c r="X17" s="125"/>
      <c r="Y17" s="299"/>
      <c r="Z17" s="300"/>
      <c r="AA17" s="115"/>
      <c r="AB17" s="108"/>
      <c r="AC17" s="313"/>
    </row>
    <row r="18" spans="1:29" ht="15.75" customHeight="1">
      <c r="A18" s="316"/>
      <c r="B18" s="98"/>
      <c r="C18" s="297"/>
      <c r="D18" s="298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8"/>
      <c r="S18" s="46"/>
      <c r="T18" s="118"/>
      <c r="U18" s="109"/>
      <c r="V18" s="110"/>
      <c r="W18" s="111"/>
      <c r="X18" s="125"/>
      <c r="Y18" s="299"/>
      <c r="Z18" s="300"/>
      <c r="AA18" s="115"/>
      <c r="AB18" s="108"/>
      <c r="AC18" s="313"/>
    </row>
    <row r="19" spans="1:29" ht="15.75" customHeight="1">
      <c r="A19" s="316"/>
      <c r="B19" s="98"/>
      <c r="C19" s="297"/>
      <c r="D19" s="298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8"/>
      <c r="S19" s="46"/>
      <c r="T19" s="118"/>
      <c r="U19" s="109"/>
      <c r="V19" s="110"/>
      <c r="W19" s="111"/>
      <c r="X19" s="125"/>
      <c r="Y19" s="299"/>
      <c r="Z19" s="300"/>
      <c r="AA19" s="115"/>
      <c r="AB19" s="108"/>
      <c r="AC19" s="313"/>
    </row>
    <row r="20" spans="1:29" ht="15.75" customHeight="1">
      <c r="A20" s="316"/>
      <c r="B20" s="161"/>
      <c r="C20" s="297"/>
      <c r="D20" s="298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8"/>
      <c r="S20" s="117"/>
      <c r="T20" s="118"/>
      <c r="U20" s="128"/>
      <c r="V20" s="129"/>
      <c r="W20" s="124"/>
      <c r="X20" s="125"/>
      <c r="Y20" s="299"/>
      <c r="Z20" s="300"/>
      <c r="AA20" s="163"/>
      <c r="AB20" s="123"/>
      <c r="AC20" s="313"/>
    </row>
    <row r="21" spans="1:29" ht="15.75" customHeight="1" thickBot="1">
      <c r="A21" s="317"/>
      <c r="B21" s="131" t="s">
        <v>115</v>
      </c>
      <c r="C21" s="294"/>
      <c r="D21" s="294"/>
      <c r="E21" s="132"/>
      <c r="F21" s="165"/>
      <c r="G21" s="133"/>
      <c r="H21" s="67"/>
      <c r="I21" s="134">
        <f t="shared" ref="I21:J21" si="9">AVERAGE(I5:I20)</f>
        <v>11.166666666666666</v>
      </c>
      <c r="J21" s="135">
        <f t="shared" si="9"/>
        <v>3600</v>
      </c>
      <c r="K21" s="136">
        <f t="shared" ref="K21" si="10">J21/I21</f>
        <v>322.38805970149258</v>
      </c>
      <c r="L21" s="134">
        <f t="shared" ref="L21:M21" si="11">AVERAGE(L5:L20)</f>
        <v>11.166666666666666</v>
      </c>
      <c r="M21" s="135">
        <f t="shared" si="11"/>
        <v>3155.5970311361102</v>
      </c>
      <c r="N21" s="136">
        <f>M21/L21</f>
        <v>282.59077890771135</v>
      </c>
      <c r="O21" s="137">
        <f>L21-I21</f>
        <v>0</v>
      </c>
      <c r="P21" s="138">
        <f>N21-K21</f>
        <v>-39.797280793781226</v>
      </c>
      <c r="Q21" s="139">
        <f>N21/K21</f>
        <v>0.87655473087114155</v>
      </c>
      <c r="R21" s="309"/>
      <c r="S21" s="140">
        <v>0.25</v>
      </c>
      <c r="T21" s="141">
        <v>0.42929398148148135</v>
      </c>
      <c r="U21" s="142"/>
      <c r="V21" s="164"/>
      <c r="W21" s="165"/>
      <c r="X21" s="136"/>
      <c r="Y21" s="295"/>
      <c r="Z21" s="296"/>
      <c r="AA21" s="166">
        <f>M21-J21</f>
        <v>-444.40296886388978</v>
      </c>
      <c r="AB21" s="139">
        <f>M21/J21</f>
        <v>0.87655473087114177</v>
      </c>
      <c r="AC21" s="314"/>
    </row>
    <row r="22" spans="1:29" ht="15.75" customHeight="1">
      <c r="A22" s="301" t="s">
        <v>121</v>
      </c>
      <c r="B22" s="112" t="s">
        <v>118</v>
      </c>
      <c r="C22" s="305" t="s">
        <v>182</v>
      </c>
      <c r="D22" s="306"/>
      <c r="E22" s="145">
        <v>18.53</v>
      </c>
      <c r="F22" s="95">
        <v>1064</v>
      </c>
      <c r="G22" s="146">
        <f t="shared" ref="G22:G23" si="12">E22*F22</f>
        <v>19715.920000000002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3072.8571850421617</v>
      </c>
      <c r="N22" s="150">
        <f>M22/L22</f>
        <v>1024.2857283473872</v>
      </c>
      <c r="O22" s="152">
        <f>L22-I22</f>
        <v>0</v>
      </c>
      <c r="P22" s="153">
        <f>N22-K22</f>
        <v>-75.714271652612751</v>
      </c>
      <c r="Q22" s="154">
        <f>N22/K22</f>
        <v>0.93116884395217026</v>
      </c>
      <c r="R22" s="307">
        <f>Q38</f>
        <v>0.91032208331866216</v>
      </c>
      <c r="S22" s="155">
        <v>0.30555555555555552</v>
      </c>
      <c r="T22" s="156">
        <v>0.31997685185185182</v>
      </c>
      <c r="U22" s="157"/>
      <c r="V22" s="110">
        <v>20.775452992334255</v>
      </c>
      <c r="W22" s="159"/>
      <c r="X22" s="160"/>
      <c r="Y22" s="310"/>
      <c r="Z22" s="311"/>
      <c r="AA22" s="113">
        <f>M22-J22</f>
        <v>-227.14281495783825</v>
      </c>
      <c r="AB22" s="154">
        <f>M22/J22</f>
        <v>0.93116884395217026</v>
      </c>
      <c r="AC22" s="312">
        <f>AB38</f>
        <v>0.91032208331866216</v>
      </c>
    </row>
    <row r="23" spans="1:29" ht="15.75" customHeight="1">
      <c r="A23" s="302"/>
      <c r="B23" s="98" t="s">
        <v>118</v>
      </c>
      <c r="C23" s="297" t="s">
        <v>225</v>
      </c>
      <c r="D23" s="298"/>
      <c r="E23" s="99">
        <v>22.95</v>
      </c>
      <c r="F23" s="100">
        <v>2815</v>
      </c>
      <c r="G23" s="101">
        <f t="shared" si="12"/>
        <v>64604.25</v>
      </c>
      <c r="H23" s="26"/>
      <c r="I23" s="102">
        <v>5</v>
      </c>
      <c r="J23" s="103">
        <v>2700</v>
      </c>
      <c r="K23" s="104">
        <f t="shared" ref="K23" si="13">J23/I23</f>
        <v>540</v>
      </c>
      <c r="L23" s="105">
        <v>5</v>
      </c>
      <c r="M23" s="103">
        <f>F23/V23*60</f>
        <v>2389.0753148698109</v>
      </c>
      <c r="N23" s="104">
        <f>M23/L23</f>
        <v>477.8150629739622</v>
      </c>
      <c r="O23" s="106">
        <f>L23-I23</f>
        <v>0</v>
      </c>
      <c r="P23" s="107">
        <f>N23-K23</f>
        <v>-62.184937026037801</v>
      </c>
      <c r="Q23" s="108">
        <f>N23/K23</f>
        <v>0.88484270921104113</v>
      </c>
      <c r="R23" s="308"/>
      <c r="S23" s="46">
        <v>0.32361111111111107</v>
      </c>
      <c r="T23" s="47">
        <v>0.37269675925925921</v>
      </c>
      <c r="U23" s="109">
        <v>5.2333333333333254</v>
      </c>
      <c r="V23" s="110">
        <v>70.696808488519309</v>
      </c>
      <c r="W23" s="111"/>
      <c r="X23" s="114"/>
      <c r="Y23" s="299"/>
      <c r="Z23" s="300"/>
      <c r="AA23" s="115">
        <f>M23-J23</f>
        <v>-310.92468513018912</v>
      </c>
      <c r="AB23" s="108">
        <f>M23/J23</f>
        <v>0.88484270921104102</v>
      </c>
      <c r="AC23" s="313"/>
    </row>
    <row r="24" spans="1:29" ht="15.75" customHeight="1">
      <c r="A24" s="302"/>
      <c r="B24" s="98"/>
      <c r="C24" s="297"/>
      <c r="D24" s="298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08"/>
      <c r="S24" s="46"/>
      <c r="T24" s="47"/>
      <c r="U24" s="109"/>
      <c r="V24" s="110"/>
      <c r="W24" s="111"/>
      <c r="X24" s="114"/>
      <c r="Y24" s="299"/>
      <c r="Z24" s="300"/>
      <c r="AA24" s="115"/>
      <c r="AB24" s="108"/>
      <c r="AC24" s="313"/>
    </row>
    <row r="25" spans="1:29" ht="15.75" customHeight="1">
      <c r="A25" s="302"/>
      <c r="B25" s="98"/>
      <c r="C25" s="297"/>
      <c r="D25" s="298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8"/>
      <c r="S25" s="46"/>
      <c r="T25" s="47"/>
      <c r="U25" s="109"/>
      <c r="V25" s="110"/>
      <c r="W25" s="111"/>
      <c r="X25" s="114"/>
      <c r="Y25" s="299"/>
      <c r="Z25" s="300"/>
      <c r="AA25" s="115"/>
      <c r="AB25" s="108"/>
      <c r="AC25" s="313"/>
    </row>
    <row r="26" spans="1:29" ht="15.75" customHeight="1">
      <c r="A26" s="303"/>
      <c r="B26" s="98"/>
      <c r="C26" s="297"/>
      <c r="D26" s="298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8"/>
      <c r="S26" s="46"/>
      <c r="T26" s="47"/>
      <c r="U26" s="109"/>
      <c r="V26" s="110"/>
      <c r="W26" s="111"/>
      <c r="X26" s="114"/>
      <c r="Y26" s="299"/>
      <c r="Z26" s="300"/>
      <c r="AA26" s="115"/>
      <c r="AB26" s="108"/>
      <c r="AC26" s="313"/>
    </row>
    <row r="27" spans="1:29" ht="15.75" customHeight="1">
      <c r="A27" s="303"/>
      <c r="B27" s="98"/>
      <c r="C27" s="297"/>
      <c r="D27" s="298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8"/>
      <c r="S27" s="46"/>
      <c r="T27" s="118"/>
      <c r="U27" s="109"/>
      <c r="V27" s="110"/>
      <c r="W27" s="111"/>
      <c r="X27" s="114"/>
      <c r="Y27" s="299"/>
      <c r="Z27" s="300"/>
      <c r="AA27" s="115"/>
      <c r="AB27" s="108"/>
      <c r="AC27" s="313"/>
    </row>
    <row r="28" spans="1:29" ht="15.75" customHeight="1">
      <c r="A28" s="303"/>
      <c r="B28" s="98"/>
      <c r="C28" s="297"/>
      <c r="D28" s="298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8"/>
      <c r="S28" s="46"/>
      <c r="T28" s="118"/>
      <c r="U28" s="109"/>
      <c r="V28" s="110"/>
      <c r="W28" s="111"/>
      <c r="X28" s="114"/>
      <c r="Y28" s="299"/>
      <c r="Z28" s="300"/>
      <c r="AA28" s="115"/>
      <c r="AB28" s="108"/>
      <c r="AC28" s="313"/>
    </row>
    <row r="29" spans="1:29" ht="15.75" customHeight="1">
      <c r="A29" s="303"/>
      <c r="B29" s="98"/>
      <c r="C29" s="297"/>
      <c r="D29" s="298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8"/>
      <c r="S29" s="46"/>
      <c r="T29" s="118"/>
      <c r="U29" s="109"/>
      <c r="V29" s="110"/>
      <c r="W29" s="111"/>
      <c r="X29" s="114"/>
      <c r="Y29" s="299"/>
      <c r="Z29" s="300"/>
      <c r="AA29" s="115"/>
      <c r="AB29" s="108"/>
      <c r="AC29" s="313"/>
    </row>
    <row r="30" spans="1:29" ht="15.75" customHeight="1">
      <c r="A30" s="303"/>
      <c r="B30" s="98"/>
      <c r="C30" s="297"/>
      <c r="D30" s="298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8"/>
      <c r="S30" s="46"/>
      <c r="T30" s="118"/>
      <c r="U30" s="109"/>
      <c r="V30" s="110"/>
      <c r="W30" s="111"/>
      <c r="X30" s="114"/>
      <c r="Y30" s="299"/>
      <c r="Z30" s="300"/>
      <c r="AA30" s="115"/>
      <c r="AB30" s="108"/>
      <c r="AC30" s="313"/>
    </row>
    <row r="31" spans="1:29" ht="15.75" customHeight="1">
      <c r="A31" s="303"/>
      <c r="B31" s="98"/>
      <c r="C31" s="297"/>
      <c r="D31" s="298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8"/>
      <c r="S31" s="46"/>
      <c r="T31" s="118"/>
      <c r="U31" s="109"/>
      <c r="V31" s="110"/>
      <c r="W31" s="111"/>
      <c r="X31" s="114"/>
      <c r="Y31" s="299"/>
      <c r="Z31" s="300"/>
      <c r="AA31" s="115"/>
      <c r="AB31" s="108"/>
      <c r="AC31" s="313"/>
    </row>
    <row r="32" spans="1:29" ht="15.75" customHeight="1">
      <c r="A32" s="303"/>
      <c r="B32" s="98"/>
      <c r="C32" s="297"/>
      <c r="D32" s="298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8"/>
      <c r="S32" s="46"/>
      <c r="T32" s="118"/>
      <c r="U32" s="109"/>
      <c r="V32" s="110"/>
      <c r="W32" s="111"/>
      <c r="X32" s="114"/>
      <c r="Y32" s="299"/>
      <c r="Z32" s="300"/>
      <c r="AA32" s="115"/>
      <c r="AB32" s="108"/>
      <c r="AC32" s="313"/>
    </row>
    <row r="33" spans="1:29" ht="15.75" customHeight="1">
      <c r="A33" s="303"/>
      <c r="B33" s="98"/>
      <c r="C33" s="297"/>
      <c r="D33" s="298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8"/>
      <c r="S33" s="46"/>
      <c r="T33" s="118"/>
      <c r="U33" s="109"/>
      <c r="V33" s="110"/>
      <c r="W33" s="111"/>
      <c r="X33" s="114"/>
      <c r="Y33" s="299"/>
      <c r="Z33" s="300"/>
      <c r="AA33" s="115"/>
      <c r="AB33" s="108"/>
      <c r="AC33" s="313"/>
    </row>
    <row r="34" spans="1:29" ht="15.75" customHeight="1">
      <c r="A34" s="303"/>
      <c r="B34" s="98"/>
      <c r="C34" s="297"/>
      <c r="D34" s="298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8"/>
      <c r="S34" s="46"/>
      <c r="T34" s="118"/>
      <c r="U34" s="109"/>
      <c r="V34" s="110"/>
      <c r="W34" s="111"/>
      <c r="X34" s="114"/>
      <c r="Y34" s="299"/>
      <c r="Z34" s="300"/>
      <c r="AA34" s="115"/>
      <c r="AB34" s="108"/>
      <c r="AC34" s="313"/>
    </row>
    <row r="35" spans="1:29" ht="15.75" customHeight="1">
      <c r="A35" s="303"/>
      <c r="B35" s="98"/>
      <c r="C35" s="297"/>
      <c r="D35" s="298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8"/>
      <c r="S35" s="46"/>
      <c r="T35" s="118"/>
      <c r="U35" s="109"/>
      <c r="V35" s="110"/>
      <c r="W35" s="111"/>
      <c r="X35" s="114"/>
      <c r="Y35" s="299"/>
      <c r="Z35" s="300"/>
      <c r="AA35" s="115"/>
      <c r="AB35" s="108"/>
      <c r="AC35" s="313"/>
    </row>
    <row r="36" spans="1:29" ht="15.75" customHeight="1">
      <c r="A36" s="303"/>
      <c r="B36" s="98"/>
      <c r="C36" s="297"/>
      <c r="D36" s="298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8"/>
      <c r="S36" s="46"/>
      <c r="T36" s="118"/>
      <c r="U36" s="109"/>
      <c r="V36" s="110"/>
      <c r="W36" s="111"/>
      <c r="X36" s="114"/>
      <c r="Y36" s="299"/>
      <c r="Z36" s="300"/>
      <c r="AA36" s="115"/>
      <c r="AB36" s="108"/>
      <c r="AC36" s="313"/>
    </row>
    <row r="37" spans="1:29" ht="15.75" customHeight="1">
      <c r="A37" s="303"/>
      <c r="B37" s="98"/>
      <c r="C37" s="297"/>
      <c r="D37" s="298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8"/>
      <c r="S37" s="117"/>
      <c r="T37" s="118"/>
      <c r="U37" s="128"/>
      <c r="V37" s="129"/>
      <c r="W37" s="124"/>
      <c r="X37" s="125"/>
      <c r="Y37" s="299"/>
      <c r="Z37" s="300"/>
      <c r="AA37" s="163"/>
      <c r="AB37" s="123"/>
      <c r="AC37" s="313"/>
    </row>
    <row r="38" spans="1:29" ht="15.75" customHeight="1" thickBot="1">
      <c r="A38" s="304"/>
      <c r="B38" s="131" t="s">
        <v>115</v>
      </c>
      <c r="C38" s="294"/>
      <c r="D38" s="294"/>
      <c r="E38" s="132"/>
      <c r="F38" s="97"/>
      <c r="G38" s="133"/>
      <c r="H38" s="67"/>
      <c r="I38" s="134">
        <f t="shared" ref="I38:J38" si="14">AVERAGE(I22:I37)</f>
        <v>4</v>
      </c>
      <c r="J38" s="135">
        <f t="shared" si="14"/>
        <v>3000</v>
      </c>
      <c r="K38" s="136">
        <f t="shared" ref="K38" si="15">J38/I38</f>
        <v>750</v>
      </c>
      <c r="L38" s="134">
        <f t="shared" ref="L38:M38" si="16">AVERAGE(L22:L37)</f>
        <v>4</v>
      </c>
      <c r="M38" s="135">
        <f t="shared" si="16"/>
        <v>2730.9662499559863</v>
      </c>
      <c r="N38" s="136">
        <f t="shared" ref="N38:N46" si="17">M38/L38</f>
        <v>682.74156248899658</v>
      </c>
      <c r="O38" s="137">
        <f t="shared" ref="O38:O46" si="18">L38-I38</f>
        <v>0</v>
      </c>
      <c r="P38" s="138">
        <f t="shared" ref="P38:P46" si="19">N38-K38</f>
        <v>-67.258437511003422</v>
      </c>
      <c r="Q38" s="139">
        <f t="shared" ref="Q38:Q46" si="20">N38/K38</f>
        <v>0.91032208331866216</v>
      </c>
      <c r="R38" s="309"/>
      <c r="S38" s="140">
        <v>0.30555555555555552</v>
      </c>
      <c r="T38" s="141">
        <v>0.37269675925925921</v>
      </c>
      <c r="U38" s="142"/>
      <c r="V38" s="164"/>
      <c r="W38" s="97"/>
      <c r="X38" s="67"/>
      <c r="Y38" s="295"/>
      <c r="Z38" s="296"/>
      <c r="AA38" s="166">
        <f t="shared" ref="AA38:AA46" si="21">M38-J38</f>
        <v>-269.03375004401369</v>
      </c>
      <c r="AB38" s="139">
        <f t="shared" ref="AB38:AB46" si="22">M38/J38</f>
        <v>0.91032208331866216</v>
      </c>
      <c r="AC38" s="314"/>
    </row>
    <row r="39" spans="1:29" ht="15.75" customHeight="1">
      <c r="A39" s="315" t="s">
        <v>71</v>
      </c>
      <c r="B39" s="112" t="s">
        <v>118</v>
      </c>
      <c r="C39" s="305" t="s">
        <v>129</v>
      </c>
      <c r="D39" s="306"/>
      <c r="E39" s="145">
        <v>24.82</v>
      </c>
      <c r="F39" s="95">
        <v>483</v>
      </c>
      <c r="G39" s="146">
        <f t="shared" ref="G39:G46" si="23">E39*F39</f>
        <v>11988.06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6" si="24">F39/V39*60</f>
        <v>3278.870709427244</v>
      </c>
      <c r="N39" s="150">
        <f t="shared" si="17"/>
        <v>655.77414188544878</v>
      </c>
      <c r="O39" s="152">
        <f t="shared" si="18"/>
        <v>0</v>
      </c>
      <c r="P39" s="153">
        <f t="shared" si="19"/>
        <v>-64.225858114551215</v>
      </c>
      <c r="Q39" s="154">
        <f t="shared" si="20"/>
        <v>0.91079741928534552</v>
      </c>
      <c r="R39" s="307">
        <f>Q55</f>
        <v>0.9177926239634191</v>
      </c>
      <c r="S39" s="155">
        <v>0.25</v>
      </c>
      <c r="T39" s="156">
        <v>0.25613425925925926</v>
      </c>
      <c r="U39" s="157"/>
      <c r="V39" s="158">
        <v>8.838408881654944</v>
      </c>
      <c r="W39" s="159"/>
      <c r="X39" s="160"/>
      <c r="Y39" s="310"/>
      <c r="Z39" s="311"/>
      <c r="AA39" s="113">
        <f t="shared" si="21"/>
        <v>-321.12929057275596</v>
      </c>
      <c r="AB39" s="154">
        <f t="shared" si="22"/>
        <v>0.91079741928534552</v>
      </c>
      <c r="AC39" s="312">
        <f>AB55</f>
        <v>0.91779262396341899</v>
      </c>
    </row>
    <row r="40" spans="1:29" ht="15.75" customHeight="1">
      <c r="A40" s="316"/>
      <c r="B40" s="98" t="s">
        <v>118</v>
      </c>
      <c r="C40" s="297" t="s">
        <v>128</v>
      </c>
      <c r="D40" s="298"/>
      <c r="E40" s="99">
        <v>25.03</v>
      </c>
      <c r="F40" s="100">
        <v>386</v>
      </c>
      <c r="G40" s="101">
        <f t="shared" si="23"/>
        <v>9661.58</v>
      </c>
      <c r="H40" s="26"/>
      <c r="I40" s="102">
        <v>5</v>
      </c>
      <c r="J40" s="103">
        <v>3600</v>
      </c>
      <c r="K40" s="104">
        <f t="shared" ref="K40:K63" si="25">J40/I40</f>
        <v>720</v>
      </c>
      <c r="L40" s="105">
        <v>5</v>
      </c>
      <c r="M40" s="103">
        <f t="shared" si="24"/>
        <v>3279.2802014957888</v>
      </c>
      <c r="N40" s="104">
        <f t="shared" si="17"/>
        <v>655.85604029915771</v>
      </c>
      <c r="O40" s="106">
        <f t="shared" si="18"/>
        <v>0</v>
      </c>
      <c r="P40" s="107">
        <f t="shared" si="19"/>
        <v>-64.143959700842288</v>
      </c>
      <c r="Q40" s="108">
        <f t="shared" si="20"/>
        <v>0.91091116708216346</v>
      </c>
      <c r="R40" s="308"/>
      <c r="S40" s="46">
        <v>0.26527777777777778</v>
      </c>
      <c r="T40" s="47">
        <v>0.2701736111111111</v>
      </c>
      <c r="U40" s="109">
        <v>13.166666666666673</v>
      </c>
      <c r="V40" s="110">
        <v>7.0625254863661704</v>
      </c>
      <c r="W40" s="111"/>
      <c r="X40" s="114"/>
      <c r="Y40" s="299"/>
      <c r="Z40" s="300"/>
      <c r="AA40" s="115">
        <f t="shared" si="21"/>
        <v>-320.71979850421121</v>
      </c>
      <c r="AB40" s="108">
        <f t="shared" si="22"/>
        <v>0.91091116708216358</v>
      </c>
      <c r="AC40" s="313"/>
    </row>
    <row r="41" spans="1:29" ht="15.75" customHeight="1">
      <c r="A41" s="316"/>
      <c r="B41" s="98" t="s">
        <v>118</v>
      </c>
      <c r="C41" s="297" t="s">
        <v>219</v>
      </c>
      <c r="D41" s="298"/>
      <c r="E41" s="99">
        <v>23.8</v>
      </c>
      <c r="F41" s="100">
        <v>417</v>
      </c>
      <c r="G41" s="101">
        <f t="shared" si="23"/>
        <v>9924.6</v>
      </c>
      <c r="H41" s="26"/>
      <c r="I41" s="102">
        <v>4</v>
      </c>
      <c r="J41" s="103">
        <v>3600</v>
      </c>
      <c r="K41" s="104">
        <f t="shared" si="25"/>
        <v>900</v>
      </c>
      <c r="L41" s="105">
        <v>4</v>
      </c>
      <c r="M41" s="103">
        <f t="shared" si="24"/>
        <v>3274.4722940382917</v>
      </c>
      <c r="N41" s="104">
        <f t="shared" si="17"/>
        <v>818.61807350957292</v>
      </c>
      <c r="O41" s="106">
        <f t="shared" si="18"/>
        <v>0</v>
      </c>
      <c r="P41" s="107">
        <f t="shared" si="19"/>
        <v>-81.381926490427077</v>
      </c>
      <c r="Q41" s="108">
        <f t="shared" si="20"/>
        <v>0.90957563723285884</v>
      </c>
      <c r="R41" s="308"/>
      <c r="S41" s="46">
        <v>0.27986111111111112</v>
      </c>
      <c r="T41" s="47">
        <v>0.28516203703703702</v>
      </c>
      <c r="U41" s="109">
        <v>13.950000000000022</v>
      </c>
      <c r="V41" s="110">
        <v>7.6409258510304001</v>
      </c>
      <c r="W41" s="111"/>
      <c r="X41" s="114"/>
      <c r="Y41" s="299"/>
      <c r="Z41" s="300"/>
      <c r="AA41" s="115">
        <f t="shared" si="21"/>
        <v>-325.52770596170831</v>
      </c>
      <c r="AB41" s="108">
        <f t="shared" si="22"/>
        <v>0.90957563723285884</v>
      </c>
      <c r="AC41" s="313"/>
    </row>
    <row r="42" spans="1:29" ht="15.75" customHeight="1">
      <c r="A42" s="316"/>
      <c r="B42" s="98" t="s">
        <v>118</v>
      </c>
      <c r="C42" s="297" t="s">
        <v>207</v>
      </c>
      <c r="D42" s="298"/>
      <c r="E42" s="99">
        <v>30</v>
      </c>
      <c r="F42" s="100">
        <v>406</v>
      </c>
      <c r="G42" s="101">
        <f t="shared" si="23"/>
        <v>12180</v>
      </c>
      <c r="H42" s="26"/>
      <c r="I42" s="102">
        <v>4</v>
      </c>
      <c r="J42" s="103">
        <v>3300</v>
      </c>
      <c r="K42" s="104">
        <f t="shared" si="25"/>
        <v>825</v>
      </c>
      <c r="L42" s="105">
        <v>4</v>
      </c>
      <c r="M42" s="103">
        <f t="shared" si="24"/>
        <v>3075.0312781355447</v>
      </c>
      <c r="N42" s="104">
        <f t="shared" si="17"/>
        <v>768.75781953388616</v>
      </c>
      <c r="O42" s="106">
        <f t="shared" si="18"/>
        <v>0</v>
      </c>
      <c r="P42" s="107">
        <f t="shared" si="19"/>
        <v>-56.242180466113837</v>
      </c>
      <c r="Q42" s="108">
        <f t="shared" si="20"/>
        <v>0.93182766004107409</v>
      </c>
      <c r="R42" s="308"/>
      <c r="S42" s="46">
        <v>0.29444444444444445</v>
      </c>
      <c r="T42" s="47">
        <v>0.29994212962962963</v>
      </c>
      <c r="U42" s="109">
        <v>13.366666666666704</v>
      </c>
      <c r="V42" s="110">
        <v>7.921870640213446</v>
      </c>
      <c r="W42" s="111"/>
      <c r="X42" s="114"/>
      <c r="Y42" s="299"/>
      <c r="Z42" s="300"/>
      <c r="AA42" s="115">
        <f t="shared" si="21"/>
        <v>-224.96872186445535</v>
      </c>
      <c r="AB42" s="108">
        <f t="shared" si="22"/>
        <v>0.93182766004107409</v>
      </c>
      <c r="AC42" s="313"/>
    </row>
    <row r="43" spans="1:29" ht="15.75" customHeight="1">
      <c r="A43" s="316"/>
      <c r="B43" s="98" t="s">
        <v>118</v>
      </c>
      <c r="C43" s="297" t="s">
        <v>124</v>
      </c>
      <c r="D43" s="298"/>
      <c r="E43" s="99">
        <v>18.18</v>
      </c>
      <c r="F43" s="100">
        <v>624</v>
      </c>
      <c r="G43" s="101">
        <f t="shared" si="23"/>
        <v>11344.32</v>
      </c>
      <c r="H43" s="13"/>
      <c r="I43" s="102">
        <v>3</v>
      </c>
      <c r="J43" s="103">
        <v>3600</v>
      </c>
      <c r="K43" s="104">
        <f t="shared" si="25"/>
        <v>1200</v>
      </c>
      <c r="L43" s="105">
        <v>3</v>
      </c>
      <c r="M43" s="103">
        <f t="shared" si="24"/>
        <v>3274.8766838896227</v>
      </c>
      <c r="N43" s="104">
        <f t="shared" si="17"/>
        <v>1091.6255612965408</v>
      </c>
      <c r="O43" s="106">
        <f t="shared" si="18"/>
        <v>0</v>
      </c>
      <c r="P43" s="107">
        <f t="shared" si="19"/>
        <v>-108.37443870345919</v>
      </c>
      <c r="Q43" s="108">
        <f t="shared" si="20"/>
        <v>0.90968796774711735</v>
      </c>
      <c r="R43" s="308"/>
      <c r="S43" s="46">
        <v>0.30902777777777779</v>
      </c>
      <c r="T43" s="47">
        <v>0.31695601851851851</v>
      </c>
      <c r="U43" s="109">
        <v>13.083333333333353</v>
      </c>
      <c r="V43" s="110">
        <v>11.432491545157029</v>
      </c>
      <c r="W43" s="111"/>
      <c r="X43" s="114"/>
      <c r="Y43" s="299"/>
      <c r="Z43" s="300"/>
      <c r="AA43" s="115">
        <f t="shared" si="21"/>
        <v>-325.12331611037735</v>
      </c>
      <c r="AB43" s="108">
        <f t="shared" si="22"/>
        <v>0.90968796774711735</v>
      </c>
      <c r="AC43" s="313"/>
    </row>
    <row r="44" spans="1:29" ht="15.75" customHeight="1">
      <c r="A44" s="316"/>
      <c r="B44" s="98" t="s">
        <v>118</v>
      </c>
      <c r="C44" s="297" t="s">
        <v>199</v>
      </c>
      <c r="D44" s="298"/>
      <c r="E44" s="99">
        <v>17.07</v>
      </c>
      <c r="F44" s="100">
        <v>833</v>
      </c>
      <c r="G44" s="119">
        <f t="shared" si="23"/>
        <v>14219.31</v>
      </c>
      <c r="H44" s="120"/>
      <c r="I44" s="102">
        <v>3</v>
      </c>
      <c r="J44" s="103">
        <v>3300</v>
      </c>
      <c r="K44" s="104">
        <f t="shared" si="25"/>
        <v>1100</v>
      </c>
      <c r="L44" s="105">
        <v>3</v>
      </c>
      <c r="M44" s="103">
        <f t="shared" si="24"/>
        <v>3073.1925808972674</v>
      </c>
      <c r="N44" s="104">
        <f t="shared" si="17"/>
        <v>1024.3975269657558</v>
      </c>
      <c r="O44" s="106">
        <f t="shared" si="18"/>
        <v>0</v>
      </c>
      <c r="P44" s="107">
        <f t="shared" si="19"/>
        <v>-75.602473034244213</v>
      </c>
      <c r="Q44" s="108">
        <f t="shared" si="20"/>
        <v>0.931270479059778</v>
      </c>
      <c r="R44" s="308"/>
      <c r="S44" s="46">
        <v>0.3263888888888889</v>
      </c>
      <c r="T44" s="118">
        <v>0.3376736111111111</v>
      </c>
      <c r="U44" s="109">
        <v>13.583333333333352</v>
      </c>
      <c r="V44" s="110">
        <v>16.263217707432947</v>
      </c>
      <c r="W44" s="111"/>
      <c r="X44" s="114"/>
      <c r="Y44" s="299"/>
      <c r="Z44" s="300"/>
      <c r="AA44" s="115">
        <f t="shared" si="21"/>
        <v>-226.80741910273264</v>
      </c>
      <c r="AB44" s="108">
        <f t="shared" si="22"/>
        <v>0.931270479059778</v>
      </c>
      <c r="AC44" s="313"/>
    </row>
    <row r="45" spans="1:29" ht="15.75" customHeight="1">
      <c r="A45" s="316"/>
      <c r="B45" s="98" t="s">
        <v>118</v>
      </c>
      <c r="C45" s="297" t="s">
        <v>125</v>
      </c>
      <c r="D45" s="298"/>
      <c r="E45" s="99">
        <v>14.03</v>
      </c>
      <c r="F45" s="100">
        <v>2360</v>
      </c>
      <c r="G45" s="119">
        <f t="shared" si="23"/>
        <v>33110.799999999996</v>
      </c>
      <c r="H45" s="60"/>
      <c r="I45" s="102">
        <v>3</v>
      </c>
      <c r="J45" s="103">
        <v>3000</v>
      </c>
      <c r="K45" s="104">
        <f t="shared" si="25"/>
        <v>1000</v>
      </c>
      <c r="L45" s="105">
        <v>3</v>
      </c>
      <c r="M45" s="103">
        <f t="shared" si="24"/>
        <v>2797.455587808417</v>
      </c>
      <c r="N45" s="104">
        <f t="shared" si="17"/>
        <v>932.48519593613901</v>
      </c>
      <c r="O45" s="121">
        <f t="shared" si="18"/>
        <v>0</v>
      </c>
      <c r="P45" s="122">
        <f t="shared" si="19"/>
        <v>-67.514804063860993</v>
      </c>
      <c r="Q45" s="123">
        <f t="shared" si="20"/>
        <v>0.93248519593613899</v>
      </c>
      <c r="R45" s="308"/>
      <c r="S45" s="46">
        <v>0.34722222222222227</v>
      </c>
      <c r="T45" s="118">
        <v>0.38237268518518525</v>
      </c>
      <c r="U45" s="109">
        <v>13.750000000000071</v>
      </c>
      <c r="V45" s="110">
        <v>50.617425569544885</v>
      </c>
      <c r="W45" s="111"/>
      <c r="X45" s="114"/>
      <c r="Y45" s="299"/>
      <c r="Z45" s="300"/>
      <c r="AA45" s="115">
        <f t="shared" si="21"/>
        <v>-202.54441219158298</v>
      </c>
      <c r="AB45" s="108">
        <f t="shared" si="22"/>
        <v>0.93248519593613899</v>
      </c>
      <c r="AC45" s="313"/>
    </row>
    <row r="46" spans="1:29" ht="15.75" customHeight="1">
      <c r="A46" s="316"/>
      <c r="B46" s="98" t="s">
        <v>118</v>
      </c>
      <c r="C46" s="297" t="s">
        <v>127</v>
      </c>
      <c r="D46" s="298"/>
      <c r="E46" s="99">
        <v>14.28</v>
      </c>
      <c r="F46" s="100">
        <v>3196</v>
      </c>
      <c r="G46" s="119">
        <f t="shared" si="23"/>
        <v>45638.879999999997</v>
      </c>
      <c r="H46" s="60"/>
      <c r="I46" s="102">
        <v>3</v>
      </c>
      <c r="J46" s="103">
        <v>3600</v>
      </c>
      <c r="K46" s="104">
        <f t="shared" si="25"/>
        <v>1200</v>
      </c>
      <c r="L46" s="116">
        <v>3</v>
      </c>
      <c r="M46" s="103">
        <f t="shared" si="24"/>
        <v>3277.8970856981873</v>
      </c>
      <c r="N46" s="104">
        <f t="shared" si="17"/>
        <v>1092.6323618993958</v>
      </c>
      <c r="O46" s="121">
        <f t="shared" si="18"/>
        <v>0</v>
      </c>
      <c r="P46" s="122">
        <f t="shared" si="19"/>
        <v>-107.36763810060415</v>
      </c>
      <c r="Q46" s="123">
        <f t="shared" si="20"/>
        <v>0.91052696824949653</v>
      </c>
      <c r="R46" s="308"/>
      <c r="S46" s="46">
        <v>0.39166666666666672</v>
      </c>
      <c r="T46" s="118">
        <v>0.43229166666666674</v>
      </c>
      <c r="U46" s="109">
        <v>13.38333333333332</v>
      </c>
      <c r="V46" s="110">
        <v>58.500921470862899</v>
      </c>
      <c r="W46" s="111"/>
      <c r="X46" s="114"/>
      <c r="Y46" s="299"/>
      <c r="Z46" s="300"/>
      <c r="AA46" s="115">
        <f t="shared" si="21"/>
        <v>-322.10291430181269</v>
      </c>
      <c r="AB46" s="108">
        <f t="shared" si="22"/>
        <v>0.91052696824949653</v>
      </c>
      <c r="AC46" s="313"/>
    </row>
    <row r="47" spans="1:29" ht="15.75" customHeight="1">
      <c r="A47" s="316"/>
      <c r="B47" s="98"/>
      <c r="C47" s="297"/>
      <c r="D47" s="298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8"/>
      <c r="S47" s="46"/>
      <c r="T47" s="118"/>
      <c r="U47" s="109"/>
      <c r="V47" s="110"/>
      <c r="W47" s="111"/>
      <c r="X47" s="114"/>
      <c r="Y47" s="299"/>
      <c r="Z47" s="300"/>
      <c r="AA47" s="115"/>
      <c r="AB47" s="108"/>
      <c r="AC47" s="313"/>
    </row>
    <row r="48" spans="1:29" ht="15.75" customHeight="1">
      <c r="A48" s="316"/>
      <c r="B48" s="98"/>
      <c r="C48" s="297"/>
      <c r="D48" s="298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8"/>
      <c r="S48" s="46"/>
      <c r="T48" s="118"/>
      <c r="U48" s="109"/>
      <c r="V48" s="110"/>
      <c r="W48" s="111"/>
      <c r="X48" s="114"/>
      <c r="Y48" s="299"/>
      <c r="Z48" s="300"/>
      <c r="AA48" s="115"/>
      <c r="AB48" s="108"/>
      <c r="AC48" s="313"/>
    </row>
    <row r="49" spans="1:29" ht="15.75" customHeight="1">
      <c r="A49" s="316"/>
      <c r="B49" s="98"/>
      <c r="C49" s="297"/>
      <c r="D49" s="298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8"/>
      <c r="S49" s="46"/>
      <c r="T49" s="118"/>
      <c r="U49" s="109"/>
      <c r="V49" s="110"/>
      <c r="W49" s="124"/>
      <c r="X49" s="125"/>
      <c r="Y49" s="299"/>
      <c r="Z49" s="300"/>
      <c r="AA49" s="115"/>
      <c r="AB49" s="108"/>
      <c r="AC49" s="313"/>
    </row>
    <row r="50" spans="1:29" ht="15.75" customHeight="1">
      <c r="A50" s="316"/>
      <c r="B50" s="98"/>
      <c r="C50" s="297"/>
      <c r="D50" s="298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8"/>
      <c r="S50" s="46"/>
      <c r="T50" s="118"/>
      <c r="U50" s="109"/>
      <c r="V50" s="110"/>
      <c r="W50" s="124"/>
      <c r="X50" s="125"/>
      <c r="Y50" s="299"/>
      <c r="Z50" s="300"/>
      <c r="AA50" s="115"/>
      <c r="AB50" s="108"/>
      <c r="AC50" s="313"/>
    </row>
    <row r="51" spans="1:29" ht="15.75" customHeight="1">
      <c r="A51" s="316"/>
      <c r="B51" s="98"/>
      <c r="C51" s="297"/>
      <c r="D51" s="298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8"/>
      <c r="S51" s="46"/>
      <c r="T51" s="118"/>
      <c r="U51" s="109"/>
      <c r="V51" s="110"/>
      <c r="W51" s="124"/>
      <c r="X51" s="125"/>
      <c r="Y51" s="299"/>
      <c r="Z51" s="300"/>
      <c r="AA51" s="115"/>
      <c r="AB51" s="108"/>
      <c r="AC51" s="313"/>
    </row>
    <row r="52" spans="1:29" ht="15.75" customHeight="1">
      <c r="A52" s="316"/>
      <c r="B52" s="98"/>
      <c r="C52" s="297"/>
      <c r="D52" s="298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8"/>
      <c r="S52" s="46"/>
      <c r="T52" s="118"/>
      <c r="U52" s="109"/>
      <c r="V52" s="110"/>
      <c r="W52" s="124"/>
      <c r="X52" s="125"/>
      <c r="Y52" s="299"/>
      <c r="Z52" s="300"/>
      <c r="AA52" s="115"/>
      <c r="AB52" s="108"/>
      <c r="AC52" s="313"/>
    </row>
    <row r="53" spans="1:29" ht="15.75" customHeight="1">
      <c r="A53" s="316"/>
      <c r="B53" s="98"/>
      <c r="C53" s="297"/>
      <c r="D53" s="298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8"/>
      <c r="S53" s="46"/>
      <c r="T53" s="118"/>
      <c r="U53" s="109"/>
      <c r="V53" s="110"/>
      <c r="W53" s="124"/>
      <c r="X53" s="125"/>
      <c r="Y53" s="299"/>
      <c r="Z53" s="300"/>
      <c r="AA53" s="115"/>
      <c r="AB53" s="108"/>
      <c r="AC53" s="313"/>
    </row>
    <row r="54" spans="1:29" ht="15.75" customHeight="1">
      <c r="A54" s="316"/>
      <c r="B54" s="98"/>
      <c r="C54" s="297"/>
      <c r="D54" s="298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8"/>
      <c r="S54" s="117"/>
      <c r="T54" s="118"/>
      <c r="U54" s="128"/>
      <c r="V54" s="129"/>
      <c r="W54" s="124"/>
      <c r="X54" s="125"/>
      <c r="Y54" s="299"/>
      <c r="Z54" s="300"/>
      <c r="AA54" s="163"/>
      <c r="AB54" s="123"/>
      <c r="AC54" s="313"/>
    </row>
    <row r="55" spans="1:29" ht="15.75" customHeight="1" thickBot="1">
      <c r="A55" s="317"/>
      <c r="B55" s="131" t="s">
        <v>115</v>
      </c>
      <c r="C55" s="294"/>
      <c r="D55" s="294"/>
      <c r="E55" s="132"/>
      <c r="F55" s="97"/>
      <c r="G55" s="133"/>
      <c r="H55" s="67"/>
      <c r="I55" s="134">
        <f t="shared" ref="I55:J55" si="26">AVERAGE(I39:I54)</f>
        <v>3.75</v>
      </c>
      <c r="J55" s="135">
        <f t="shared" si="26"/>
        <v>3450</v>
      </c>
      <c r="K55" s="136">
        <f t="shared" ref="K55" si="27">J55/I55</f>
        <v>920</v>
      </c>
      <c r="L55" s="134">
        <f t="shared" ref="L55:M55" si="28">AVERAGE(L39:L54)</f>
        <v>3.75</v>
      </c>
      <c r="M55" s="135">
        <f t="shared" si="28"/>
        <v>3166.3845526737955</v>
      </c>
      <c r="N55" s="136">
        <f t="shared" ref="N55:N63" si="29">M55/L55</f>
        <v>844.36921404634552</v>
      </c>
      <c r="O55" s="137">
        <f t="shared" ref="O55:O63" si="30">L55-I55</f>
        <v>0</v>
      </c>
      <c r="P55" s="138">
        <f t="shared" ref="P55:P63" si="31">N55-K55</f>
        <v>-75.630785953654481</v>
      </c>
      <c r="Q55" s="139">
        <f t="shared" ref="Q55:Q63" si="32">N55/K55</f>
        <v>0.9177926239634191</v>
      </c>
      <c r="R55" s="309"/>
      <c r="S55" s="140">
        <v>0.25</v>
      </c>
      <c r="T55" s="141">
        <v>0.43229166666666674</v>
      </c>
      <c r="U55" s="142"/>
      <c r="V55" s="164"/>
      <c r="W55" s="97"/>
      <c r="X55" s="67"/>
      <c r="Y55" s="295"/>
      <c r="Z55" s="296"/>
      <c r="AA55" s="166">
        <f t="shared" ref="AA55:AA63" si="33">M55-J55</f>
        <v>-283.6154473262045</v>
      </c>
      <c r="AB55" s="139">
        <f t="shared" ref="AB55:AB63" si="34">M55/J55</f>
        <v>0.91779262396341899</v>
      </c>
      <c r="AC55" s="314"/>
    </row>
    <row r="56" spans="1:29" ht="15.75" customHeight="1">
      <c r="A56" s="301" t="s">
        <v>78</v>
      </c>
      <c r="B56" s="112" t="s">
        <v>118</v>
      </c>
      <c r="C56" s="305" t="s">
        <v>126</v>
      </c>
      <c r="D56" s="306"/>
      <c r="E56" s="145">
        <v>18.18</v>
      </c>
      <c r="F56" s="95">
        <v>981</v>
      </c>
      <c r="G56" s="146">
        <f t="shared" ref="G56:G63" si="35">E56*F56</f>
        <v>17834.579999999998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36">F56/V56*60</f>
        <v>3277.7363420882693</v>
      </c>
      <c r="N56" s="150">
        <f t="shared" si="29"/>
        <v>1092.5787806960898</v>
      </c>
      <c r="O56" s="152">
        <f t="shared" si="30"/>
        <v>0</v>
      </c>
      <c r="P56" s="153">
        <f t="shared" si="31"/>
        <v>-107.42121930391022</v>
      </c>
      <c r="Q56" s="154">
        <f t="shared" si="32"/>
        <v>0.91048231724674145</v>
      </c>
      <c r="R56" s="307">
        <f>Q72</f>
        <v>0.91058074970274272</v>
      </c>
      <c r="S56" s="155">
        <v>0.25</v>
      </c>
      <c r="T56" s="156">
        <v>0.26246527777777778</v>
      </c>
      <c r="U56" s="157"/>
      <c r="V56" s="158">
        <v>17.957515143667678</v>
      </c>
      <c r="W56" s="156"/>
      <c r="X56" s="167"/>
      <c r="Y56" s="310"/>
      <c r="Z56" s="311"/>
      <c r="AA56" s="113">
        <f t="shared" si="33"/>
        <v>-322.26365791173066</v>
      </c>
      <c r="AB56" s="154">
        <f t="shared" si="34"/>
        <v>0.91048231724674145</v>
      </c>
      <c r="AC56" s="312">
        <f>AB72</f>
        <v>0.91058074970274272</v>
      </c>
    </row>
    <row r="57" spans="1:29" ht="15.75" customHeight="1">
      <c r="A57" s="302"/>
      <c r="B57" s="98" t="s">
        <v>118</v>
      </c>
      <c r="C57" s="297" t="s">
        <v>203</v>
      </c>
      <c r="D57" s="298"/>
      <c r="E57" s="99">
        <v>20.72</v>
      </c>
      <c r="F57" s="100">
        <v>440</v>
      </c>
      <c r="G57" s="101">
        <f t="shared" si="35"/>
        <v>9116.7999999999993</v>
      </c>
      <c r="H57" s="26"/>
      <c r="I57" s="102">
        <v>3</v>
      </c>
      <c r="J57" s="103">
        <v>3600</v>
      </c>
      <c r="K57" s="104">
        <f t="shared" si="25"/>
        <v>1200</v>
      </c>
      <c r="L57" s="105">
        <v>3</v>
      </c>
      <c r="M57" s="103">
        <f t="shared" si="36"/>
        <v>3277.3971385718605</v>
      </c>
      <c r="N57" s="104">
        <f t="shared" si="29"/>
        <v>1092.4657128572869</v>
      </c>
      <c r="O57" s="106">
        <f t="shared" si="30"/>
        <v>0</v>
      </c>
      <c r="P57" s="107">
        <f t="shared" si="31"/>
        <v>-107.53428714271308</v>
      </c>
      <c r="Q57" s="108">
        <f t="shared" si="32"/>
        <v>0.91038809404773913</v>
      </c>
      <c r="R57" s="308"/>
      <c r="S57" s="46">
        <v>0.27152777777777781</v>
      </c>
      <c r="T57" s="47">
        <v>0.27711805555555558</v>
      </c>
      <c r="U57" s="109">
        <v>13.050000000000042</v>
      </c>
      <c r="V57" s="110">
        <v>8.0551727129120252</v>
      </c>
      <c r="W57" s="111"/>
      <c r="X57" s="13"/>
      <c r="Y57" s="299"/>
      <c r="Z57" s="300"/>
      <c r="AA57" s="115">
        <f t="shared" si="33"/>
        <v>-322.60286142813948</v>
      </c>
      <c r="AB57" s="108">
        <f t="shared" si="34"/>
        <v>0.91038809404773902</v>
      </c>
      <c r="AC57" s="313"/>
    </row>
    <row r="58" spans="1:29" ht="15.75" customHeight="1">
      <c r="A58" s="302"/>
      <c r="B58" s="98" t="s">
        <v>118</v>
      </c>
      <c r="C58" s="297" t="s">
        <v>130</v>
      </c>
      <c r="D58" s="298"/>
      <c r="E58" s="99">
        <v>30</v>
      </c>
      <c r="F58" s="100">
        <v>649</v>
      </c>
      <c r="G58" s="101">
        <f t="shared" si="35"/>
        <v>19470</v>
      </c>
      <c r="H58" s="26"/>
      <c r="I58" s="102">
        <v>4</v>
      </c>
      <c r="J58" s="103">
        <v>3600</v>
      </c>
      <c r="K58" s="104">
        <f t="shared" si="25"/>
        <v>900</v>
      </c>
      <c r="L58" s="105">
        <v>4</v>
      </c>
      <c r="M58" s="103">
        <f t="shared" si="36"/>
        <v>3280.9818628225626</v>
      </c>
      <c r="N58" s="104">
        <f t="shared" si="29"/>
        <v>820.24546570564064</v>
      </c>
      <c r="O58" s="106">
        <f t="shared" si="30"/>
        <v>0</v>
      </c>
      <c r="P58" s="107">
        <f t="shared" si="31"/>
        <v>-79.75453429435936</v>
      </c>
      <c r="Q58" s="108">
        <f t="shared" si="32"/>
        <v>0.91138385078404516</v>
      </c>
      <c r="R58" s="308"/>
      <c r="S58" s="46">
        <v>0.28680555555555559</v>
      </c>
      <c r="T58" s="47">
        <v>0.29504629629629631</v>
      </c>
      <c r="U58" s="109">
        <v>13.950000000000022</v>
      </c>
      <c r="V58" s="110">
        <v>11.868398433175336</v>
      </c>
      <c r="W58" s="111"/>
      <c r="X58" s="13"/>
      <c r="Y58" s="299"/>
      <c r="Z58" s="300"/>
      <c r="AA58" s="115">
        <f t="shared" si="33"/>
        <v>-319.01813717743744</v>
      </c>
      <c r="AB58" s="108">
        <f t="shared" si="34"/>
        <v>0.91138385078404516</v>
      </c>
      <c r="AC58" s="313"/>
    </row>
    <row r="59" spans="1:29" ht="15.75" customHeight="1">
      <c r="A59" s="302"/>
      <c r="B59" s="98" t="s">
        <v>118</v>
      </c>
      <c r="C59" s="297" t="s">
        <v>218</v>
      </c>
      <c r="D59" s="298"/>
      <c r="E59" s="99">
        <v>24.76</v>
      </c>
      <c r="F59" s="100">
        <v>796</v>
      </c>
      <c r="G59" s="101">
        <f t="shared" si="35"/>
        <v>19708.960000000003</v>
      </c>
      <c r="H59" s="26"/>
      <c r="I59" s="102">
        <v>4</v>
      </c>
      <c r="J59" s="103">
        <v>3600</v>
      </c>
      <c r="K59" s="104">
        <f t="shared" si="25"/>
        <v>900</v>
      </c>
      <c r="L59" s="105">
        <v>4</v>
      </c>
      <c r="M59" s="103">
        <f t="shared" si="36"/>
        <v>3276.8233810557863</v>
      </c>
      <c r="N59" s="104">
        <f t="shared" si="29"/>
        <v>819.20584526394657</v>
      </c>
      <c r="O59" s="106">
        <f t="shared" si="30"/>
        <v>0</v>
      </c>
      <c r="P59" s="107">
        <f t="shared" si="31"/>
        <v>-80.794154736053429</v>
      </c>
      <c r="Q59" s="108">
        <f t="shared" si="32"/>
        <v>0.91022871695994068</v>
      </c>
      <c r="R59" s="308"/>
      <c r="S59" s="46">
        <v>0.3041666666666667</v>
      </c>
      <c r="T59" s="47">
        <v>0.31428240740740743</v>
      </c>
      <c r="U59" s="109">
        <v>13.133333333333361</v>
      </c>
      <c r="V59" s="110">
        <v>14.575091314385038</v>
      </c>
      <c r="W59" s="111"/>
      <c r="X59" s="114"/>
      <c r="Y59" s="299"/>
      <c r="Z59" s="300"/>
      <c r="AA59" s="115">
        <f t="shared" si="33"/>
        <v>-323.17661894421371</v>
      </c>
      <c r="AB59" s="108">
        <f t="shared" si="34"/>
        <v>0.91022871695994068</v>
      </c>
      <c r="AC59" s="313"/>
    </row>
    <row r="60" spans="1:29" ht="15.75" customHeight="1">
      <c r="A60" s="303"/>
      <c r="B60" s="98" t="s">
        <v>118</v>
      </c>
      <c r="C60" s="297" t="s">
        <v>122</v>
      </c>
      <c r="D60" s="298"/>
      <c r="E60" s="99">
        <v>17.89</v>
      </c>
      <c r="F60" s="100">
        <v>1381</v>
      </c>
      <c r="G60" s="101">
        <f t="shared" si="35"/>
        <v>24706.09</v>
      </c>
      <c r="H60" s="13"/>
      <c r="I60" s="102">
        <v>4</v>
      </c>
      <c r="J60" s="103">
        <v>3600</v>
      </c>
      <c r="K60" s="104">
        <f t="shared" si="25"/>
        <v>900</v>
      </c>
      <c r="L60" s="105">
        <v>4</v>
      </c>
      <c r="M60" s="103">
        <f t="shared" si="36"/>
        <v>3274.8826418975373</v>
      </c>
      <c r="N60" s="104">
        <f t="shared" si="29"/>
        <v>818.72066047438432</v>
      </c>
      <c r="O60" s="106">
        <f t="shared" si="30"/>
        <v>0</v>
      </c>
      <c r="P60" s="107">
        <f t="shared" si="31"/>
        <v>-81.279339525615683</v>
      </c>
      <c r="Q60" s="108">
        <f t="shared" si="32"/>
        <v>0.90968962274931586</v>
      </c>
      <c r="R60" s="308"/>
      <c r="S60" s="46">
        <v>0.32361111111111118</v>
      </c>
      <c r="T60" s="47">
        <v>0.3411805555555556</v>
      </c>
      <c r="U60" s="109">
        <v>13.433333333333408</v>
      </c>
      <c r="V60" s="110">
        <v>25.301670032361567</v>
      </c>
      <c r="W60" s="111"/>
      <c r="X60" s="114"/>
      <c r="Y60" s="299"/>
      <c r="Z60" s="300"/>
      <c r="AA60" s="115">
        <f t="shared" si="33"/>
        <v>-325.11735810246273</v>
      </c>
      <c r="AB60" s="108">
        <f t="shared" si="34"/>
        <v>0.90968962274931586</v>
      </c>
      <c r="AC60" s="313"/>
    </row>
    <row r="61" spans="1:29" ht="15.75" customHeight="1">
      <c r="A61" s="303"/>
      <c r="B61" s="98" t="s">
        <v>118</v>
      </c>
      <c r="C61" s="297" t="s">
        <v>213</v>
      </c>
      <c r="D61" s="298"/>
      <c r="E61" s="99">
        <v>22.32</v>
      </c>
      <c r="F61" s="100">
        <v>1117</v>
      </c>
      <c r="G61" s="119">
        <f t="shared" si="35"/>
        <v>24931.439999999999</v>
      </c>
      <c r="H61" s="120"/>
      <c r="I61" s="102">
        <v>5</v>
      </c>
      <c r="J61" s="103">
        <v>3600</v>
      </c>
      <c r="K61" s="104">
        <f t="shared" si="25"/>
        <v>720</v>
      </c>
      <c r="L61" s="105">
        <v>5</v>
      </c>
      <c r="M61" s="103">
        <f t="shared" si="36"/>
        <v>3279.2340562004256</v>
      </c>
      <c r="N61" s="104">
        <f t="shared" si="29"/>
        <v>655.84681124008512</v>
      </c>
      <c r="O61" s="106">
        <f t="shared" si="30"/>
        <v>0</v>
      </c>
      <c r="P61" s="107">
        <f t="shared" si="31"/>
        <v>-64.153188759914883</v>
      </c>
      <c r="Q61" s="108">
        <f t="shared" si="32"/>
        <v>0.91089834894456267</v>
      </c>
      <c r="R61" s="308"/>
      <c r="S61" s="46">
        <v>0.35069444444444453</v>
      </c>
      <c r="T61" s="118">
        <v>0.36488425925925932</v>
      </c>
      <c r="U61" s="109">
        <v>13.700000000000063</v>
      </c>
      <c r="V61" s="110">
        <v>20.437699429620636</v>
      </c>
      <c r="W61" s="111"/>
      <c r="X61" s="49"/>
      <c r="Y61" s="299"/>
      <c r="Z61" s="300"/>
      <c r="AA61" s="115">
        <f t="shared" si="33"/>
        <v>-320.76594379957442</v>
      </c>
      <c r="AB61" s="108">
        <f t="shared" si="34"/>
        <v>0.91089834894456267</v>
      </c>
      <c r="AC61" s="313"/>
    </row>
    <row r="62" spans="1:29" ht="15.75" customHeight="1">
      <c r="A62" s="303"/>
      <c r="B62" s="98" t="s">
        <v>118</v>
      </c>
      <c r="C62" s="297" t="s">
        <v>209</v>
      </c>
      <c r="D62" s="298"/>
      <c r="E62" s="99">
        <v>27.48</v>
      </c>
      <c r="F62" s="100">
        <v>790</v>
      </c>
      <c r="G62" s="119">
        <f t="shared" si="35"/>
        <v>21709.200000000001</v>
      </c>
      <c r="H62" s="60"/>
      <c r="I62" s="102">
        <v>5</v>
      </c>
      <c r="J62" s="103">
        <v>3600</v>
      </c>
      <c r="K62" s="104">
        <f t="shared" si="25"/>
        <v>720</v>
      </c>
      <c r="L62" s="105">
        <v>5</v>
      </c>
      <c r="M62" s="103">
        <f t="shared" si="36"/>
        <v>3277.3864229689802</v>
      </c>
      <c r="N62" s="104">
        <f t="shared" si="29"/>
        <v>655.47728459379607</v>
      </c>
      <c r="O62" s="121">
        <f t="shared" si="30"/>
        <v>0</v>
      </c>
      <c r="P62" s="122">
        <f t="shared" si="31"/>
        <v>-64.522715406203929</v>
      </c>
      <c r="Q62" s="123">
        <f t="shared" si="32"/>
        <v>0.9103851174913834</v>
      </c>
      <c r="R62" s="308"/>
      <c r="S62" s="46">
        <v>0.37430555555555567</v>
      </c>
      <c r="T62" s="118">
        <v>0.38434027777777791</v>
      </c>
      <c r="U62" s="109">
        <v>13.566666666666736</v>
      </c>
      <c r="V62" s="110">
        <v>14.462743748434889</v>
      </c>
      <c r="W62" s="111"/>
      <c r="X62" s="114"/>
      <c r="Y62" s="299"/>
      <c r="Z62" s="300"/>
      <c r="AA62" s="115">
        <f t="shared" si="33"/>
        <v>-322.61357703101976</v>
      </c>
      <c r="AB62" s="108">
        <f t="shared" si="34"/>
        <v>0.9103851174913834</v>
      </c>
      <c r="AC62" s="313"/>
    </row>
    <row r="63" spans="1:29" ht="15.75" customHeight="1">
      <c r="A63" s="303"/>
      <c r="B63" s="98" t="s">
        <v>118</v>
      </c>
      <c r="C63" s="297" t="s">
        <v>123</v>
      </c>
      <c r="D63" s="298"/>
      <c r="E63" s="99">
        <v>16.66</v>
      </c>
      <c r="F63" s="100">
        <v>2652</v>
      </c>
      <c r="G63" s="119">
        <f t="shared" si="35"/>
        <v>44182.32</v>
      </c>
      <c r="H63" s="60"/>
      <c r="I63" s="102">
        <v>5</v>
      </c>
      <c r="J63" s="103">
        <v>3600</v>
      </c>
      <c r="K63" s="104">
        <f t="shared" si="25"/>
        <v>720</v>
      </c>
      <c r="L63" s="116">
        <v>5</v>
      </c>
      <c r="M63" s="103">
        <f t="shared" si="36"/>
        <v>3280.2837458335703</v>
      </c>
      <c r="N63" s="104">
        <f t="shared" si="29"/>
        <v>656.0567491667141</v>
      </c>
      <c r="O63" s="121">
        <f t="shared" si="30"/>
        <v>0</v>
      </c>
      <c r="P63" s="122">
        <f t="shared" si="31"/>
        <v>-63.943250833285902</v>
      </c>
      <c r="Q63" s="123">
        <f t="shared" si="32"/>
        <v>0.91118992939821397</v>
      </c>
      <c r="R63" s="308"/>
      <c r="S63" s="46">
        <v>0.39375000000000016</v>
      </c>
      <c r="T63" s="118">
        <v>0.4274305555555557</v>
      </c>
      <c r="U63" s="109">
        <v>13.55000000000004</v>
      </c>
      <c r="V63" s="110">
        <v>48.5079987980019</v>
      </c>
      <c r="W63" s="111"/>
      <c r="X63" s="114"/>
      <c r="Y63" s="299"/>
      <c r="Z63" s="300"/>
      <c r="AA63" s="115">
        <f t="shared" si="33"/>
        <v>-319.71625416642974</v>
      </c>
      <c r="AB63" s="108">
        <f t="shared" si="34"/>
        <v>0.91118992939821397</v>
      </c>
      <c r="AC63" s="313"/>
    </row>
    <row r="64" spans="1:29" ht="15.75" customHeight="1">
      <c r="A64" s="303"/>
      <c r="B64" s="98"/>
      <c r="C64" s="297"/>
      <c r="D64" s="298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8"/>
      <c r="S64" s="46"/>
      <c r="T64" s="118"/>
      <c r="U64" s="109"/>
      <c r="V64" s="110"/>
      <c r="W64" s="124"/>
      <c r="X64" s="125"/>
      <c r="Y64" s="299"/>
      <c r="Z64" s="300"/>
      <c r="AA64" s="115"/>
      <c r="AB64" s="108"/>
      <c r="AC64" s="313"/>
    </row>
    <row r="65" spans="1:29" ht="15.75" customHeight="1">
      <c r="A65" s="303"/>
      <c r="B65" s="98"/>
      <c r="C65" s="297"/>
      <c r="D65" s="298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8"/>
      <c r="S65" s="46"/>
      <c r="T65" s="118"/>
      <c r="U65" s="109"/>
      <c r="V65" s="110"/>
      <c r="W65" s="124"/>
      <c r="X65" s="125"/>
      <c r="Y65" s="299"/>
      <c r="Z65" s="300"/>
      <c r="AA65" s="115"/>
      <c r="AB65" s="108"/>
      <c r="AC65" s="313"/>
    </row>
    <row r="66" spans="1:29" ht="15.75" customHeight="1">
      <c r="A66" s="303"/>
      <c r="B66" s="98"/>
      <c r="C66" s="297"/>
      <c r="D66" s="298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8"/>
      <c r="S66" s="46"/>
      <c r="T66" s="118"/>
      <c r="U66" s="109"/>
      <c r="V66" s="110"/>
      <c r="W66" s="124"/>
      <c r="X66" s="125"/>
      <c r="Y66" s="299"/>
      <c r="Z66" s="300"/>
      <c r="AA66" s="115"/>
      <c r="AB66" s="108"/>
      <c r="AC66" s="313"/>
    </row>
    <row r="67" spans="1:29" ht="15.75" customHeight="1">
      <c r="A67" s="303"/>
      <c r="B67" s="98"/>
      <c r="C67" s="297"/>
      <c r="D67" s="298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8"/>
      <c r="S67" s="46"/>
      <c r="T67" s="118"/>
      <c r="U67" s="109"/>
      <c r="V67" s="110"/>
      <c r="W67" s="124"/>
      <c r="X67" s="125"/>
      <c r="Y67" s="299"/>
      <c r="Z67" s="300"/>
      <c r="AA67" s="115"/>
      <c r="AB67" s="108"/>
      <c r="AC67" s="313"/>
    </row>
    <row r="68" spans="1:29" ht="15.75" customHeight="1">
      <c r="A68" s="303"/>
      <c r="B68" s="98"/>
      <c r="C68" s="297"/>
      <c r="D68" s="298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8"/>
      <c r="S68" s="46"/>
      <c r="T68" s="118"/>
      <c r="U68" s="109"/>
      <c r="V68" s="110"/>
      <c r="W68" s="124"/>
      <c r="X68" s="125"/>
      <c r="Y68" s="299"/>
      <c r="Z68" s="300"/>
      <c r="AA68" s="115"/>
      <c r="AB68" s="108"/>
      <c r="AC68" s="313"/>
    </row>
    <row r="69" spans="1:29" ht="15.75" customHeight="1">
      <c r="A69" s="303"/>
      <c r="B69" s="98"/>
      <c r="C69" s="297"/>
      <c r="D69" s="298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8"/>
      <c r="S69" s="46"/>
      <c r="T69" s="118"/>
      <c r="U69" s="109"/>
      <c r="V69" s="110"/>
      <c r="W69" s="124"/>
      <c r="X69" s="125"/>
      <c r="Y69" s="299"/>
      <c r="Z69" s="300"/>
      <c r="AA69" s="115"/>
      <c r="AB69" s="108"/>
      <c r="AC69" s="313"/>
    </row>
    <row r="70" spans="1:29" ht="15.75" customHeight="1">
      <c r="A70" s="303"/>
      <c r="B70" s="98"/>
      <c r="C70" s="297"/>
      <c r="D70" s="298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8"/>
      <c r="S70" s="46"/>
      <c r="T70" s="118"/>
      <c r="U70" s="109"/>
      <c r="V70" s="110"/>
      <c r="W70" s="124"/>
      <c r="X70" s="125"/>
      <c r="Y70" s="299"/>
      <c r="Z70" s="300"/>
      <c r="AA70" s="115"/>
      <c r="AB70" s="108"/>
      <c r="AC70" s="313"/>
    </row>
    <row r="71" spans="1:29" ht="15.75" customHeight="1">
      <c r="A71" s="303"/>
      <c r="B71" s="98"/>
      <c r="C71" s="297"/>
      <c r="D71" s="298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8"/>
      <c r="S71" s="117"/>
      <c r="T71" s="118"/>
      <c r="U71" s="128"/>
      <c r="V71" s="129"/>
      <c r="W71" s="124"/>
      <c r="X71" s="125"/>
      <c r="Y71" s="299"/>
      <c r="Z71" s="300"/>
      <c r="AA71" s="163"/>
      <c r="AB71" s="123"/>
      <c r="AC71" s="313"/>
    </row>
    <row r="72" spans="1:29" ht="15.75" customHeight="1" thickBot="1">
      <c r="A72" s="304"/>
      <c r="B72" s="131" t="s">
        <v>115</v>
      </c>
      <c r="C72" s="294"/>
      <c r="D72" s="294"/>
      <c r="E72" s="132"/>
      <c r="F72" s="165"/>
      <c r="G72" s="133"/>
      <c r="H72" s="67"/>
      <c r="I72" s="134">
        <f t="shared" ref="I72:J72" si="37">AVERAGE(I56:I71)</f>
        <v>4.125</v>
      </c>
      <c r="J72" s="135">
        <f t="shared" si="37"/>
        <v>3600</v>
      </c>
      <c r="K72" s="136">
        <f t="shared" ref="K72" si="38">J72/I72</f>
        <v>872.72727272727275</v>
      </c>
      <c r="L72" s="134">
        <f t="shared" ref="L72:M72" si="39">AVERAGE(L56:L71)</f>
        <v>4.125</v>
      </c>
      <c r="M72" s="135">
        <f t="shared" si="39"/>
        <v>3278.0906989298737</v>
      </c>
      <c r="N72" s="136">
        <f>M72/L72</f>
        <v>794.68865428602999</v>
      </c>
      <c r="O72" s="137">
        <f>L72-I72</f>
        <v>0</v>
      </c>
      <c r="P72" s="138">
        <f>N72-K72</f>
        <v>-78.038618441242761</v>
      </c>
      <c r="Q72" s="139">
        <f>N72/K72</f>
        <v>0.91058074970274272</v>
      </c>
      <c r="R72" s="309"/>
      <c r="S72" s="140">
        <v>0.25</v>
      </c>
      <c r="T72" s="141">
        <v>0.4274305555555557</v>
      </c>
      <c r="U72" s="142"/>
      <c r="V72" s="164"/>
      <c r="W72" s="165"/>
      <c r="X72" s="136"/>
      <c r="Y72" s="295"/>
      <c r="Z72" s="296"/>
      <c r="AA72" s="166">
        <f>M72-J72</f>
        <v>-321.90930107012628</v>
      </c>
      <c r="AB72" s="139">
        <f>M72/J72</f>
        <v>0.91058074970274272</v>
      </c>
      <c r="AC72" s="314"/>
    </row>
    <row r="73" spans="1:29" ht="15.75" customHeight="1">
      <c r="A73" s="315" t="s">
        <v>131</v>
      </c>
      <c r="B73" s="112" t="s">
        <v>118</v>
      </c>
      <c r="C73" s="305" t="s">
        <v>132</v>
      </c>
      <c r="D73" s="306"/>
      <c r="E73" s="145">
        <v>28.57</v>
      </c>
      <c r="F73" s="95">
        <v>863</v>
      </c>
      <c r="G73" s="146">
        <f t="shared" ref="G73" si="40">E73*F73</f>
        <v>24655.91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3120.8612590235539</v>
      </c>
      <c r="N73" s="150">
        <f>M73/L73</f>
        <v>260.07177158529618</v>
      </c>
      <c r="O73" s="152">
        <f>L73-I73</f>
        <v>0</v>
      </c>
      <c r="P73" s="153">
        <f>N73-K73</f>
        <v>-39.928228414703824</v>
      </c>
      <c r="Q73" s="154">
        <f>N73/K73</f>
        <v>0.86690590528432054</v>
      </c>
      <c r="R73" s="307">
        <f>Q89</f>
        <v>0.86690590528432054</v>
      </c>
      <c r="S73" s="155">
        <v>0.73611111111111105</v>
      </c>
      <c r="T73" s="156">
        <v>0.7476273148148147</v>
      </c>
      <c r="U73" s="157"/>
      <c r="V73" s="158">
        <v>16.591573832474943</v>
      </c>
      <c r="W73" s="156"/>
      <c r="X73" s="167"/>
      <c r="Y73" s="310"/>
      <c r="Z73" s="311"/>
      <c r="AA73" s="113">
        <f>M73-J73</f>
        <v>-479.13874097644612</v>
      </c>
      <c r="AB73" s="154">
        <f>M73/J73</f>
        <v>0.86690590528432054</v>
      </c>
      <c r="AC73" s="312">
        <f>AB89</f>
        <v>0.86690590528432054</v>
      </c>
    </row>
    <row r="74" spans="1:29" ht="15.75" customHeight="1">
      <c r="A74" s="316"/>
      <c r="B74" s="98"/>
      <c r="C74" s="297"/>
      <c r="D74" s="298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8"/>
      <c r="S74" s="46"/>
      <c r="T74" s="47"/>
      <c r="U74" s="109"/>
      <c r="V74" s="110"/>
      <c r="W74" s="111"/>
      <c r="X74" s="13"/>
      <c r="Y74" s="299"/>
      <c r="Z74" s="300"/>
      <c r="AA74" s="115"/>
      <c r="AB74" s="108"/>
      <c r="AC74" s="313"/>
    </row>
    <row r="75" spans="1:29" ht="15.75" customHeight="1">
      <c r="A75" s="316"/>
      <c r="B75" s="98"/>
      <c r="C75" s="297"/>
      <c r="D75" s="298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8"/>
      <c r="S75" s="46"/>
      <c r="T75" s="47"/>
      <c r="U75" s="109"/>
      <c r="V75" s="110"/>
      <c r="W75" s="111"/>
      <c r="X75" s="13"/>
      <c r="Y75" s="299"/>
      <c r="Z75" s="300"/>
      <c r="AA75" s="115"/>
      <c r="AB75" s="108"/>
      <c r="AC75" s="313"/>
    </row>
    <row r="76" spans="1:29" ht="15.75" customHeight="1">
      <c r="A76" s="316"/>
      <c r="B76" s="98"/>
      <c r="C76" s="297"/>
      <c r="D76" s="298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8"/>
      <c r="S76" s="46"/>
      <c r="T76" s="47"/>
      <c r="U76" s="109"/>
      <c r="V76" s="110"/>
      <c r="W76" s="111"/>
      <c r="X76" s="114"/>
      <c r="Y76" s="299"/>
      <c r="Z76" s="300"/>
      <c r="AA76" s="115"/>
      <c r="AB76" s="108"/>
      <c r="AC76" s="313"/>
    </row>
    <row r="77" spans="1:29" ht="15.75" customHeight="1">
      <c r="A77" s="316"/>
      <c r="B77" s="98"/>
      <c r="C77" s="297"/>
      <c r="D77" s="298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8"/>
      <c r="S77" s="46"/>
      <c r="T77" s="47"/>
      <c r="U77" s="109"/>
      <c r="V77" s="110"/>
      <c r="W77" s="111"/>
      <c r="X77" s="114"/>
      <c r="Y77" s="299"/>
      <c r="Z77" s="300"/>
      <c r="AA77" s="115"/>
      <c r="AB77" s="108"/>
      <c r="AC77" s="313"/>
    </row>
    <row r="78" spans="1:29" ht="15.75" customHeight="1">
      <c r="A78" s="316"/>
      <c r="B78" s="98"/>
      <c r="C78" s="297"/>
      <c r="D78" s="298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8"/>
      <c r="S78" s="46"/>
      <c r="T78" s="118"/>
      <c r="U78" s="109"/>
      <c r="V78" s="110"/>
      <c r="W78" s="111"/>
      <c r="X78" s="49"/>
      <c r="Y78" s="299"/>
      <c r="Z78" s="300"/>
      <c r="AA78" s="115"/>
      <c r="AB78" s="108"/>
      <c r="AC78" s="313"/>
    </row>
    <row r="79" spans="1:29" ht="15.75" customHeight="1">
      <c r="A79" s="316"/>
      <c r="B79" s="98"/>
      <c r="C79" s="297"/>
      <c r="D79" s="298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8"/>
      <c r="S79" s="46"/>
      <c r="T79" s="118"/>
      <c r="U79" s="109"/>
      <c r="V79" s="110"/>
      <c r="W79" s="111"/>
      <c r="X79" s="114"/>
      <c r="Y79" s="299"/>
      <c r="Z79" s="300"/>
      <c r="AA79" s="115"/>
      <c r="AB79" s="108"/>
      <c r="AC79" s="313"/>
    </row>
    <row r="80" spans="1:29" ht="15.75" customHeight="1">
      <c r="A80" s="316"/>
      <c r="B80" s="98"/>
      <c r="C80" s="297"/>
      <c r="D80" s="298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8"/>
      <c r="S80" s="46"/>
      <c r="T80" s="118"/>
      <c r="U80" s="109"/>
      <c r="V80" s="110"/>
      <c r="W80" s="111"/>
      <c r="X80" s="114"/>
      <c r="Y80" s="299"/>
      <c r="Z80" s="300"/>
      <c r="AA80" s="115"/>
      <c r="AB80" s="108"/>
      <c r="AC80" s="313"/>
    </row>
    <row r="81" spans="1:29" ht="15.75" customHeight="1">
      <c r="A81" s="316"/>
      <c r="B81" s="98"/>
      <c r="C81" s="297"/>
      <c r="D81" s="298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8"/>
      <c r="S81" s="46"/>
      <c r="T81" s="118"/>
      <c r="U81" s="109"/>
      <c r="V81" s="110"/>
      <c r="W81" s="124"/>
      <c r="X81" s="125"/>
      <c r="Y81" s="299"/>
      <c r="Z81" s="300"/>
      <c r="AA81" s="115"/>
      <c r="AB81" s="108"/>
      <c r="AC81" s="313"/>
    </row>
    <row r="82" spans="1:29" ht="15.75" customHeight="1">
      <c r="A82" s="316"/>
      <c r="B82" s="98"/>
      <c r="C82" s="297"/>
      <c r="D82" s="298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8"/>
      <c r="S82" s="46"/>
      <c r="T82" s="118"/>
      <c r="U82" s="109"/>
      <c r="V82" s="110"/>
      <c r="W82" s="124"/>
      <c r="X82" s="125"/>
      <c r="Y82" s="299"/>
      <c r="Z82" s="300"/>
      <c r="AA82" s="115"/>
      <c r="AB82" s="108"/>
      <c r="AC82" s="313"/>
    </row>
    <row r="83" spans="1:29" ht="15.75" customHeight="1">
      <c r="A83" s="316"/>
      <c r="B83" s="98"/>
      <c r="C83" s="297"/>
      <c r="D83" s="298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8"/>
      <c r="S83" s="46"/>
      <c r="T83" s="118"/>
      <c r="U83" s="109"/>
      <c r="V83" s="110"/>
      <c r="W83" s="124"/>
      <c r="X83" s="125"/>
      <c r="Y83" s="299"/>
      <c r="Z83" s="300"/>
      <c r="AA83" s="115"/>
      <c r="AB83" s="108"/>
      <c r="AC83" s="313"/>
    </row>
    <row r="84" spans="1:29" ht="15.75" customHeight="1">
      <c r="A84" s="316"/>
      <c r="B84" s="98"/>
      <c r="C84" s="297"/>
      <c r="D84" s="298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8"/>
      <c r="S84" s="46"/>
      <c r="T84" s="118"/>
      <c r="U84" s="109"/>
      <c r="V84" s="110"/>
      <c r="W84" s="124"/>
      <c r="X84" s="125"/>
      <c r="Y84" s="299"/>
      <c r="Z84" s="300"/>
      <c r="AA84" s="115"/>
      <c r="AB84" s="108"/>
      <c r="AC84" s="313"/>
    </row>
    <row r="85" spans="1:29" ht="15.75" customHeight="1">
      <c r="A85" s="316"/>
      <c r="B85" s="98"/>
      <c r="C85" s="297"/>
      <c r="D85" s="298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8"/>
      <c r="S85" s="46"/>
      <c r="T85" s="118"/>
      <c r="U85" s="109"/>
      <c r="V85" s="110"/>
      <c r="W85" s="124"/>
      <c r="X85" s="125"/>
      <c r="Y85" s="299"/>
      <c r="Z85" s="300"/>
      <c r="AA85" s="115"/>
      <c r="AB85" s="108"/>
      <c r="AC85" s="313"/>
    </row>
    <row r="86" spans="1:29" ht="15.75" customHeight="1">
      <c r="A86" s="316"/>
      <c r="B86" s="98"/>
      <c r="C86" s="297"/>
      <c r="D86" s="298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8"/>
      <c r="S86" s="46"/>
      <c r="T86" s="118"/>
      <c r="U86" s="109"/>
      <c r="V86" s="110"/>
      <c r="W86" s="124"/>
      <c r="X86" s="125"/>
      <c r="Y86" s="299"/>
      <c r="Z86" s="300"/>
      <c r="AA86" s="115"/>
      <c r="AB86" s="108"/>
      <c r="AC86" s="313"/>
    </row>
    <row r="87" spans="1:29" ht="15.75" customHeight="1">
      <c r="A87" s="316"/>
      <c r="B87" s="98"/>
      <c r="C87" s="297"/>
      <c r="D87" s="298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8"/>
      <c r="S87" s="46"/>
      <c r="T87" s="118"/>
      <c r="U87" s="109"/>
      <c r="V87" s="110"/>
      <c r="W87" s="124"/>
      <c r="X87" s="125"/>
      <c r="Y87" s="299"/>
      <c r="Z87" s="300"/>
      <c r="AA87" s="115"/>
      <c r="AB87" s="108"/>
      <c r="AC87" s="313"/>
    </row>
    <row r="88" spans="1:29" ht="15.75" customHeight="1">
      <c r="A88" s="316"/>
      <c r="B88" s="98"/>
      <c r="C88" s="297"/>
      <c r="D88" s="298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8"/>
      <c r="S88" s="117"/>
      <c r="T88" s="118"/>
      <c r="U88" s="128"/>
      <c r="V88" s="129"/>
      <c r="W88" s="124"/>
      <c r="X88" s="125"/>
      <c r="Y88" s="299"/>
      <c r="Z88" s="300"/>
      <c r="AA88" s="163"/>
      <c r="AB88" s="123"/>
      <c r="AC88" s="313"/>
    </row>
    <row r="89" spans="1:29" ht="15.75" customHeight="1" thickBot="1">
      <c r="A89" s="317"/>
      <c r="B89" s="131" t="s">
        <v>115</v>
      </c>
      <c r="C89" s="294"/>
      <c r="D89" s="294"/>
      <c r="E89" s="132"/>
      <c r="F89" s="165"/>
      <c r="G89" s="133"/>
      <c r="H89" s="67"/>
      <c r="I89" s="134">
        <f t="shared" ref="I89:J89" si="41">AVERAGE(I73:I88)</f>
        <v>12</v>
      </c>
      <c r="J89" s="135">
        <f t="shared" si="41"/>
        <v>3600</v>
      </c>
      <c r="K89" s="136">
        <f t="shared" ref="K89" si="42">J89/I89</f>
        <v>300</v>
      </c>
      <c r="L89" s="134">
        <f t="shared" ref="L89:M89" si="43">AVERAGE(L73:L88)</f>
        <v>12</v>
      </c>
      <c r="M89" s="135">
        <f t="shared" si="43"/>
        <v>3120.8612590235539</v>
      </c>
      <c r="N89" s="136">
        <f>M89/L89</f>
        <v>260.07177158529618</v>
      </c>
      <c r="O89" s="137">
        <f>L89-I89</f>
        <v>0</v>
      </c>
      <c r="P89" s="138">
        <f>N89-K89</f>
        <v>-39.928228414703824</v>
      </c>
      <c r="Q89" s="139">
        <f>N89/K89</f>
        <v>0.86690590528432054</v>
      </c>
      <c r="R89" s="309"/>
      <c r="S89" s="140">
        <v>0.73611111111111105</v>
      </c>
      <c r="T89" s="141">
        <v>0.7476273148148147</v>
      </c>
      <c r="U89" s="142"/>
      <c r="V89" s="164"/>
      <c r="W89" s="165"/>
      <c r="X89" s="136"/>
      <c r="Y89" s="295"/>
      <c r="Z89" s="296"/>
      <c r="AA89" s="166">
        <f>M89-J89</f>
        <v>-479.13874097644612</v>
      </c>
      <c r="AB89" s="139">
        <f>M89/J89</f>
        <v>0.86690590528432054</v>
      </c>
      <c r="AC89" s="314"/>
    </row>
    <row r="90" spans="1:29" ht="15.75" customHeight="1">
      <c r="A90" s="301" t="s">
        <v>135</v>
      </c>
      <c r="B90" s="112" t="s">
        <v>118</v>
      </c>
      <c r="C90" s="305" t="s">
        <v>134</v>
      </c>
      <c r="D90" s="306"/>
      <c r="E90" s="145">
        <v>24.54</v>
      </c>
      <c r="F90" s="95">
        <v>685</v>
      </c>
      <c r="G90" s="146">
        <f t="shared" ref="G90" si="44">E90*F90</f>
        <v>16809.899999999998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2791.9478895308025</v>
      </c>
      <c r="N90" s="150">
        <f>M90/L90</f>
        <v>697.98697238270063</v>
      </c>
      <c r="O90" s="152">
        <f>L90-I90</f>
        <v>0</v>
      </c>
      <c r="P90" s="153">
        <f>N90-K90</f>
        <v>-52.013027617299372</v>
      </c>
      <c r="Q90" s="154">
        <f>N90/K90</f>
        <v>0.93064929651026751</v>
      </c>
      <c r="R90" s="307">
        <f>Q106</f>
        <v>0.93064929651026751</v>
      </c>
      <c r="S90" s="155">
        <v>0.70833333333333337</v>
      </c>
      <c r="T90" s="156">
        <v>0.71855324074074078</v>
      </c>
      <c r="U90" s="157"/>
      <c r="V90" s="158">
        <v>14.7209051265305</v>
      </c>
      <c r="W90" s="159"/>
      <c r="X90" s="160"/>
      <c r="Y90" s="310"/>
      <c r="Z90" s="311"/>
      <c r="AA90" s="113">
        <f>M90-J90</f>
        <v>-208.05211046919749</v>
      </c>
      <c r="AB90" s="154">
        <f>M90/J90</f>
        <v>0.93064929651026751</v>
      </c>
      <c r="AC90" s="312">
        <f>AB106</f>
        <v>0.93064929651026751</v>
      </c>
    </row>
    <row r="91" spans="1:29" ht="15.75" customHeight="1">
      <c r="A91" s="302"/>
      <c r="B91" s="98"/>
      <c r="C91" s="297"/>
      <c r="D91" s="298"/>
      <c r="E91" s="99"/>
      <c r="F91" s="100"/>
      <c r="G91" s="101"/>
      <c r="H91" s="26"/>
      <c r="I91" s="102"/>
      <c r="J91" s="103"/>
      <c r="K91" s="104"/>
      <c r="L91" s="105"/>
      <c r="M91" s="103"/>
      <c r="N91" s="104"/>
      <c r="O91" s="106"/>
      <c r="P91" s="107"/>
      <c r="Q91" s="108"/>
      <c r="R91" s="308"/>
      <c r="S91" s="46"/>
      <c r="T91" s="47"/>
      <c r="U91" s="109"/>
      <c r="V91" s="110"/>
      <c r="W91" s="111"/>
      <c r="X91" s="114"/>
      <c r="Y91" s="299"/>
      <c r="Z91" s="300"/>
      <c r="AA91" s="115"/>
      <c r="AB91" s="108"/>
      <c r="AC91" s="313"/>
    </row>
    <row r="92" spans="1:29" ht="15.75" customHeight="1">
      <c r="A92" s="302"/>
      <c r="B92" s="98"/>
      <c r="C92" s="297"/>
      <c r="D92" s="298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8"/>
      <c r="S92" s="46"/>
      <c r="T92" s="47"/>
      <c r="U92" s="109"/>
      <c r="V92" s="110"/>
      <c r="W92" s="111"/>
      <c r="X92" s="114"/>
      <c r="Y92" s="299"/>
      <c r="Z92" s="300"/>
      <c r="AA92" s="115"/>
      <c r="AB92" s="108"/>
      <c r="AC92" s="313"/>
    </row>
    <row r="93" spans="1:29" ht="15.75" customHeight="1">
      <c r="A93" s="302"/>
      <c r="B93" s="98"/>
      <c r="C93" s="297"/>
      <c r="D93" s="298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8"/>
      <c r="S93" s="46"/>
      <c r="T93" s="47"/>
      <c r="U93" s="109"/>
      <c r="V93" s="110"/>
      <c r="W93" s="111"/>
      <c r="X93" s="114"/>
      <c r="Y93" s="299"/>
      <c r="Z93" s="300"/>
      <c r="AA93" s="115"/>
      <c r="AB93" s="108"/>
      <c r="AC93" s="313"/>
    </row>
    <row r="94" spans="1:29" ht="15.75" customHeight="1">
      <c r="A94" s="303"/>
      <c r="B94" s="98"/>
      <c r="C94" s="297"/>
      <c r="D94" s="298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8"/>
      <c r="S94" s="46"/>
      <c r="T94" s="47"/>
      <c r="U94" s="109"/>
      <c r="V94" s="110"/>
      <c r="W94" s="111"/>
      <c r="X94" s="114"/>
      <c r="Y94" s="299"/>
      <c r="Z94" s="300"/>
      <c r="AA94" s="115"/>
      <c r="AB94" s="108"/>
      <c r="AC94" s="313"/>
    </row>
    <row r="95" spans="1:29" ht="15.75" customHeight="1">
      <c r="A95" s="303"/>
      <c r="B95" s="98"/>
      <c r="C95" s="297"/>
      <c r="D95" s="298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8"/>
      <c r="S95" s="46"/>
      <c r="T95" s="118"/>
      <c r="U95" s="109"/>
      <c r="V95" s="110"/>
      <c r="W95" s="111"/>
      <c r="X95" s="114"/>
      <c r="Y95" s="299"/>
      <c r="Z95" s="300"/>
      <c r="AA95" s="115"/>
      <c r="AB95" s="108"/>
      <c r="AC95" s="313"/>
    </row>
    <row r="96" spans="1:29" ht="15.75" customHeight="1">
      <c r="A96" s="303"/>
      <c r="B96" s="98"/>
      <c r="C96" s="297"/>
      <c r="D96" s="298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8"/>
      <c r="S96" s="46"/>
      <c r="T96" s="118"/>
      <c r="U96" s="109"/>
      <c r="V96" s="110"/>
      <c r="W96" s="111"/>
      <c r="X96" s="114"/>
      <c r="Y96" s="299"/>
      <c r="Z96" s="300"/>
      <c r="AA96" s="115"/>
      <c r="AB96" s="108"/>
      <c r="AC96" s="313"/>
    </row>
    <row r="97" spans="1:29" ht="15.75" customHeight="1">
      <c r="A97" s="303"/>
      <c r="B97" s="98"/>
      <c r="C97" s="297"/>
      <c r="D97" s="298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8"/>
      <c r="S97" s="46"/>
      <c r="T97" s="118"/>
      <c r="U97" s="109"/>
      <c r="V97" s="110"/>
      <c r="W97" s="111"/>
      <c r="X97" s="114"/>
      <c r="Y97" s="299"/>
      <c r="Z97" s="300"/>
      <c r="AA97" s="115"/>
      <c r="AB97" s="108"/>
      <c r="AC97" s="313"/>
    </row>
    <row r="98" spans="1:29" ht="15.75" customHeight="1">
      <c r="A98" s="303"/>
      <c r="B98" s="98"/>
      <c r="C98" s="297"/>
      <c r="D98" s="298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8"/>
      <c r="S98" s="46"/>
      <c r="T98" s="118"/>
      <c r="U98" s="109"/>
      <c r="V98" s="110"/>
      <c r="W98" s="111"/>
      <c r="X98" s="114"/>
      <c r="Y98" s="299"/>
      <c r="Z98" s="300"/>
      <c r="AA98" s="115"/>
      <c r="AB98" s="108"/>
      <c r="AC98" s="313"/>
    </row>
    <row r="99" spans="1:29" ht="15.75" customHeight="1">
      <c r="A99" s="303"/>
      <c r="B99" s="98"/>
      <c r="C99" s="297"/>
      <c r="D99" s="298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8"/>
      <c r="S99" s="46"/>
      <c r="T99" s="118"/>
      <c r="U99" s="109"/>
      <c r="V99" s="110"/>
      <c r="W99" s="111"/>
      <c r="X99" s="114"/>
      <c r="Y99" s="299"/>
      <c r="Z99" s="300"/>
      <c r="AA99" s="115"/>
      <c r="AB99" s="108"/>
      <c r="AC99" s="313"/>
    </row>
    <row r="100" spans="1:29" ht="15.75" customHeight="1">
      <c r="A100" s="303"/>
      <c r="B100" s="98"/>
      <c r="C100" s="297"/>
      <c r="D100" s="298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8"/>
      <c r="S100" s="46"/>
      <c r="T100" s="118"/>
      <c r="U100" s="109"/>
      <c r="V100" s="110"/>
      <c r="W100" s="124"/>
      <c r="X100" s="125"/>
      <c r="Y100" s="299"/>
      <c r="Z100" s="300"/>
      <c r="AA100" s="115"/>
      <c r="AB100" s="108"/>
      <c r="AC100" s="313"/>
    </row>
    <row r="101" spans="1:29" ht="15.75" customHeight="1">
      <c r="A101" s="303"/>
      <c r="B101" s="98"/>
      <c r="C101" s="297"/>
      <c r="D101" s="298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8"/>
      <c r="S101" s="46"/>
      <c r="T101" s="118"/>
      <c r="U101" s="109"/>
      <c r="V101" s="110"/>
      <c r="W101" s="124"/>
      <c r="X101" s="125"/>
      <c r="Y101" s="299"/>
      <c r="Z101" s="300"/>
      <c r="AA101" s="115"/>
      <c r="AB101" s="108"/>
      <c r="AC101" s="313"/>
    </row>
    <row r="102" spans="1:29" ht="15.75" customHeight="1">
      <c r="A102" s="303"/>
      <c r="B102" s="98"/>
      <c r="C102" s="297"/>
      <c r="D102" s="298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8"/>
      <c r="S102" s="46"/>
      <c r="T102" s="118"/>
      <c r="U102" s="109"/>
      <c r="V102" s="110"/>
      <c r="W102" s="124"/>
      <c r="X102" s="125"/>
      <c r="Y102" s="299"/>
      <c r="Z102" s="300"/>
      <c r="AA102" s="115"/>
      <c r="AB102" s="108"/>
      <c r="AC102" s="313"/>
    </row>
    <row r="103" spans="1:29" ht="15.75" customHeight="1">
      <c r="A103" s="303"/>
      <c r="B103" s="98"/>
      <c r="C103" s="297"/>
      <c r="D103" s="298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8"/>
      <c r="S103" s="46"/>
      <c r="T103" s="118"/>
      <c r="U103" s="109"/>
      <c r="V103" s="110"/>
      <c r="W103" s="124"/>
      <c r="X103" s="125"/>
      <c r="Y103" s="299"/>
      <c r="Z103" s="300"/>
      <c r="AA103" s="115"/>
      <c r="AB103" s="108"/>
      <c r="AC103" s="313"/>
    </row>
    <row r="104" spans="1:29" ht="15.75" customHeight="1">
      <c r="A104" s="303"/>
      <c r="B104" s="98"/>
      <c r="C104" s="297"/>
      <c r="D104" s="298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8"/>
      <c r="S104" s="46"/>
      <c r="T104" s="118"/>
      <c r="U104" s="109"/>
      <c r="V104" s="110"/>
      <c r="W104" s="124"/>
      <c r="X104" s="125"/>
      <c r="Y104" s="299"/>
      <c r="Z104" s="300"/>
      <c r="AA104" s="115"/>
      <c r="AB104" s="108"/>
      <c r="AC104" s="313"/>
    </row>
    <row r="105" spans="1:29" ht="15.75" customHeight="1">
      <c r="A105" s="303"/>
      <c r="B105" s="98"/>
      <c r="C105" s="297"/>
      <c r="D105" s="298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8"/>
      <c r="S105" s="117"/>
      <c r="T105" s="118"/>
      <c r="U105" s="128"/>
      <c r="V105" s="129"/>
      <c r="W105" s="124"/>
      <c r="X105" s="125"/>
      <c r="Y105" s="299"/>
      <c r="Z105" s="300"/>
      <c r="AA105" s="163"/>
      <c r="AB105" s="123"/>
      <c r="AC105" s="313"/>
    </row>
    <row r="106" spans="1:29" ht="15.75" customHeight="1" thickBot="1">
      <c r="A106" s="304"/>
      <c r="B106" s="131" t="s">
        <v>115</v>
      </c>
      <c r="C106" s="294"/>
      <c r="D106" s="294"/>
      <c r="E106" s="132"/>
      <c r="F106" s="97"/>
      <c r="G106" s="133"/>
      <c r="H106" s="67"/>
      <c r="I106" s="134">
        <f t="shared" ref="I106:J106" si="45">AVERAGE(I90:I105)</f>
        <v>4</v>
      </c>
      <c r="J106" s="135">
        <f t="shared" si="45"/>
        <v>3000</v>
      </c>
      <c r="K106" s="136">
        <f t="shared" ref="K106" si="46">J106/I106</f>
        <v>750</v>
      </c>
      <c r="L106" s="134">
        <f t="shared" ref="L106:M106" si="47">AVERAGE(L90:L105)</f>
        <v>4</v>
      </c>
      <c r="M106" s="135">
        <f t="shared" si="47"/>
        <v>2791.9478895308025</v>
      </c>
      <c r="N106" s="136">
        <f t="shared" ref="N106:N120" si="48">M106/L106</f>
        <v>697.98697238270063</v>
      </c>
      <c r="O106" s="137">
        <f t="shared" ref="O106:O120" si="49">L106-I106</f>
        <v>0</v>
      </c>
      <c r="P106" s="138">
        <f t="shared" ref="P106:P120" si="50">N106-K106</f>
        <v>-52.013027617299372</v>
      </c>
      <c r="Q106" s="139">
        <f t="shared" ref="Q106:Q120" si="51">N106/K106</f>
        <v>0.93064929651026751</v>
      </c>
      <c r="R106" s="309"/>
      <c r="S106" s="140">
        <v>0.70833333333333337</v>
      </c>
      <c r="T106" s="141">
        <v>0.71855324074074078</v>
      </c>
      <c r="U106" s="142"/>
      <c r="V106" s="164"/>
      <c r="W106" s="97"/>
      <c r="X106" s="67"/>
      <c r="Y106" s="295"/>
      <c r="Z106" s="296"/>
      <c r="AA106" s="166">
        <f t="shared" ref="AA106:AA120" si="52">M106-J106</f>
        <v>-208.05211046919749</v>
      </c>
      <c r="AB106" s="139">
        <f t="shared" ref="AB106:AB120" si="53">M106/J106</f>
        <v>0.93064929651026751</v>
      </c>
      <c r="AC106" s="314"/>
    </row>
    <row r="107" spans="1:29" ht="15.75" customHeight="1">
      <c r="A107" s="315" t="s">
        <v>138</v>
      </c>
      <c r="B107" s="112" t="s">
        <v>118</v>
      </c>
      <c r="C107" s="305" t="s">
        <v>139</v>
      </c>
      <c r="D107" s="306"/>
      <c r="E107" s="145">
        <v>14.03</v>
      </c>
      <c r="F107" s="95">
        <v>284</v>
      </c>
      <c r="G107" s="146">
        <f t="shared" ref="G107:G120" si="54">E107*F107</f>
        <v>3984.52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55">F107/V107*60</f>
        <v>2794.4930972203974</v>
      </c>
      <c r="N107" s="150">
        <f t="shared" si="48"/>
        <v>931.49769907346581</v>
      </c>
      <c r="O107" s="152">
        <f t="shared" si="49"/>
        <v>0</v>
      </c>
      <c r="P107" s="153">
        <f t="shared" si="50"/>
        <v>-68.50230092653419</v>
      </c>
      <c r="Q107" s="154">
        <f t="shared" si="51"/>
        <v>0.9314976990734658</v>
      </c>
      <c r="R107" s="307">
        <f>Q123</f>
        <v>0.91587392934801826</v>
      </c>
      <c r="S107" s="155">
        <v>0.73055555555555551</v>
      </c>
      <c r="T107" s="156">
        <v>0.73478009259259258</v>
      </c>
      <c r="U107" s="157"/>
      <c r="V107" s="158">
        <v>6.0977069569251041</v>
      </c>
      <c r="W107" s="159"/>
      <c r="X107" s="160"/>
      <c r="Y107" s="310"/>
      <c r="Z107" s="311"/>
      <c r="AA107" s="113">
        <f t="shared" si="52"/>
        <v>-205.50690277960257</v>
      </c>
      <c r="AB107" s="154">
        <f t="shared" si="53"/>
        <v>0.9314976990734658</v>
      </c>
      <c r="AC107" s="312">
        <f>AB123</f>
        <v>0.91587392934801815</v>
      </c>
    </row>
    <row r="108" spans="1:29" ht="15.75" customHeight="1">
      <c r="A108" s="316"/>
      <c r="B108" s="98" t="s">
        <v>118</v>
      </c>
      <c r="C108" s="297" t="s">
        <v>140</v>
      </c>
      <c r="D108" s="298"/>
      <c r="E108" s="99">
        <v>18.18</v>
      </c>
      <c r="F108" s="100">
        <v>538</v>
      </c>
      <c r="G108" s="101">
        <f t="shared" si="54"/>
        <v>9780.84</v>
      </c>
      <c r="H108" s="26">
        <v>2</v>
      </c>
      <c r="I108" s="102">
        <v>3</v>
      </c>
      <c r="J108" s="103">
        <v>3000</v>
      </c>
      <c r="K108" s="104">
        <f t="shared" ref="K108:K137" si="56">J108/I108</f>
        <v>1000</v>
      </c>
      <c r="L108" s="105">
        <v>3</v>
      </c>
      <c r="M108" s="103">
        <f t="shared" si="55"/>
        <v>2791.8606218021919</v>
      </c>
      <c r="N108" s="104">
        <f t="shared" si="48"/>
        <v>930.62020726739729</v>
      </c>
      <c r="O108" s="106">
        <f t="shared" si="49"/>
        <v>0</v>
      </c>
      <c r="P108" s="107">
        <f t="shared" si="50"/>
        <v>-69.379792732602709</v>
      </c>
      <c r="Q108" s="108">
        <f t="shared" si="51"/>
        <v>0.93062020726739725</v>
      </c>
      <c r="R108" s="308"/>
      <c r="S108" s="46">
        <v>0.74444444444444435</v>
      </c>
      <c r="T108" s="47">
        <v>0.75246527777777772</v>
      </c>
      <c r="U108" s="109">
        <v>13.916666666666551</v>
      </c>
      <c r="V108" s="110">
        <v>11.562181775092601</v>
      </c>
      <c r="W108" s="111"/>
      <c r="X108" s="114"/>
      <c r="Y108" s="299"/>
      <c r="Z108" s="300"/>
      <c r="AA108" s="115">
        <f t="shared" si="52"/>
        <v>-208.13937819780813</v>
      </c>
      <c r="AB108" s="108">
        <f t="shared" si="53"/>
        <v>0.93062020726739725</v>
      </c>
      <c r="AC108" s="313"/>
    </row>
    <row r="109" spans="1:29" ht="15.75" customHeight="1">
      <c r="A109" s="316"/>
      <c r="B109" s="98" t="s">
        <v>118</v>
      </c>
      <c r="C109" s="297" t="s">
        <v>144</v>
      </c>
      <c r="D109" s="298"/>
      <c r="E109" s="99">
        <v>18.18</v>
      </c>
      <c r="F109" s="100">
        <v>376</v>
      </c>
      <c r="G109" s="101">
        <f t="shared" si="54"/>
        <v>6835.68</v>
      </c>
      <c r="H109" s="26">
        <v>2</v>
      </c>
      <c r="I109" s="102">
        <v>3</v>
      </c>
      <c r="J109" s="103">
        <v>3600</v>
      </c>
      <c r="K109" s="104">
        <f t="shared" si="56"/>
        <v>1200</v>
      </c>
      <c r="L109" s="105">
        <v>3</v>
      </c>
      <c r="M109" s="103">
        <f t="shared" si="55"/>
        <v>3276.996745747027</v>
      </c>
      <c r="N109" s="104">
        <f t="shared" si="48"/>
        <v>1092.3322485823423</v>
      </c>
      <c r="O109" s="106">
        <f t="shared" si="49"/>
        <v>0</v>
      </c>
      <c r="P109" s="107">
        <f t="shared" si="50"/>
        <v>-107.66775141765766</v>
      </c>
      <c r="Q109" s="108">
        <f t="shared" si="51"/>
        <v>0.91027687381861866</v>
      </c>
      <c r="R109" s="308"/>
      <c r="S109" s="46">
        <v>0.7618055555555554</v>
      </c>
      <c r="T109" s="47">
        <v>0.766585648148148</v>
      </c>
      <c r="U109" s="109">
        <v>13.449999999999864</v>
      </c>
      <c r="V109" s="110">
        <v>6.884352274465626</v>
      </c>
      <c r="W109" s="111"/>
      <c r="X109" s="114"/>
      <c r="Y109" s="299"/>
      <c r="Z109" s="300"/>
      <c r="AA109" s="115">
        <f t="shared" si="52"/>
        <v>-323.00325425297297</v>
      </c>
      <c r="AB109" s="108">
        <f t="shared" si="53"/>
        <v>0.91027687381861866</v>
      </c>
      <c r="AC109" s="313"/>
    </row>
    <row r="110" spans="1:29" ht="15.75" customHeight="1">
      <c r="A110" s="316"/>
      <c r="B110" s="98" t="s">
        <v>118</v>
      </c>
      <c r="C110" s="297" t="s">
        <v>133</v>
      </c>
      <c r="D110" s="298"/>
      <c r="E110" s="99">
        <v>16.7</v>
      </c>
      <c r="F110" s="100">
        <v>642</v>
      </c>
      <c r="G110" s="101">
        <f t="shared" si="54"/>
        <v>10721.4</v>
      </c>
      <c r="H110" s="26">
        <v>2</v>
      </c>
      <c r="I110" s="102">
        <v>3</v>
      </c>
      <c r="J110" s="103">
        <v>3600</v>
      </c>
      <c r="K110" s="104">
        <f t="shared" si="56"/>
        <v>1200</v>
      </c>
      <c r="L110" s="105">
        <v>3</v>
      </c>
      <c r="M110" s="103">
        <f t="shared" si="55"/>
        <v>3277.3088599768594</v>
      </c>
      <c r="N110" s="104">
        <f t="shared" si="48"/>
        <v>1092.4362866589531</v>
      </c>
      <c r="O110" s="106">
        <f t="shared" si="49"/>
        <v>0</v>
      </c>
      <c r="P110" s="107">
        <f t="shared" si="50"/>
        <v>-107.56371334104688</v>
      </c>
      <c r="Q110" s="108">
        <f t="shared" si="51"/>
        <v>0.91036357221579423</v>
      </c>
      <c r="R110" s="308"/>
      <c r="S110" s="46">
        <v>0.77569444444444424</v>
      </c>
      <c r="T110" s="47">
        <v>0.78385416666666652</v>
      </c>
      <c r="U110" s="109">
        <v>13.116666666666585</v>
      </c>
      <c r="V110" s="110">
        <v>11.753545865149855</v>
      </c>
      <c r="W110" s="111"/>
      <c r="X110" s="114"/>
      <c r="Y110" s="299"/>
      <c r="Z110" s="300"/>
      <c r="AA110" s="115">
        <f t="shared" si="52"/>
        <v>-322.69114002314063</v>
      </c>
      <c r="AB110" s="108">
        <f t="shared" si="53"/>
        <v>0.91036357221579423</v>
      </c>
      <c r="AC110" s="313"/>
    </row>
    <row r="111" spans="1:29" ht="15.75" customHeight="1">
      <c r="A111" s="316"/>
      <c r="B111" s="98" t="s">
        <v>118</v>
      </c>
      <c r="C111" s="297" t="s">
        <v>193</v>
      </c>
      <c r="D111" s="298"/>
      <c r="E111" s="99">
        <v>30</v>
      </c>
      <c r="F111" s="100">
        <v>559</v>
      </c>
      <c r="G111" s="101">
        <f t="shared" si="54"/>
        <v>16770</v>
      </c>
      <c r="H111" s="26">
        <v>2</v>
      </c>
      <c r="I111" s="102">
        <v>4</v>
      </c>
      <c r="J111" s="103">
        <v>3600</v>
      </c>
      <c r="K111" s="104">
        <f t="shared" si="56"/>
        <v>900</v>
      </c>
      <c r="L111" s="105">
        <v>4</v>
      </c>
      <c r="M111" s="103">
        <f t="shared" si="55"/>
        <v>3277.3278088416291</v>
      </c>
      <c r="N111" s="104">
        <f t="shared" si="48"/>
        <v>819.33195221040728</v>
      </c>
      <c r="O111" s="106">
        <f t="shared" si="49"/>
        <v>0</v>
      </c>
      <c r="P111" s="107">
        <f t="shared" si="50"/>
        <v>-80.66804778959272</v>
      </c>
      <c r="Q111" s="108">
        <f t="shared" si="51"/>
        <v>0.91036883578934147</v>
      </c>
      <c r="R111" s="308"/>
      <c r="S111" s="46">
        <v>0.79305555555555529</v>
      </c>
      <c r="T111" s="47">
        <v>0.80016203703703681</v>
      </c>
      <c r="U111" s="109">
        <v>13.249999999999833</v>
      </c>
      <c r="V111" s="110">
        <v>10.233947275434344</v>
      </c>
      <c r="W111" s="111"/>
      <c r="X111" s="114"/>
      <c r="Y111" s="299"/>
      <c r="Z111" s="300"/>
      <c r="AA111" s="115">
        <f t="shared" si="52"/>
        <v>-322.67219115837088</v>
      </c>
      <c r="AB111" s="108">
        <f t="shared" si="53"/>
        <v>0.91036883578934147</v>
      </c>
      <c r="AC111" s="313"/>
    </row>
    <row r="112" spans="1:29" ht="15.75" customHeight="1">
      <c r="A112" s="316"/>
      <c r="B112" s="98" t="s">
        <v>118</v>
      </c>
      <c r="C112" s="297" t="s">
        <v>146</v>
      </c>
      <c r="D112" s="298"/>
      <c r="E112" s="99">
        <v>25.03</v>
      </c>
      <c r="F112" s="100">
        <v>364</v>
      </c>
      <c r="G112" s="119">
        <f t="shared" si="54"/>
        <v>9110.92</v>
      </c>
      <c r="H112" s="26">
        <v>2</v>
      </c>
      <c r="I112" s="102">
        <v>5</v>
      </c>
      <c r="J112" s="103">
        <v>3600</v>
      </c>
      <c r="K112" s="104">
        <f t="shared" si="56"/>
        <v>720</v>
      </c>
      <c r="L112" s="105">
        <v>5</v>
      </c>
      <c r="M112" s="103">
        <f t="shared" si="55"/>
        <v>3276.1527196544707</v>
      </c>
      <c r="N112" s="104">
        <f t="shared" si="48"/>
        <v>655.2305439308941</v>
      </c>
      <c r="O112" s="106">
        <f t="shared" si="49"/>
        <v>0</v>
      </c>
      <c r="P112" s="107">
        <f t="shared" si="50"/>
        <v>-64.7694560691059</v>
      </c>
      <c r="Q112" s="108">
        <f t="shared" si="51"/>
        <v>0.91004242212624176</v>
      </c>
      <c r="R112" s="308"/>
      <c r="S112" s="46">
        <v>0.8097222222222219</v>
      </c>
      <c r="T112" s="118">
        <v>0.81434027777777751</v>
      </c>
      <c r="U112" s="109">
        <v>13.766666666666527</v>
      </c>
      <c r="V112" s="110">
        <v>6.6663558963464382</v>
      </c>
      <c r="W112" s="111"/>
      <c r="X112" s="114"/>
      <c r="Y112" s="299"/>
      <c r="Z112" s="300"/>
      <c r="AA112" s="115">
        <f t="shared" si="52"/>
        <v>-323.84728034552927</v>
      </c>
      <c r="AB112" s="108">
        <f t="shared" si="53"/>
        <v>0.91004242212624187</v>
      </c>
      <c r="AC112" s="313"/>
    </row>
    <row r="113" spans="1:29" ht="15.75" customHeight="1">
      <c r="A113" s="316"/>
      <c r="B113" s="98" t="s">
        <v>118</v>
      </c>
      <c r="C113" s="297" t="s">
        <v>137</v>
      </c>
      <c r="D113" s="298"/>
      <c r="E113" s="99">
        <v>16.66</v>
      </c>
      <c r="F113" s="100">
        <v>1867</v>
      </c>
      <c r="G113" s="119">
        <f t="shared" si="54"/>
        <v>31104.22</v>
      </c>
      <c r="H113" s="26">
        <v>2</v>
      </c>
      <c r="I113" s="102">
        <v>5</v>
      </c>
      <c r="J113" s="103">
        <v>3600</v>
      </c>
      <c r="K113" s="104">
        <f t="shared" si="56"/>
        <v>720</v>
      </c>
      <c r="L113" s="105">
        <v>5</v>
      </c>
      <c r="M113" s="103">
        <f t="shared" si="55"/>
        <v>3282.2855656585421</v>
      </c>
      <c r="N113" s="104">
        <f t="shared" si="48"/>
        <v>656.45711313170841</v>
      </c>
      <c r="O113" s="121">
        <f t="shared" si="49"/>
        <v>0</v>
      </c>
      <c r="P113" s="122">
        <f t="shared" si="50"/>
        <v>-63.542886868291589</v>
      </c>
      <c r="Q113" s="123">
        <f t="shared" si="51"/>
        <v>0.91174599046070615</v>
      </c>
      <c r="R113" s="308"/>
      <c r="S113" s="46">
        <v>0.82361111111111074</v>
      </c>
      <c r="T113" s="118">
        <v>0.84730324074074037</v>
      </c>
      <c r="U113" s="109">
        <v>13.349999999999849</v>
      </c>
      <c r="V113" s="110">
        <v>34.128657534258402</v>
      </c>
      <c r="W113" s="111"/>
      <c r="X113" s="114"/>
      <c r="Y113" s="299"/>
      <c r="Z113" s="300"/>
      <c r="AA113" s="115">
        <f t="shared" si="52"/>
        <v>-317.71443434145795</v>
      </c>
      <c r="AB113" s="108">
        <f t="shared" si="53"/>
        <v>0.91174599046070615</v>
      </c>
      <c r="AC113" s="313"/>
    </row>
    <row r="114" spans="1:29" ht="15.75" customHeight="1">
      <c r="A114" s="316"/>
      <c r="B114" s="98" t="s">
        <v>118</v>
      </c>
      <c r="C114" s="297" t="s">
        <v>140</v>
      </c>
      <c r="D114" s="298"/>
      <c r="E114" s="99">
        <v>18.18</v>
      </c>
      <c r="F114" s="100">
        <v>674</v>
      </c>
      <c r="G114" s="119">
        <f t="shared" si="54"/>
        <v>12253.32</v>
      </c>
      <c r="H114" s="26"/>
      <c r="I114" s="102">
        <v>3</v>
      </c>
      <c r="J114" s="103">
        <v>3000</v>
      </c>
      <c r="K114" s="104">
        <f t="shared" si="56"/>
        <v>1000</v>
      </c>
      <c r="L114" s="116">
        <v>3</v>
      </c>
      <c r="M114" s="103">
        <f t="shared" si="55"/>
        <v>2792.5809030890659</v>
      </c>
      <c r="N114" s="104">
        <f t="shared" si="48"/>
        <v>930.86030102968869</v>
      </c>
      <c r="O114" s="121">
        <f t="shared" si="49"/>
        <v>0</v>
      </c>
      <c r="P114" s="122">
        <f t="shared" si="50"/>
        <v>-69.139698970311315</v>
      </c>
      <c r="Q114" s="123">
        <f t="shared" si="51"/>
        <v>0.93086030102968864</v>
      </c>
      <c r="R114" s="308"/>
      <c r="S114" s="46">
        <v>0.85694444444444406</v>
      </c>
      <c r="T114" s="118">
        <v>0.86699074074074034</v>
      </c>
      <c r="U114" s="109">
        <v>13.883333333333319</v>
      </c>
      <c r="V114" s="110">
        <v>14.4812277256736</v>
      </c>
      <c r="W114" s="111"/>
      <c r="X114" s="114"/>
      <c r="Y114" s="299"/>
      <c r="Z114" s="300"/>
      <c r="AA114" s="115">
        <f t="shared" si="52"/>
        <v>-207.41909691093406</v>
      </c>
      <c r="AB114" s="108">
        <f t="shared" si="53"/>
        <v>0.93086030102968864</v>
      </c>
      <c r="AC114" s="313"/>
    </row>
    <row r="115" spans="1:29" ht="15.75" customHeight="1">
      <c r="A115" s="316"/>
      <c r="B115" s="98" t="s">
        <v>118</v>
      </c>
      <c r="C115" s="297" t="s">
        <v>144</v>
      </c>
      <c r="D115" s="298"/>
      <c r="E115" s="99">
        <v>18.18</v>
      </c>
      <c r="F115" s="100">
        <v>424</v>
      </c>
      <c r="G115" s="119">
        <f t="shared" si="54"/>
        <v>7708.32</v>
      </c>
      <c r="H115" s="26"/>
      <c r="I115" s="102">
        <v>3</v>
      </c>
      <c r="J115" s="103">
        <v>3600</v>
      </c>
      <c r="K115" s="104">
        <f t="shared" si="56"/>
        <v>1200</v>
      </c>
      <c r="L115" s="116">
        <v>3</v>
      </c>
      <c r="M115" s="103">
        <f t="shared" si="55"/>
        <v>3276.996745747027</v>
      </c>
      <c r="N115" s="104">
        <f t="shared" si="48"/>
        <v>1092.3322485823423</v>
      </c>
      <c r="O115" s="121">
        <f t="shared" si="49"/>
        <v>0</v>
      </c>
      <c r="P115" s="122">
        <f t="shared" si="50"/>
        <v>-107.66775141765766</v>
      </c>
      <c r="Q115" s="123">
        <f t="shared" si="51"/>
        <v>0.91027687381861866</v>
      </c>
      <c r="R115" s="308"/>
      <c r="S115" s="46">
        <v>0.87638888888888844</v>
      </c>
      <c r="T115" s="118">
        <v>0.88177083333333284</v>
      </c>
      <c r="U115" s="109">
        <v>13.533333333333264</v>
      </c>
      <c r="V115" s="110">
        <v>7.7632057563123009</v>
      </c>
      <c r="W115" s="111"/>
      <c r="X115" s="114"/>
      <c r="Y115" s="299"/>
      <c r="Z115" s="300"/>
      <c r="AA115" s="115">
        <f t="shared" si="52"/>
        <v>-323.00325425297297</v>
      </c>
      <c r="AB115" s="108">
        <f t="shared" si="53"/>
        <v>0.91027687381861866</v>
      </c>
      <c r="AC115" s="313"/>
    </row>
    <row r="116" spans="1:29" ht="15.75" customHeight="1">
      <c r="A116" s="316"/>
      <c r="B116" s="98" t="s">
        <v>118</v>
      </c>
      <c r="C116" s="297" t="s">
        <v>133</v>
      </c>
      <c r="D116" s="298"/>
      <c r="E116" s="99">
        <v>16.7</v>
      </c>
      <c r="F116" s="100">
        <v>898</v>
      </c>
      <c r="G116" s="119">
        <f t="shared" si="54"/>
        <v>14996.599999999999</v>
      </c>
      <c r="H116" s="26"/>
      <c r="I116" s="102">
        <v>3</v>
      </c>
      <c r="J116" s="103">
        <v>3600</v>
      </c>
      <c r="K116" s="104">
        <f t="shared" si="56"/>
        <v>1200</v>
      </c>
      <c r="L116" s="116">
        <v>3</v>
      </c>
      <c r="M116" s="103">
        <f t="shared" si="55"/>
        <v>3281.3006326701316</v>
      </c>
      <c r="N116" s="104">
        <f t="shared" si="48"/>
        <v>1093.7668775567106</v>
      </c>
      <c r="O116" s="121">
        <f t="shared" si="49"/>
        <v>0</v>
      </c>
      <c r="P116" s="122">
        <f t="shared" si="50"/>
        <v>-106.2331224432894</v>
      </c>
      <c r="Q116" s="123">
        <f t="shared" si="51"/>
        <v>0.91147239796392554</v>
      </c>
      <c r="R116" s="308"/>
      <c r="S116" s="46">
        <v>0.89097222222222172</v>
      </c>
      <c r="T116" s="118">
        <v>0.90237268518518465</v>
      </c>
      <c r="U116" s="109">
        <v>13.249999999999993</v>
      </c>
      <c r="V116" s="110">
        <v>16.420318048138</v>
      </c>
      <c r="W116" s="111"/>
      <c r="X116" s="114"/>
      <c r="Y116" s="299"/>
      <c r="Z116" s="300"/>
      <c r="AA116" s="115">
        <f t="shared" si="52"/>
        <v>-318.69936732986844</v>
      </c>
      <c r="AB116" s="108">
        <f t="shared" si="53"/>
        <v>0.91147239796392543</v>
      </c>
      <c r="AC116" s="313"/>
    </row>
    <row r="117" spans="1:29" ht="15.75" customHeight="1">
      <c r="A117" s="316"/>
      <c r="B117" s="98" t="s">
        <v>118</v>
      </c>
      <c r="C117" s="297" t="s">
        <v>193</v>
      </c>
      <c r="D117" s="298"/>
      <c r="E117" s="99">
        <v>30</v>
      </c>
      <c r="F117" s="100">
        <v>709</v>
      </c>
      <c r="G117" s="119">
        <f t="shared" si="54"/>
        <v>21270</v>
      </c>
      <c r="H117" s="26"/>
      <c r="I117" s="102">
        <v>4</v>
      </c>
      <c r="J117" s="103">
        <v>3600</v>
      </c>
      <c r="K117" s="104">
        <f t="shared" si="56"/>
        <v>900</v>
      </c>
      <c r="L117" s="116">
        <v>4</v>
      </c>
      <c r="M117" s="103">
        <f t="shared" si="55"/>
        <v>3277.3278088416291</v>
      </c>
      <c r="N117" s="104">
        <f t="shared" si="48"/>
        <v>819.33195221040728</v>
      </c>
      <c r="O117" s="121">
        <f t="shared" si="49"/>
        <v>0</v>
      </c>
      <c r="P117" s="122">
        <f t="shared" si="50"/>
        <v>-80.66804778959272</v>
      </c>
      <c r="Q117" s="123">
        <f t="shared" si="51"/>
        <v>0.91036883578934147</v>
      </c>
      <c r="R117" s="308"/>
      <c r="S117" s="46">
        <v>0.91180555555555498</v>
      </c>
      <c r="T117" s="118">
        <v>0.92081018518518465</v>
      </c>
      <c r="U117" s="109">
        <v>13.583333333333272</v>
      </c>
      <c r="V117" s="110">
        <v>12.98008697367254</v>
      </c>
      <c r="W117" s="124"/>
      <c r="X117" s="125"/>
      <c r="Y117" s="299"/>
      <c r="Z117" s="300"/>
      <c r="AA117" s="115">
        <f t="shared" si="52"/>
        <v>-322.67219115837088</v>
      </c>
      <c r="AB117" s="108">
        <f t="shared" si="53"/>
        <v>0.91036883578934147</v>
      </c>
      <c r="AC117" s="313"/>
    </row>
    <row r="118" spans="1:29" ht="15.75" customHeight="1">
      <c r="A118" s="316"/>
      <c r="B118" s="98" t="s">
        <v>118</v>
      </c>
      <c r="C118" s="297" t="s">
        <v>146</v>
      </c>
      <c r="D118" s="298"/>
      <c r="E118" s="99">
        <v>25.03</v>
      </c>
      <c r="F118" s="100">
        <v>384</v>
      </c>
      <c r="G118" s="119">
        <f t="shared" si="54"/>
        <v>9611.52</v>
      </c>
      <c r="H118" s="60"/>
      <c r="I118" s="102">
        <v>5</v>
      </c>
      <c r="J118" s="103">
        <v>3600</v>
      </c>
      <c r="K118" s="104">
        <f t="shared" si="56"/>
        <v>720</v>
      </c>
      <c r="L118" s="116">
        <v>5</v>
      </c>
      <c r="M118" s="103">
        <f t="shared" si="55"/>
        <v>3276.1527196544703</v>
      </c>
      <c r="N118" s="104">
        <f t="shared" si="48"/>
        <v>655.2305439308941</v>
      </c>
      <c r="O118" s="121">
        <f t="shared" si="49"/>
        <v>0</v>
      </c>
      <c r="P118" s="122">
        <f t="shared" si="50"/>
        <v>-64.7694560691059</v>
      </c>
      <c r="Q118" s="123">
        <f t="shared" si="51"/>
        <v>0.91004242212624176</v>
      </c>
      <c r="R118" s="308"/>
      <c r="S118" s="46">
        <v>0.92986111111111047</v>
      </c>
      <c r="T118" s="118">
        <v>0.9347337962962956</v>
      </c>
      <c r="U118" s="109">
        <v>13.033333333333186</v>
      </c>
      <c r="V118" s="110">
        <v>7.0326391873544853</v>
      </c>
      <c r="W118" s="124"/>
      <c r="X118" s="125"/>
      <c r="Y118" s="299"/>
      <c r="Z118" s="300"/>
      <c r="AA118" s="115">
        <f t="shared" si="52"/>
        <v>-323.84728034552973</v>
      </c>
      <c r="AB118" s="108">
        <f t="shared" si="53"/>
        <v>0.91004242212624176</v>
      </c>
      <c r="AC118" s="313"/>
    </row>
    <row r="119" spans="1:29" ht="15.75" customHeight="1">
      <c r="A119" s="316"/>
      <c r="B119" s="98" t="s">
        <v>118</v>
      </c>
      <c r="C119" s="297" t="s">
        <v>139</v>
      </c>
      <c r="D119" s="298"/>
      <c r="E119" s="99">
        <v>14.03</v>
      </c>
      <c r="F119" s="100">
        <v>4145</v>
      </c>
      <c r="G119" s="119">
        <f t="shared" si="54"/>
        <v>58154.35</v>
      </c>
      <c r="H119" s="60"/>
      <c r="I119" s="102">
        <v>3</v>
      </c>
      <c r="J119" s="103">
        <v>3000</v>
      </c>
      <c r="K119" s="104">
        <f t="shared" si="56"/>
        <v>1000</v>
      </c>
      <c r="L119" s="116">
        <v>3</v>
      </c>
      <c r="M119" s="103">
        <f t="shared" si="55"/>
        <v>2797.3219622074025</v>
      </c>
      <c r="N119" s="104">
        <f t="shared" si="48"/>
        <v>932.44065406913421</v>
      </c>
      <c r="O119" s="121">
        <f t="shared" si="49"/>
        <v>0</v>
      </c>
      <c r="P119" s="122">
        <f t="shared" si="50"/>
        <v>-67.559345930865788</v>
      </c>
      <c r="Q119" s="123">
        <f t="shared" si="51"/>
        <v>0.93244065406913423</v>
      </c>
      <c r="R119" s="308"/>
      <c r="S119" s="46">
        <v>0.94444444444444375</v>
      </c>
      <c r="T119" s="118">
        <v>1.006180555555555</v>
      </c>
      <c r="U119" s="109">
        <v>13.983333333333334</v>
      </c>
      <c r="V119" s="110">
        <v>88.906462452304794</v>
      </c>
      <c r="W119" s="124"/>
      <c r="X119" s="125"/>
      <c r="Y119" s="299"/>
      <c r="Z119" s="300"/>
      <c r="AA119" s="115">
        <f t="shared" si="52"/>
        <v>-202.67803779259748</v>
      </c>
      <c r="AB119" s="108">
        <f t="shared" si="53"/>
        <v>0.93244065406913412</v>
      </c>
      <c r="AC119" s="313"/>
    </row>
    <row r="120" spans="1:29" ht="15.75" customHeight="1">
      <c r="A120" s="316"/>
      <c r="B120" s="98" t="s">
        <v>118</v>
      </c>
      <c r="C120" s="297" t="s">
        <v>137</v>
      </c>
      <c r="D120" s="298"/>
      <c r="E120" s="99">
        <v>16.66</v>
      </c>
      <c r="F120" s="100">
        <v>2830</v>
      </c>
      <c r="G120" s="119">
        <f t="shared" si="54"/>
        <v>47147.8</v>
      </c>
      <c r="H120" s="60"/>
      <c r="I120" s="102">
        <v>5</v>
      </c>
      <c r="J120" s="103">
        <v>3600</v>
      </c>
      <c r="K120" s="104">
        <f t="shared" si="56"/>
        <v>720</v>
      </c>
      <c r="L120" s="116">
        <v>5</v>
      </c>
      <c r="M120" s="103">
        <f t="shared" si="55"/>
        <v>3283.8424175940281</v>
      </c>
      <c r="N120" s="104">
        <f t="shared" si="48"/>
        <v>656.76848351880562</v>
      </c>
      <c r="O120" s="121">
        <f t="shared" si="49"/>
        <v>0</v>
      </c>
      <c r="P120" s="122">
        <f t="shared" si="50"/>
        <v>-63.231516481194376</v>
      </c>
      <c r="Q120" s="123">
        <f t="shared" si="51"/>
        <v>0.91217844933167447</v>
      </c>
      <c r="R120" s="308"/>
      <c r="S120" s="46">
        <v>1.0152777777777771</v>
      </c>
      <c r="T120" s="118">
        <v>1.0511805555555549</v>
      </c>
      <c r="U120" s="109">
        <v>13.09999999999981</v>
      </c>
      <c r="V120" s="110">
        <v>51.707718704847998</v>
      </c>
      <c r="W120" s="124"/>
      <c r="X120" s="125"/>
      <c r="Y120" s="299"/>
      <c r="Z120" s="300"/>
      <c r="AA120" s="115">
        <f t="shared" si="52"/>
        <v>-316.15758240597188</v>
      </c>
      <c r="AB120" s="108">
        <f t="shared" si="53"/>
        <v>0.91217844933167447</v>
      </c>
      <c r="AC120" s="313"/>
    </row>
    <row r="121" spans="1:29" ht="15.75" customHeight="1">
      <c r="A121" s="316"/>
      <c r="B121" s="98"/>
      <c r="C121" s="297"/>
      <c r="D121" s="298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8"/>
      <c r="S121" s="46"/>
      <c r="T121" s="118"/>
      <c r="U121" s="109"/>
      <c r="V121" s="110"/>
      <c r="W121" s="124"/>
      <c r="X121" s="125"/>
      <c r="Y121" s="299"/>
      <c r="Z121" s="300"/>
      <c r="AA121" s="115"/>
      <c r="AB121" s="108"/>
      <c r="AC121" s="313"/>
    </row>
    <row r="122" spans="1:29" ht="15.75" customHeight="1">
      <c r="A122" s="316"/>
      <c r="B122" s="98"/>
      <c r="C122" s="297"/>
      <c r="D122" s="298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8"/>
      <c r="S122" s="117"/>
      <c r="T122" s="118"/>
      <c r="U122" s="128"/>
      <c r="V122" s="129"/>
      <c r="W122" s="124"/>
      <c r="X122" s="125"/>
      <c r="Y122" s="299"/>
      <c r="Z122" s="300"/>
      <c r="AA122" s="163"/>
      <c r="AB122" s="123"/>
      <c r="AC122" s="313"/>
    </row>
    <row r="123" spans="1:29" ht="15.75" customHeight="1" thickBot="1">
      <c r="A123" s="317"/>
      <c r="B123" s="131" t="s">
        <v>115</v>
      </c>
      <c r="C123" s="294"/>
      <c r="D123" s="294"/>
      <c r="E123" s="132"/>
      <c r="F123" s="97"/>
      <c r="G123" s="133"/>
      <c r="H123" s="67"/>
      <c r="I123" s="134">
        <f t="shared" ref="I123:J123" si="57">AVERAGE(I107:I122)</f>
        <v>3.7142857142857144</v>
      </c>
      <c r="J123" s="135">
        <f t="shared" si="57"/>
        <v>3428.5714285714284</v>
      </c>
      <c r="K123" s="136">
        <f t="shared" ref="K123" si="58">J123/I123</f>
        <v>923.07692307692298</v>
      </c>
      <c r="L123" s="134">
        <f t="shared" ref="L123:M123" si="59">AVERAGE(L107:L122)</f>
        <v>3.7142857142857144</v>
      </c>
      <c r="M123" s="135">
        <f t="shared" si="59"/>
        <v>3140.1391863360623</v>
      </c>
      <c r="N123" s="136">
        <f t="shared" ref="N123:N137" si="60">M123/L123</f>
        <v>845.42208862893983</v>
      </c>
      <c r="O123" s="137">
        <f t="shared" ref="O123:O137" si="61">L123-I123</f>
        <v>0</v>
      </c>
      <c r="P123" s="138">
        <f t="shared" ref="P123:P137" si="62">N123-K123</f>
        <v>-77.654834447983148</v>
      </c>
      <c r="Q123" s="139">
        <f t="shared" ref="Q123:Q137" si="63">N123/K123</f>
        <v>0.91587392934801826</v>
      </c>
      <c r="R123" s="309"/>
      <c r="S123" s="140">
        <v>0.73055555555555551</v>
      </c>
      <c r="T123" s="141">
        <v>1.0511805555555549</v>
      </c>
      <c r="U123" s="142"/>
      <c r="V123" s="164"/>
      <c r="W123" s="97"/>
      <c r="X123" s="67"/>
      <c r="Y123" s="295"/>
      <c r="Z123" s="296"/>
      <c r="AA123" s="166">
        <f t="shared" ref="AA123:AA137" si="64">M123-J123</f>
        <v>-288.43224223536618</v>
      </c>
      <c r="AB123" s="139">
        <f t="shared" ref="AB123:AB137" si="65">M123/J123</f>
        <v>0.91587392934801815</v>
      </c>
      <c r="AC123" s="314"/>
    </row>
    <row r="124" spans="1:29" ht="15.75" customHeight="1">
      <c r="A124" s="301" t="s">
        <v>142</v>
      </c>
      <c r="B124" s="112" t="s">
        <v>118</v>
      </c>
      <c r="C124" s="305" t="s">
        <v>141</v>
      </c>
      <c r="D124" s="306"/>
      <c r="E124" s="145">
        <v>14.28</v>
      </c>
      <c r="F124" s="95">
        <v>317</v>
      </c>
      <c r="G124" s="146">
        <f t="shared" ref="G124:G137" si="66">E124*F124</f>
        <v>4526.76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7" si="67">F124/V124*60</f>
        <v>3277.5123054077926</v>
      </c>
      <c r="N124" s="150">
        <f t="shared" si="60"/>
        <v>1092.5041018025975</v>
      </c>
      <c r="O124" s="152">
        <f t="shared" si="61"/>
        <v>0</v>
      </c>
      <c r="P124" s="153">
        <f t="shared" si="62"/>
        <v>-107.49589819740254</v>
      </c>
      <c r="Q124" s="154">
        <f t="shared" si="63"/>
        <v>0.91042008483549786</v>
      </c>
      <c r="R124" s="307">
        <f>Q140</f>
        <v>0.91037775152860201</v>
      </c>
      <c r="S124" s="155">
        <v>0.73124999999999996</v>
      </c>
      <c r="T124" s="156">
        <v>0.7352777777777777</v>
      </c>
      <c r="U124" s="157"/>
      <c r="V124" s="158">
        <v>5.8031818732206117</v>
      </c>
      <c r="W124" s="156"/>
      <c r="X124" s="167"/>
      <c r="Y124" s="310"/>
      <c r="Z124" s="311"/>
      <c r="AA124" s="169">
        <f t="shared" si="64"/>
        <v>-322.48769459220739</v>
      </c>
      <c r="AB124" s="154">
        <f t="shared" si="65"/>
        <v>0.91042008483549797</v>
      </c>
      <c r="AC124" s="312">
        <f>AB140</f>
        <v>0.91037775152860201</v>
      </c>
    </row>
    <row r="125" spans="1:29" ht="15.75" customHeight="1">
      <c r="A125" s="302"/>
      <c r="B125" s="98" t="s">
        <v>118</v>
      </c>
      <c r="C125" s="297" t="s">
        <v>217</v>
      </c>
      <c r="D125" s="298"/>
      <c r="E125" s="99">
        <v>23.8</v>
      </c>
      <c r="F125" s="100">
        <v>279</v>
      </c>
      <c r="G125" s="101">
        <f t="shared" si="66"/>
        <v>6640.2</v>
      </c>
      <c r="H125" s="26">
        <v>2</v>
      </c>
      <c r="I125" s="102">
        <v>4</v>
      </c>
      <c r="J125" s="103">
        <v>3600</v>
      </c>
      <c r="K125" s="104">
        <f t="shared" si="56"/>
        <v>900</v>
      </c>
      <c r="L125" s="105">
        <v>4</v>
      </c>
      <c r="M125" s="103">
        <f t="shared" si="67"/>
        <v>3279.7184763995429</v>
      </c>
      <c r="N125" s="104">
        <f t="shared" si="60"/>
        <v>819.92961909988571</v>
      </c>
      <c r="O125" s="106">
        <f t="shared" si="61"/>
        <v>0</v>
      </c>
      <c r="P125" s="107">
        <f t="shared" si="62"/>
        <v>-80.070380900114287</v>
      </c>
      <c r="Q125" s="108">
        <f t="shared" si="63"/>
        <v>0.91103291011098408</v>
      </c>
      <c r="R125" s="308"/>
      <c r="S125" s="46">
        <v>0.74444444444444435</v>
      </c>
      <c r="T125" s="47">
        <v>0.74798611111111102</v>
      </c>
      <c r="U125" s="109">
        <v>13.199999999999985</v>
      </c>
      <c r="V125" s="110">
        <v>5.104096623066587</v>
      </c>
      <c r="W125" s="111"/>
      <c r="X125" s="13"/>
      <c r="Y125" s="299"/>
      <c r="Z125" s="300"/>
      <c r="AA125" s="170">
        <f t="shared" si="64"/>
        <v>-320.28152360045715</v>
      </c>
      <c r="AB125" s="108">
        <f t="shared" si="65"/>
        <v>0.91103291011098408</v>
      </c>
      <c r="AC125" s="313"/>
    </row>
    <row r="126" spans="1:29" ht="15.75" customHeight="1">
      <c r="A126" s="302"/>
      <c r="B126" s="98" t="s">
        <v>118</v>
      </c>
      <c r="C126" s="297" t="s">
        <v>145</v>
      </c>
      <c r="D126" s="298"/>
      <c r="E126" s="99">
        <v>24.82</v>
      </c>
      <c r="F126" s="100">
        <v>557</v>
      </c>
      <c r="G126" s="101">
        <f t="shared" si="66"/>
        <v>13824.74</v>
      </c>
      <c r="H126" s="26">
        <v>2</v>
      </c>
      <c r="I126" s="102">
        <v>5</v>
      </c>
      <c r="J126" s="103">
        <v>3600</v>
      </c>
      <c r="K126" s="104">
        <f t="shared" si="56"/>
        <v>720</v>
      </c>
      <c r="L126" s="105">
        <v>5</v>
      </c>
      <c r="M126" s="103">
        <f t="shared" si="67"/>
        <v>3275.5261021013098</v>
      </c>
      <c r="N126" s="104">
        <f t="shared" si="60"/>
        <v>655.10522042026196</v>
      </c>
      <c r="O126" s="106">
        <f t="shared" si="61"/>
        <v>0</v>
      </c>
      <c r="P126" s="107">
        <f t="shared" si="62"/>
        <v>-64.894779579738042</v>
      </c>
      <c r="Q126" s="108">
        <f t="shared" si="63"/>
        <v>0.90986836169480823</v>
      </c>
      <c r="R126" s="308"/>
      <c r="S126" s="46">
        <v>0.75763888888888875</v>
      </c>
      <c r="T126" s="47">
        <v>0.76472222222222208</v>
      </c>
      <c r="U126" s="109">
        <v>13.899999999999935</v>
      </c>
      <c r="V126" s="110">
        <v>10.202941133200087</v>
      </c>
      <c r="W126" s="111"/>
      <c r="X126" s="13"/>
      <c r="Y126" s="299"/>
      <c r="Z126" s="300"/>
      <c r="AA126" s="170">
        <f t="shared" si="64"/>
        <v>-324.47389789869021</v>
      </c>
      <c r="AB126" s="108">
        <f t="shared" si="65"/>
        <v>0.90986836169480823</v>
      </c>
      <c r="AC126" s="313"/>
    </row>
    <row r="127" spans="1:29" ht="15.75" customHeight="1">
      <c r="A127" s="302"/>
      <c r="B127" s="98" t="s">
        <v>118</v>
      </c>
      <c r="C127" s="297" t="s">
        <v>216</v>
      </c>
      <c r="D127" s="298"/>
      <c r="E127" s="99">
        <v>24.76</v>
      </c>
      <c r="F127" s="100">
        <v>452</v>
      </c>
      <c r="G127" s="101">
        <f t="shared" si="66"/>
        <v>11191.52</v>
      </c>
      <c r="H127" s="26">
        <v>2</v>
      </c>
      <c r="I127" s="102">
        <v>4</v>
      </c>
      <c r="J127" s="103">
        <v>3600</v>
      </c>
      <c r="K127" s="104">
        <f t="shared" si="56"/>
        <v>900</v>
      </c>
      <c r="L127" s="105">
        <v>4</v>
      </c>
      <c r="M127" s="103">
        <f t="shared" si="67"/>
        <v>3278.5398108928912</v>
      </c>
      <c r="N127" s="104">
        <f t="shared" si="60"/>
        <v>819.6349527232228</v>
      </c>
      <c r="O127" s="106">
        <f t="shared" si="61"/>
        <v>0</v>
      </c>
      <c r="P127" s="107">
        <f t="shared" si="62"/>
        <v>-80.365047276777204</v>
      </c>
      <c r="Q127" s="108">
        <f t="shared" si="63"/>
        <v>0.91070550302580311</v>
      </c>
      <c r="R127" s="308"/>
      <c r="S127" s="46">
        <v>0.77430555555555536</v>
      </c>
      <c r="T127" s="47">
        <v>0.78004629629629607</v>
      </c>
      <c r="U127" s="109">
        <v>13.799999999999919</v>
      </c>
      <c r="V127" s="110">
        <v>8.2719751975846911</v>
      </c>
      <c r="W127" s="111"/>
      <c r="X127" s="13"/>
      <c r="Y127" s="299"/>
      <c r="Z127" s="300"/>
      <c r="AA127" s="170">
        <f t="shared" si="64"/>
        <v>-321.46018910710882</v>
      </c>
      <c r="AB127" s="108">
        <f t="shared" si="65"/>
        <v>0.91070550302580311</v>
      </c>
      <c r="AC127" s="313"/>
    </row>
    <row r="128" spans="1:29" ht="15.75" customHeight="1">
      <c r="A128" s="303"/>
      <c r="B128" s="98" t="s">
        <v>118</v>
      </c>
      <c r="C128" s="297" t="s">
        <v>212</v>
      </c>
      <c r="D128" s="298"/>
      <c r="E128" s="99">
        <v>22.32</v>
      </c>
      <c r="F128" s="100">
        <v>620</v>
      </c>
      <c r="G128" s="101">
        <f t="shared" si="66"/>
        <v>13838.4</v>
      </c>
      <c r="H128" s="26">
        <v>2</v>
      </c>
      <c r="I128" s="102">
        <v>5</v>
      </c>
      <c r="J128" s="103">
        <v>3600</v>
      </c>
      <c r="K128" s="104">
        <f t="shared" si="56"/>
        <v>720</v>
      </c>
      <c r="L128" s="105">
        <v>5</v>
      </c>
      <c r="M128" s="103">
        <f t="shared" si="67"/>
        <v>3275.5885658518946</v>
      </c>
      <c r="N128" s="104">
        <f t="shared" si="60"/>
        <v>655.11771317037892</v>
      </c>
      <c r="O128" s="106">
        <f t="shared" si="61"/>
        <v>0</v>
      </c>
      <c r="P128" s="107">
        <f t="shared" si="62"/>
        <v>-64.88228682962108</v>
      </c>
      <c r="Q128" s="108">
        <f t="shared" si="63"/>
        <v>0.90988571273663743</v>
      </c>
      <c r="R128" s="308"/>
      <c r="S128" s="46">
        <v>0.79027777777777752</v>
      </c>
      <c r="T128" s="47">
        <v>0.79815972222222198</v>
      </c>
      <c r="U128" s="109">
        <v>14.733333333333292</v>
      </c>
      <c r="V128" s="110">
        <v>11.356737652527878</v>
      </c>
      <c r="W128" s="111"/>
      <c r="X128" s="114"/>
      <c r="Y128" s="299"/>
      <c r="Z128" s="300"/>
      <c r="AA128" s="170">
        <f t="shared" si="64"/>
        <v>-324.4114341481054</v>
      </c>
      <c r="AB128" s="108">
        <f t="shared" si="65"/>
        <v>0.90988571273663743</v>
      </c>
      <c r="AC128" s="313"/>
    </row>
    <row r="129" spans="1:29" ht="15.75" customHeight="1">
      <c r="A129" s="303"/>
      <c r="B129" s="98" t="s">
        <v>118</v>
      </c>
      <c r="C129" s="297" t="s">
        <v>143</v>
      </c>
      <c r="D129" s="298"/>
      <c r="E129" s="99">
        <v>18.18</v>
      </c>
      <c r="F129" s="100">
        <v>813</v>
      </c>
      <c r="G129" s="119">
        <f t="shared" si="66"/>
        <v>14780.34</v>
      </c>
      <c r="H129" s="26">
        <v>2</v>
      </c>
      <c r="I129" s="102">
        <v>3</v>
      </c>
      <c r="J129" s="103">
        <v>3600</v>
      </c>
      <c r="K129" s="104">
        <f t="shared" si="56"/>
        <v>1200</v>
      </c>
      <c r="L129" s="105">
        <v>3</v>
      </c>
      <c r="M129" s="103">
        <f t="shared" si="67"/>
        <v>3275.0136360116935</v>
      </c>
      <c r="N129" s="104">
        <f t="shared" si="60"/>
        <v>1091.6712120038978</v>
      </c>
      <c r="O129" s="106">
        <f t="shared" si="61"/>
        <v>0</v>
      </c>
      <c r="P129" s="107">
        <f t="shared" si="62"/>
        <v>-108.32878799610216</v>
      </c>
      <c r="Q129" s="108">
        <f t="shared" si="63"/>
        <v>0.90972601000324815</v>
      </c>
      <c r="R129" s="308"/>
      <c r="S129" s="46">
        <v>0.80833333333333302</v>
      </c>
      <c r="T129" s="118">
        <v>0.81866898148148115</v>
      </c>
      <c r="U129" s="109">
        <v>14.649999999999892</v>
      </c>
      <c r="V129" s="110">
        <v>14.894594472407817</v>
      </c>
      <c r="W129" s="111"/>
      <c r="X129" s="49"/>
      <c r="Y129" s="299"/>
      <c r="Z129" s="300"/>
      <c r="AA129" s="170">
        <f t="shared" si="64"/>
        <v>-324.98636398830649</v>
      </c>
      <c r="AB129" s="108">
        <f t="shared" si="65"/>
        <v>0.90972601000324815</v>
      </c>
      <c r="AC129" s="313"/>
    </row>
    <row r="130" spans="1:29" ht="15.75" customHeight="1">
      <c r="A130" s="303"/>
      <c r="B130" s="98" t="s">
        <v>118</v>
      </c>
      <c r="C130" s="297" t="s">
        <v>136</v>
      </c>
      <c r="D130" s="298"/>
      <c r="E130" s="99">
        <v>17.89</v>
      </c>
      <c r="F130" s="100">
        <v>1234</v>
      </c>
      <c r="G130" s="119">
        <f t="shared" si="66"/>
        <v>22076.260000000002</v>
      </c>
      <c r="H130" s="26">
        <v>2</v>
      </c>
      <c r="I130" s="102">
        <v>4</v>
      </c>
      <c r="J130" s="103">
        <v>3600</v>
      </c>
      <c r="K130" s="104">
        <f t="shared" si="56"/>
        <v>900</v>
      </c>
      <c r="L130" s="105">
        <v>4</v>
      </c>
      <c r="M130" s="103">
        <f t="shared" si="67"/>
        <v>3278.9590421508515</v>
      </c>
      <c r="N130" s="104">
        <f t="shared" si="60"/>
        <v>819.73976053771287</v>
      </c>
      <c r="O130" s="121">
        <f t="shared" si="61"/>
        <v>0</v>
      </c>
      <c r="P130" s="122">
        <f t="shared" si="62"/>
        <v>-80.260239462287132</v>
      </c>
      <c r="Q130" s="123">
        <f t="shared" si="63"/>
        <v>0.91082195615301431</v>
      </c>
      <c r="R130" s="308"/>
      <c r="S130" s="46">
        <v>0.82847222222222183</v>
      </c>
      <c r="T130" s="118">
        <v>0.8441435185185181</v>
      </c>
      <c r="U130" s="109">
        <v>14.116666666666582</v>
      </c>
      <c r="V130" s="110">
        <v>22.580336944810707</v>
      </c>
      <c r="W130" s="111"/>
      <c r="X130" s="114"/>
      <c r="Y130" s="299"/>
      <c r="Z130" s="300"/>
      <c r="AA130" s="170">
        <f t="shared" si="64"/>
        <v>-321.04095784914853</v>
      </c>
      <c r="AB130" s="108">
        <f t="shared" si="65"/>
        <v>0.91082195615301431</v>
      </c>
      <c r="AC130" s="313"/>
    </row>
    <row r="131" spans="1:29" ht="15.75" customHeight="1">
      <c r="A131" s="303"/>
      <c r="B131" s="98" t="s">
        <v>118</v>
      </c>
      <c r="C131" s="297" t="s">
        <v>217</v>
      </c>
      <c r="D131" s="298"/>
      <c r="E131" s="99">
        <v>23.8</v>
      </c>
      <c r="F131" s="100">
        <v>289</v>
      </c>
      <c r="G131" s="119">
        <f t="shared" si="66"/>
        <v>6878.2</v>
      </c>
      <c r="H131" s="26"/>
      <c r="I131" s="102">
        <v>4</v>
      </c>
      <c r="J131" s="103">
        <v>3600</v>
      </c>
      <c r="K131" s="104">
        <f t="shared" si="56"/>
        <v>900</v>
      </c>
      <c r="L131" s="116">
        <v>4</v>
      </c>
      <c r="M131" s="103">
        <f t="shared" si="67"/>
        <v>3279.7184763995429</v>
      </c>
      <c r="N131" s="104">
        <f t="shared" si="60"/>
        <v>819.92961909988571</v>
      </c>
      <c r="O131" s="121">
        <f t="shared" si="61"/>
        <v>0</v>
      </c>
      <c r="P131" s="122">
        <f t="shared" si="62"/>
        <v>-80.070380900114287</v>
      </c>
      <c r="Q131" s="123">
        <f t="shared" si="63"/>
        <v>0.91103291011098408</v>
      </c>
      <c r="R131" s="308"/>
      <c r="S131" s="46">
        <v>0.85347222222222174</v>
      </c>
      <c r="T131" s="118">
        <v>0.85714120370370317</v>
      </c>
      <c r="U131" s="109">
        <v>13.433333333333248</v>
      </c>
      <c r="V131" s="110">
        <v>5.2870391543592961</v>
      </c>
      <c r="W131" s="111"/>
      <c r="X131" s="114"/>
      <c r="Y131" s="299"/>
      <c r="Z131" s="300"/>
      <c r="AA131" s="170">
        <f t="shared" si="64"/>
        <v>-320.28152360045715</v>
      </c>
      <c r="AB131" s="108">
        <f t="shared" si="65"/>
        <v>0.91103291011098408</v>
      </c>
      <c r="AC131" s="313"/>
    </row>
    <row r="132" spans="1:29" ht="15.75" customHeight="1">
      <c r="A132" s="303"/>
      <c r="B132" s="98" t="s">
        <v>118</v>
      </c>
      <c r="C132" s="297" t="s">
        <v>145</v>
      </c>
      <c r="D132" s="298"/>
      <c r="E132" s="99">
        <v>24.82</v>
      </c>
      <c r="F132" s="100">
        <v>682</v>
      </c>
      <c r="G132" s="119">
        <f t="shared" si="66"/>
        <v>16927.240000000002</v>
      </c>
      <c r="H132" s="26"/>
      <c r="I132" s="102">
        <v>5</v>
      </c>
      <c r="J132" s="103">
        <v>3600</v>
      </c>
      <c r="K132" s="104">
        <f t="shared" si="56"/>
        <v>720</v>
      </c>
      <c r="L132" s="116">
        <v>5</v>
      </c>
      <c r="M132" s="103">
        <f t="shared" si="67"/>
        <v>3275.5261021013098</v>
      </c>
      <c r="N132" s="104">
        <f t="shared" si="60"/>
        <v>655.10522042026196</v>
      </c>
      <c r="O132" s="121">
        <f t="shared" si="61"/>
        <v>0</v>
      </c>
      <c r="P132" s="122">
        <f t="shared" si="62"/>
        <v>-64.894779579738042</v>
      </c>
      <c r="Q132" s="123">
        <f t="shared" si="63"/>
        <v>0.90986836169480823</v>
      </c>
      <c r="R132" s="308"/>
      <c r="S132" s="46">
        <v>0.86736111111111058</v>
      </c>
      <c r="T132" s="118">
        <v>0.87603009259259201</v>
      </c>
      <c r="U132" s="109">
        <v>14.716666666666676</v>
      </c>
      <c r="V132" s="110">
        <v>12.49264964603673</v>
      </c>
      <c r="W132" s="124"/>
      <c r="X132" s="125"/>
      <c r="Y132" s="299"/>
      <c r="Z132" s="300"/>
      <c r="AA132" s="170">
        <f t="shared" si="64"/>
        <v>-324.47389789869021</v>
      </c>
      <c r="AB132" s="108">
        <f t="shared" si="65"/>
        <v>0.90986836169480823</v>
      </c>
      <c r="AC132" s="313"/>
    </row>
    <row r="133" spans="1:29" ht="15.75" customHeight="1">
      <c r="A133" s="303"/>
      <c r="B133" s="98" t="s">
        <v>118</v>
      </c>
      <c r="C133" s="297" t="s">
        <v>216</v>
      </c>
      <c r="D133" s="298"/>
      <c r="E133" s="99">
        <v>24.76</v>
      </c>
      <c r="F133" s="100">
        <v>539</v>
      </c>
      <c r="G133" s="119">
        <f t="shared" si="66"/>
        <v>13345.640000000001</v>
      </c>
      <c r="H133" s="26"/>
      <c r="I133" s="102">
        <v>4</v>
      </c>
      <c r="J133" s="103">
        <v>3600</v>
      </c>
      <c r="K133" s="104">
        <f t="shared" si="56"/>
        <v>900</v>
      </c>
      <c r="L133" s="116">
        <v>4</v>
      </c>
      <c r="M133" s="103">
        <f t="shared" si="67"/>
        <v>3278.5398108928903</v>
      </c>
      <c r="N133" s="104">
        <f t="shared" si="60"/>
        <v>819.63495272322257</v>
      </c>
      <c r="O133" s="121">
        <f t="shared" si="61"/>
        <v>0</v>
      </c>
      <c r="P133" s="122">
        <f t="shared" si="62"/>
        <v>-80.365047276777432</v>
      </c>
      <c r="Q133" s="123">
        <f t="shared" si="63"/>
        <v>0.91070550302580289</v>
      </c>
      <c r="R133" s="308"/>
      <c r="S133" s="46">
        <v>0.88611111111111052</v>
      </c>
      <c r="T133" s="118">
        <v>0.89295138888888825</v>
      </c>
      <c r="U133" s="109">
        <v>14.516666666666644</v>
      </c>
      <c r="V133" s="110">
        <v>9.8641474148189143</v>
      </c>
      <c r="W133" s="124"/>
      <c r="X133" s="125"/>
      <c r="Y133" s="299"/>
      <c r="Z133" s="300"/>
      <c r="AA133" s="170">
        <f t="shared" si="64"/>
        <v>-321.46018910710973</v>
      </c>
      <c r="AB133" s="108">
        <f t="shared" si="65"/>
        <v>0.91070550302580289</v>
      </c>
      <c r="AC133" s="313"/>
    </row>
    <row r="134" spans="1:29" ht="15.75" customHeight="1">
      <c r="A134" s="303"/>
      <c r="B134" s="98" t="s">
        <v>118</v>
      </c>
      <c r="C134" s="297" t="s">
        <v>212</v>
      </c>
      <c r="D134" s="298"/>
      <c r="E134" s="99">
        <v>22.32</v>
      </c>
      <c r="F134" s="100">
        <v>963</v>
      </c>
      <c r="G134" s="119">
        <f t="shared" si="66"/>
        <v>21494.16</v>
      </c>
      <c r="H134" s="26"/>
      <c r="I134" s="102">
        <v>5</v>
      </c>
      <c r="J134" s="103">
        <v>3600</v>
      </c>
      <c r="K134" s="104">
        <f t="shared" si="56"/>
        <v>720</v>
      </c>
      <c r="L134" s="116">
        <v>5</v>
      </c>
      <c r="M134" s="103">
        <f t="shared" si="67"/>
        <v>3275.5885658518937</v>
      </c>
      <c r="N134" s="104">
        <f t="shared" si="60"/>
        <v>655.11771317037869</v>
      </c>
      <c r="O134" s="121">
        <f t="shared" si="61"/>
        <v>0</v>
      </c>
      <c r="P134" s="122">
        <f t="shared" si="62"/>
        <v>-64.882286829621307</v>
      </c>
      <c r="Q134" s="123">
        <f t="shared" si="63"/>
        <v>0.9098857127366371</v>
      </c>
      <c r="R134" s="308"/>
      <c r="S134" s="46">
        <v>0.90277777777777712</v>
      </c>
      <c r="T134" s="118">
        <v>0.91502314814814745</v>
      </c>
      <c r="U134" s="109">
        <v>14.149999999999974</v>
      </c>
      <c r="V134" s="110">
        <v>17.639577999007013</v>
      </c>
      <c r="W134" s="124"/>
      <c r="X134" s="125"/>
      <c r="Y134" s="299"/>
      <c r="Z134" s="300"/>
      <c r="AA134" s="170">
        <f t="shared" si="64"/>
        <v>-324.41143414810631</v>
      </c>
      <c r="AB134" s="108">
        <f t="shared" si="65"/>
        <v>0.9098857127366371</v>
      </c>
      <c r="AC134" s="313"/>
    </row>
    <row r="135" spans="1:29" ht="15.75" customHeight="1">
      <c r="A135" s="303"/>
      <c r="B135" s="98" t="s">
        <v>118</v>
      </c>
      <c r="C135" s="297" t="s">
        <v>143</v>
      </c>
      <c r="D135" s="298"/>
      <c r="E135" s="99">
        <v>18.18</v>
      </c>
      <c r="F135" s="100">
        <v>1271</v>
      </c>
      <c r="G135" s="119">
        <f t="shared" si="66"/>
        <v>23106.78</v>
      </c>
      <c r="H135" s="60"/>
      <c r="I135" s="102">
        <v>3</v>
      </c>
      <c r="J135" s="103">
        <v>3600</v>
      </c>
      <c r="K135" s="104">
        <f t="shared" si="56"/>
        <v>1200</v>
      </c>
      <c r="L135" s="116">
        <v>3</v>
      </c>
      <c r="M135" s="103">
        <f t="shared" si="67"/>
        <v>3275.0136360116935</v>
      </c>
      <c r="N135" s="104">
        <f t="shared" si="60"/>
        <v>1091.6712120038978</v>
      </c>
      <c r="O135" s="121">
        <f t="shared" si="61"/>
        <v>0</v>
      </c>
      <c r="P135" s="122">
        <f t="shared" si="62"/>
        <v>-108.32878799610216</v>
      </c>
      <c r="Q135" s="123">
        <f t="shared" si="63"/>
        <v>0.90972601000324815</v>
      </c>
      <c r="R135" s="308"/>
      <c r="S135" s="46">
        <v>0.92430555555555483</v>
      </c>
      <c r="T135" s="118">
        <v>0.94047453703703632</v>
      </c>
      <c r="U135" s="109">
        <v>13.366666666666625</v>
      </c>
      <c r="V135" s="110">
        <v>23.285399230541618</v>
      </c>
      <c r="W135" s="124"/>
      <c r="X135" s="125"/>
      <c r="Y135" s="299"/>
      <c r="Z135" s="300"/>
      <c r="AA135" s="170">
        <f t="shared" si="64"/>
        <v>-324.98636398830649</v>
      </c>
      <c r="AB135" s="108">
        <f t="shared" si="65"/>
        <v>0.90972601000324815</v>
      </c>
      <c r="AC135" s="313"/>
    </row>
    <row r="136" spans="1:29" ht="15.75" customHeight="1">
      <c r="A136" s="303"/>
      <c r="B136" s="98" t="s">
        <v>118</v>
      </c>
      <c r="C136" s="297" t="s">
        <v>136</v>
      </c>
      <c r="D136" s="298"/>
      <c r="E136" s="99">
        <v>17.89</v>
      </c>
      <c r="F136" s="100">
        <v>1855</v>
      </c>
      <c r="G136" s="119">
        <f t="shared" si="66"/>
        <v>33185.950000000004</v>
      </c>
      <c r="H136" s="60"/>
      <c r="I136" s="102">
        <v>4</v>
      </c>
      <c r="J136" s="103">
        <v>3600</v>
      </c>
      <c r="K136" s="104">
        <f t="shared" si="56"/>
        <v>900</v>
      </c>
      <c r="L136" s="116">
        <v>4</v>
      </c>
      <c r="M136" s="103">
        <f t="shared" si="67"/>
        <v>3278.9590421508515</v>
      </c>
      <c r="N136" s="104">
        <f t="shared" si="60"/>
        <v>819.73976053771287</v>
      </c>
      <c r="O136" s="121">
        <f t="shared" si="61"/>
        <v>0</v>
      </c>
      <c r="P136" s="122">
        <f t="shared" si="62"/>
        <v>-80.260239462287132</v>
      </c>
      <c r="Q136" s="123">
        <f t="shared" si="63"/>
        <v>0.91082195615301431</v>
      </c>
      <c r="R136" s="308"/>
      <c r="S136" s="46">
        <v>0.95069444444444373</v>
      </c>
      <c r="T136" s="118">
        <v>0.97425925925925849</v>
      </c>
      <c r="U136" s="109">
        <v>14.716666666666676</v>
      </c>
      <c r="V136" s="110">
        <v>33.943699378139272</v>
      </c>
      <c r="W136" s="124"/>
      <c r="X136" s="125"/>
      <c r="Y136" s="299"/>
      <c r="Z136" s="300"/>
      <c r="AA136" s="170">
        <f t="shared" si="64"/>
        <v>-321.04095784914853</v>
      </c>
      <c r="AB136" s="108">
        <f t="shared" si="65"/>
        <v>0.91082195615301431</v>
      </c>
      <c r="AC136" s="313"/>
    </row>
    <row r="137" spans="1:29" ht="15.75" customHeight="1">
      <c r="A137" s="303"/>
      <c r="B137" s="98" t="s">
        <v>118</v>
      </c>
      <c r="C137" s="297" t="s">
        <v>141</v>
      </c>
      <c r="D137" s="298"/>
      <c r="E137" s="99">
        <v>14.28</v>
      </c>
      <c r="F137" s="100">
        <v>5416</v>
      </c>
      <c r="G137" s="119">
        <f t="shared" si="66"/>
        <v>77340.479999999996</v>
      </c>
      <c r="H137" s="60"/>
      <c r="I137" s="102">
        <v>3</v>
      </c>
      <c r="J137" s="103">
        <v>3600</v>
      </c>
      <c r="K137" s="104">
        <f t="shared" si="56"/>
        <v>1200</v>
      </c>
      <c r="L137" s="116">
        <v>3</v>
      </c>
      <c r="M137" s="103">
        <f t="shared" si="67"/>
        <v>3278.8351048173758</v>
      </c>
      <c r="N137" s="104">
        <f t="shared" si="60"/>
        <v>1092.9450349391252</v>
      </c>
      <c r="O137" s="121">
        <f t="shared" si="61"/>
        <v>0</v>
      </c>
      <c r="P137" s="122">
        <f t="shared" si="62"/>
        <v>-107.05496506087479</v>
      </c>
      <c r="Q137" s="123">
        <f t="shared" si="63"/>
        <v>0.91078752911593763</v>
      </c>
      <c r="R137" s="308"/>
      <c r="S137" s="46">
        <v>0.98402777777777706</v>
      </c>
      <c r="T137" s="118">
        <v>1.0528472222222216</v>
      </c>
      <c r="U137" s="109">
        <v>14.066666666666734</v>
      </c>
      <c r="V137" s="110">
        <v>99.108369165182395</v>
      </c>
      <c r="W137" s="111"/>
      <c r="X137" s="114"/>
      <c r="Y137" s="299"/>
      <c r="Z137" s="300"/>
      <c r="AA137" s="170">
        <f t="shared" si="64"/>
        <v>-321.16489518262415</v>
      </c>
      <c r="AB137" s="108">
        <f t="shared" si="65"/>
        <v>0.91078752911593774</v>
      </c>
      <c r="AC137" s="313"/>
    </row>
    <row r="138" spans="1:29" ht="15.75" customHeight="1">
      <c r="A138" s="303"/>
      <c r="B138" s="98"/>
      <c r="C138" s="297"/>
      <c r="D138" s="298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8"/>
      <c r="S138" s="46"/>
      <c r="T138" s="118"/>
      <c r="U138" s="109"/>
      <c r="V138" s="110"/>
      <c r="W138" s="124"/>
      <c r="X138" s="125"/>
      <c r="Y138" s="299"/>
      <c r="Z138" s="300"/>
      <c r="AA138" s="170"/>
      <c r="AB138" s="108"/>
      <c r="AC138" s="313"/>
    </row>
    <row r="139" spans="1:29" ht="15.75" customHeight="1">
      <c r="A139" s="303"/>
      <c r="B139" s="98"/>
      <c r="C139" s="297"/>
      <c r="D139" s="298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8"/>
      <c r="S139" s="117"/>
      <c r="T139" s="118"/>
      <c r="U139" s="128"/>
      <c r="V139" s="129"/>
      <c r="W139" s="124"/>
      <c r="X139" s="125"/>
      <c r="Y139" s="299"/>
      <c r="Z139" s="300"/>
      <c r="AA139" s="171"/>
      <c r="AB139" s="123"/>
      <c r="AC139" s="313"/>
    </row>
    <row r="140" spans="1:29" ht="15.75" customHeight="1" thickBot="1">
      <c r="A140" s="304"/>
      <c r="B140" s="131" t="s">
        <v>115</v>
      </c>
      <c r="C140" s="294"/>
      <c r="D140" s="294"/>
      <c r="E140" s="132"/>
      <c r="F140" s="165"/>
      <c r="G140" s="133"/>
      <c r="H140" s="67"/>
      <c r="I140" s="134">
        <f t="shared" ref="I140:J140" si="68">AVERAGE(I124:I139)</f>
        <v>4</v>
      </c>
      <c r="J140" s="135">
        <f t="shared" si="68"/>
        <v>3600</v>
      </c>
      <c r="K140" s="136">
        <f t="shared" ref="K140" si="69">J140/I140</f>
        <v>900</v>
      </c>
      <c r="L140" s="134">
        <f t="shared" ref="L140:M140" si="70">AVERAGE(L124:L139)</f>
        <v>4</v>
      </c>
      <c r="M140" s="135">
        <f t="shared" si="70"/>
        <v>3277.3599055029672</v>
      </c>
      <c r="N140" s="136">
        <f>M140/L140</f>
        <v>819.3399763757418</v>
      </c>
      <c r="O140" s="137">
        <f>L140-I140</f>
        <v>0</v>
      </c>
      <c r="P140" s="138">
        <f>N140-K140</f>
        <v>-80.660023624258201</v>
      </c>
      <c r="Q140" s="139">
        <f>N140/K140</f>
        <v>0.91037775152860201</v>
      </c>
      <c r="R140" s="309"/>
      <c r="S140" s="140">
        <v>0.73124999999999996</v>
      </c>
      <c r="T140" s="141">
        <v>1.0528472222222216</v>
      </c>
      <c r="U140" s="142"/>
      <c r="V140" s="164"/>
      <c r="W140" s="165"/>
      <c r="X140" s="136"/>
      <c r="Y140" s="295"/>
      <c r="Z140" s="296"/>
      <c r="AA140" s="172">
        <f>M140-J140</f>
        <v>-322.64009449703281</v>
      </c>
      <c r="AB140" s="139">
        <f>M140/J140</f>
        <v>0.91037775152860201</v>
      </c>
      <c r="AC140" s="314"/>
    </row>
    <row r="142" spans="1:29">
      <c r="Y142" s="293" t="s">
        <v>147</v>
      </c>
      <c r="Z142" s="293"/>
    </row>
    <row r="143" spans="1:29">
      <c r="Y143" s="293" t="s">
        <v>148</v>
      </c>
      <c r="Z143" s="293"/>
    </row>
    <row r="144" spans="1:29">
      <c r="Y144" s="293" t="s">
        <v>149</v>
      </c>
      <c r="Z144" s="293"/>
    </row>
    <row r="145" spans="25:26">
      <c r="Y145" s="293" t="s">
        <v>150</v>
      </c>
      <c r="Z145" s="293"/>
    </row>
    <row r="146" spans="25:26">
      <c r="Y146" s="293" t="s">
        <v>151</v>
      </c>
      <c r="Z146" s="293"/>
    </row>
    <row r="147" spans="25:26">
      <c r="Y147" s="293" t="s">
        <v>152</v>
      </c>
      <c r="Z147" s="293"/>
    </row>
    <row r="148" spans="25:26">
      <c r="Y148" s="293" t="s">
        <v>153</v>
      </c>
      <c r="Z148" s="293"/>
    </row>
    <row r="149" spans="25:26">
      <c r="Y149" s="293" t="s">
        <v>154</v>
      </c>
      <c r="Z149" s="293"/>
    </row>
    <row r="150" spans="25:26">
      <c r="Y150" s="293" t="s">
        <v>155</v>
      </c>
      <c r="Z150" s="293"/>
    </row>
    <row r="151" spans="25:26">
      <c r="Y151" s="293" t="s">
        <v>156</v>
      </c>
      <c r="Z151" s="293"/>
    </row>
    <row r="152" spans="25:26">
      <c r="Y152" s="293" t="s">
        <v>157</v>
      </c>
      <c r="Z152" s="293"/>
    </row>
    <row r="153" spans="25:26">
      <c r="Y153" s="293" t="s">
        <v>158</v>
      </c>
      <c r="Z153" s="293"/>
    </row>
    <row r="154" spans="25:26">
      <c r="Y154" s="293" t="s">
        <v>159</v>
      </c>
      <c r="Z154" s="293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101:Z101"/>
    <mergeCell ref="C102:D102"/>
    <mergeCell ref="Y102:Z102"/>
    <mergeCell ref="C106:D106"/>
    <mergeCell ref="Y106:Z106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45" priority="1" operator="greaterThan">
      <formula>0</formula>
    </cfRule>
  </conditionalFormatting>
  <conditionalFormatting sqref="P5:P140 AA5:AA140">
    <cfRule type="cellIs" dxfId="44" priority="4" operator="lessThan">
      <formula>0</formula>
    </cfRule>
  </conditionalFormatting>
  <conditionalFormatting sqref="Q5:Q140 AB5:AB140">
    <cfRule type="cellIs" dxfId="43" priority="2" operator="greaterThan">
      <formula>1</formula>
    </cfRule>
    <cfRule type="cellIs" dxfId="42" priority="3" operator="lessThan">
      <formula>0.8</formula>
    </cfRule>
  </conditionalFormatting>
  <conditionalFormatting sqref="AC5:AC6 R5:R140 AC73:AC78">
    <cfRule type="cellIs" dxfId="41" priority="5" operator="lessThan">
      <formula>0.8</formula>
    </cfRule>
  </conditionalFormatting>
  <conditionalFormatting sqref="AC12:AC20">
    <cfRule type="cellIs" dxfId="40" priority="12" operator="lessThan">
      <formula>0.8</formula>
    </cfRule>
  </conditionalFormatting>
  <conditionalFormatting sqref="AC22">
    <cfRule type="cellIs" dxfId="39" priority="11" operator="lessThan">
      <formula>0.8</formula>
    </cfRule>
  </conditionalFormatting>
  <conditionalFormatting sqref="AC39">
    <cfRule type="cellIs" dxfId="38" priority="7" operator="lessThan">
      <formula>0.8</formula>
    </cfRule>
  </conditionalFormatting>
  <conditionalFormatting sqref="AC56:AC61">
    <cfRule type="cellIs" dxfId="37" priority="6" operator="lessThan">
      <formula>0.8</formula>
    </cfRule>
  </conditionalFormatting>
  <conditionalFormatting sqref="AC90">
    <cfRule type="cellIs" dxfId="36" priority="10" operator="lessThan">
      <formula>0.8</formula>
    </cfRule>
  </conditionalFormatting>
  <conditionalFormatting sqref="AC107">
    <cfRule type="cellIs" dxfId="35" priority="9" operator="lessThan">
      <formula>0.8</formula>
    </cfRule>
  </conditionalFormatting>
  <conditionalFormatting sqref="AC124:AC129">
    <cfRule type="cellIs" dxfId="34" priority="8" operator="lessThan">
      <formula>0.8</formula>
    </cfRule>
  </conditionalFormatting>
  <dataValidations count="1">
    <dataValidation type="list" allowBlank="1" showInputMessage="1" showErrorMessage="1" sqref="Y5:Z140" xr:uid="{0653D6A8-92DD-434C-9A17-00923F8D55DF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BDF10-87E2-4D22-BC87-6D6482874B17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M39" sqref="M39"/>
      <selection pane="bottomLeft" activeCell="M39" sqref="M39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55706</v>
      </c>
      <c r="E1" s="86" t="s">
        <v>3</v>
      </c>
      <c r="F1" s="87">
        <f>SUM(G5:G140)</f>
        <v>2348875.3199999994</v>
      </c>
      <c r="G1" s="88" t="s">
        <v>84</v>
      </c>
      <c r="H1" s="89">
        <f>L21+L38+L55+L72+L89+L106+L123+L140</f>
        <v>137.03333333333336</v>
      </c>
      <c r="I1" s="359" t="s">
        <v>85</v>
      </c>
      <c r="J1" s="360"/>
      <c r="K1" s="361"/>
      <c r="L1" s="365" t="s">
        <v>86</v>
      </c>
      <c r="M1" s="366"/>
      <c r="N1" s="367"/>
      <c r="O1" s="360" t="s">
        <v>87</v>
      </c>
      <c r="P1" s="360"/>
      <c r="Q1" s="360"/>
      <c r="R1" s="371"/>
      <c r="S1" s="359" t="s">
        <v>88</v>
      </c>
      <c r="T1" s="360"/>
      <c r="U1" s="360"/>
      <c r="V1" s="360"/>
      <c r="W1" s="360"/>
      <c r="X1" s="371"/>
      <c r="Y1" s="190" t="s">
        <v>183</v>
      </c>
      <c r="Z1" s="190" t="s">
        <v>184</v>
      </c>
      <c r="AA1" s="391" t="s">
        <v>161</v>
      </c>
      <c r="AB1" s="392"/>
      <c r="AC1" s="174" t="s">
        <v>19</v>
      </c>
      <c r="AD1" s="175" t="s">
        <v>160</v>
      </c>
      <c r="AE1" s="359" t="s">
        <v>90</v>
      </c>
      <c r="AF1" s="374"/>
      <c r="AG1" s="375"/>
    </row>
    <row r="2" spans="1:33" ht="26.25" customHeight="1" thickBot="1">
      <c r="A2" s="352">
        <v>46297</v>
      </c>
      <c r="B2" s="353"/>
      <c r="C2" s="90" t="s">
        <v>40</v>
      </c>
      <c r="D2" s="91">
        <f>AVERAGE(N21,N38,N55,N72,N89,N106,N123,N140)</f>
        <v>210.15842841919527</v>
      </c>
      <c r="E2" s="91" t="s">
        <v>91</v>
      </c>
      <c r="F2" s="92">
        <f>F1/D1</f>
        <v>42.165571392668639</v>
      </c>
      <c r="G2" s="93" t="s">
        <v>92</v>
      </c>
      <c r="H2" s="94">
        <f>COUNT(H5:H140)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1">
        <f>SUM(Y21,Y38,Y55,Y72,Y89,Y106,Y123,Y140)</f>
        <v>0</v>
      </c>
      <c r="Z2" s="191">
        <f>SUM(Z21,Z38,Z55,Z72,Z89,Z106,Z123,Z140)</f>
        <v>0</v>
      </c>
      <c r="AA2" s="393"/>
      <c r="AB2" s="394"/>
      <c r="AC2" s="199">
        <f>SUM(AC21,AC38,AC55,AC72,AC89,AC106,AC123,AC140)</f>
        <v>0</v>
      </c>
      <c r="AD2" s="200">
        <f>SUM(AD21,AD38,AD55,AD72,AD89,AD106,AD123,AD140)</f>
        <v>0</v>
      </c>
      <c r="AE2" s="376"/>
      <c r="AF2" s="377"/>
      <c r="AG2" s="378"/>
    </row>
    <row r="3" spans="1:33" ht="23.25" customHeight="1">
      <c r="A3" s="354" t="s">
        <v>93</v>
      </c>
      <c r="B3" s="356" t="s">
        <v>94</v>
      </c>
      <c r="C3" s="326" t="s">
        <v>95</v>
      </c>
      <c r="D3" s="326"/>
      <c r="E3" s="346" t="s">
        <v>96</v>
      </c>
      <c r="F3" s="326" t="s">
        <v>97</v>
      </c>
      <c r="G3" s="346" t="s">
        <v>98</v>
      </c>
      <c r="H3" s="348" t="s">
        <v>99</v>
      </c>
      <c r="I3" s="338" t="s">
        <v>100</v>
      </c>
      <c r="J3" s="334" t="s">
        <v>101</v>
      </c>
      <c r="K3" s="336" t="s">
        <v>40</v>
      </c>
      <c r="L3" s="350" t="s">
        <v>100</v>
      </c>
      <c r="M3" s="334" t="s">
        <v>101</v>
      </c>
      <c r="N3" s="336" t="s">
        <v>40</v>
      </c>
      <c r="O3" s="338" t="s">
        <v>100</v>
      </c>
      <c r="P3" s="340" t="s">
        <v>40</v>
      </c>
      <c r="Q3" s="342" t="s">
        <v>102</v>
      </c>
      <c r="R3" s="344" t="s">
        <v>103</v>
      </c>
      <c r="S3" s="322" t="s">
        <v>104</v>
      </c>
      <c r="T3" s="323"/>
      <c r="U3" s="324" t="s">
        <v>105</v>
      </c>
      <c r="V3" s="324" t="s">
        <v>106</v>
      </c>
      <c r="W3" s="326" t="s">
        <v>107</v>
      </c>
      <c r="X3" s="327"/>
      <c r="Y3" s="383" t="s">
        <v>185</v>
      </c>
      <c r="Z3" s="384"/>
      <c r="AA3" s="387" t="s">
        <v>108</v>
      </c>
      <c r="AB3" s="388"/>
      <c r="AC3" s="383" t="s">
        <v>186</v>
      </c>
      <c r="AD3" s="384"/>
      <c r="AE3" s="332" t="s">
        <v>101</v>
      </c>
      <c r="AF3" s="318" t="s">
        <v>102</v>
      </c>
      <c r="AG3" s="320" t="s">
        <v>109</v>
      </c>
    </row>
    <row r="4" spans="1:33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201" t="s">
        <v>110</v>
      </c>
      <c r="T4" s="202" t="s">
        <v>111</v>
      </c>
      <c r="U4" s="325"/>
      <c r="V4" s="325"/>
      <c r="W4" s="97" t="s">
        <v>112</v>
      </c>
      <c r="X4" s="67" t="s">
        <v>113</v>
      </c>
      <c r="Y4" s="192" t="s">
        <v>49</v>
      </c>
      <c r="Z4" s="193" t="s">
        <v>50</v>
      </c>
      <c r="AA4" s="389"/>
      <c r="AB4" s="390"/>
      <c r="AC4" s="192" t="s">
        <v>162</v>
      </c>
      <c r="AD4" s="193" t="s">
        <v>163</v>
      </c>
      <c r="AE4" s="333"/>
      <c r="AF4" s="319"/>
      <c r="AG4" s="321"/>
    </row>
    <row r="5" spans="1:33" ht="15.75" customHeight="1">
      <c r="A5" s="315" t="s">
        <v>168</v>
      </c>
      <c r="B5" s="112" t="s">
        <v>164</v>
      </c>
      <c r="C5" s="385" t="s">
        <v>165</v>
      </c>
      <c r="D5" s="385"/>
      <c r="E5" s="145">
        <v>19.7</v>
      </c>
      <c r="F5" s="149">
        <v>3978</v>
      </c>
      <c r="G5" s="146">
        <f t="shared" ref="G5:G7" si="0">E5*F5</f>
        <v>78366.599999999991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1087.5272881768487</v>
      </c>
      <c r="N5" s="150">
        <f>M5/L5</f>
        <v>83.655945244372987</v>
      </c>
      <c r="O5" s="152">
        <f>L5-I5</f>
        <v>0</v>
      </c>
      <c r="P5" s="153">
        <f>N5-K5</f>
        <v>-8.6517470633193199</v>
      </c>
      <c r="Q5" s="154">
        <f>N5/K5</f>
        <v>0.90627274014737402</v>
      </c>
      <c r="R5" s="307">
        <f>Q21</f>
        <v>0.90317544206543354</v>
      </c>
      <c r="S5" s="155">
        <v>0.20833333333333334</v>
      </c>
      <c r="T5" s="156">
        <v>0.36074074074074075</v>
      </c>
      <c r="U5" s="157"/>
      <c r="V5" s="158">
        <v>219.47035499231256</v>
      </c>
      <c r="W5" s="179"/>
      <c r="X5" s="150"/>
      <c r="Y5" s="12"/>
      <c r="Z5" s="196"/>
      <c r="AA5" s="310"/>
      <c r="AB5" s="311"/>
      <c r="AC5" s="12"/>
      <c r="AD5" s="196"/>
      <c r="AE5" s="176">
        <f>M5-J5</f>
        <v>-112.47271182315126</v>
      </c>
      <c r="AF5" s="130">
        <f>M5/J5</f>
        <v>0.90627274014737391</v>
      </c>
      <c r="AG5" s="386">
        <f>AF21</f>
        <v>0.90317544206543354</v>
      </c>
    </row>
    <row r="6" spans="1:33" ht="15.75" customHeight="1">
      <c r="A6" s="316"/>
      <c r="B6" s="98" t="s">
        <v>169</v>
      </c>
      <c r="C6" s="382" t="s">
        <v>170</v>
      </c>
      <c r="D6" s="382"/>
      <c r="E6" s="99">
        <v>56.43</v>
      </c>
      <c r="F6" s="100">
        <v>3189</v>
      </c>
      <c r="G6" s="101">
        <f t="shared" si="0"/>
        <v>179955.27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1803.5548219448428</v>
      </c>
      <c r="N6" s="104">
        <f>M6/L6</f>
        <v>75.148117581035123</v>
      </c>
      <c r="O6" s="106">
        <f>L6-I6</f>
        <v>0</v>
      </c>
      <c r="P6" s="107">
        <f>N6-K6</f>
        <v>-8.1852157522982054</v>
      </c>
      <c r="Q6" s="108">
        <f>N6/K6</f>
        <v>0.90177741097242148</v>
      </c>
      <c r="R6" s="308"/>
      <c r="S6" s="46">
        <v>0.36458333333333331</v>
      </c>
      <c r="T6" s="47">
        <v>0.4382523148148148</v>
      </c>
      <c r="U6" s="109">
        <v>5.5333333333332924</v>
      </c>
      <c r="V6" s="110">
        <v>106.09048179287984</v>
      </c>
      <c r="W6" s="111">
        <v>0.4382523148148148</v>
      </c>
      <c r="X6" s="114">
        <v>0.4770833333333333</v>
      </c>
      <c r="Y6" s="12"/>
      <c r="Z6" s="196"/>
      <c r="AA6" s="299"/>
      <c r="AB6" s="300"/>
      <c r="AC6" s="12"/>
      <c r="AD6" s="196"/>
      <c r="AE6" s="115">
        <f>M6-J6</f>
        <v>-196.44517805515716</v>
      </c>
      <c r="AF6" s="108">
        <f>M6/J6</f>
        <v>0.90177741097242137</v>
      </c>
      <c r="AG6" s="380"/>
    </row>
    <row r="7" spans="1:33" ht="15.75" customHeight="1">
      <c r="A7" s="316"/>
      <c r="B7" s="98" t="s">
        <v>171</v>
      </c>
      <c r="C7" s="382" t="s">
        <v>173</v>
      </c>
      <c r="D7" s="382"/>
      <c r="E7" s="99">
        <v>59.52</v>
      </c>
      <c r="F7" s="100">
        <v>3002</v>
      </c>
      <c r="G7" s="101">
        <f t="shared" si="0"/>
        <v>178679.04000000001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1805.4301886185629</v>
      </c>
      <c r="N7" s="104">
        <f>M7/L7</f>
        <v>75.226257859106781</v>
      </c>
      <c r="O7" s="106">
        <f>L7-I7</f>
        <v>0</v>
      </c>
      <c r="P7" s="107">
        <f>N7-K7</f>
        <v>-8.1070754742265478</v>
      </c>
      <c r="Q7" s="108">
        <f>N7/K7</f>
        <v>0.90271509430928143</v>
      </c>
      <c r="R7" s="308"/>
      <c r="S7" s="46">
        <v>0.4770833333333333</v>
      </c>
      <c r="T7" s="47">
        <v>0.5463541666666667</v>
      </c>
      <c r="U7" s="109">
        <v>55.916666666666643</v>
      </c>
      <c r="V7" s="110">
        <v>99.765696361718668</v>
      </c>
      <c r="W7" s="111"/>
      <c r="X7" s="114"/>
      <c r="Y7" s="12"/>
      <c r="Z7" s="196"/>
      <c r="AA7" s="299"/>
      <c r="AB7" s="300"/>
      <c r="AC7" s="12"/>
      <c r="AD7" s="196"/>
      <c r="AE7" s="115">
        <f>M7-J7</f>
        <v>-194.56981138143715</v>
      </c>
      <c r="AF7" s="108">
        <f>M7/J7</f>
        <v>0.90271509430928143</v>
      </c>
      <c r="AG7" s="380"/>
    </row>
    <row r="8" spans="1:33" ht="15.75" customHeight="1">
      <c r="A8" s="316"/>
      <c r="B8" s="98"/>
      <c r="C8" s="382"/>
      <c r="D8" s="382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8"/>
      <c r="S8" s="46"/>
      <c r="T8" s="47"/>
      <c r="U8" s="109"/>
      <c r="V8" s="110"/>
      <c r="W8" s="111"/>
      <c r="X8" s="114"/>
      <c r="Y8" s="12"/>
      <c r="Z8" s="196"/>
      <c r="AA8" s="299"/>
      <c r="AB8" s="300"/>
      <c r="AC8" s="12"/>
      <c r="AD8" s="196"/>
      <c r="AE8" s="115"/>
      <c r="AF8" s="108"/>
      <c r="AG8" s="380"/>
    </row>
    <row r="9" spans="1:33" ht="15.75" customHeight="1">
      <c r="A9" s="316"/>
      <c r="B9" s="98"/>
      <c r="C9" s="382"/>
      <c r="D9" s="382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8"/>
      <c r="S9" s="46"/>
      <c r="T9" s="47"/>
      <c r="U9" s="109"/>
      <c r="V9" s="110"/>
      <c r="W9" s="111"/>
      <c r="X9" s="114"/>
      <c r="Y9" s="12"/>
      <c r="Z9" s="196"/>
      <c r="AA9" s="299"/>
      <c r="AB9" s="300"/>
      <c r="AC9" s="12"/>
      <c r="AD9" s="196"/>
      <c r="AE9" s="115"/>
      <c r="AF9" s="108"/>
      <c r="AG9" s="380"/>
    </row>
    <row r="10" spans="1:33" ht="15.75" customHeight="1">
      <c r="A10" s="316"/>
      <c r="B10" s="98"/>
      <c r="C10" s="382"/>
      <c r="D10" s="382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8"/>
      <c r="S10" s="46"/>
      <c r="T10" s="118"/>
      <c r="U10" s="109"/>
      <c r="V10" s="110"/>
      <c r="W10" s="111"/>
      <c r="X10" s="114"/>
      <c r="Y10" s="12"/>
      <c r="Z10" s="196"/>
      <c r="AA10" s="299"/>
      <c r="AB10" s="300"/>
      <c r="AC10" s="12"/>
      <c r="AD10" s="196"/>
      <c r="AE10" s="115"/>
      <c r="AF10" s="108"/>
      <c r="AG10" s="380"/>
    </row>
    <row r="11" spans="1:33" ht="15.75" customHeight="1">
      <c r="A11" s="316"/>
      <c r="B11" s="98"/>
      <c r="C11" s="382"/>
      <c r="D11" s="382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8"/>
      <c r="S11" s="46"/>
      <c r="T11" s="118"/>
      <c r="U11" s="109"/>
      <c r="V11" s="110"/>
      <c r="W11" s="111"/>
      <c r="X11" s="114"/>
      <c r="Y11" s="12"/>
      <c r="Z11" s="196"/>
      <c r="AA11" s="299"/>
      <c r="AB11" s="300"/>
      <c r="AC11" s="12"/>
      <c r="AD11" s="196"/>
      <c r="AE11" s="115"/>
      <c r="AF11" s="108"/>
      <c r="AG11" s="380"/>
    </row>
    <row r="12" spans="1:33" ht="15.75" customHeight="1">
      <c r="A12" s="316"/>
      <c r="B12" s="98"/>
      <c r="C12" s="382"/>
      <c r="D12" s="382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8"/>
      <c r="S12" s="46"/>
      <c r="T12" s="118"/>
      <c r="U12" s="109"/>
      <c r="V12" s="110"/>
      <c r="W12" s="111"/>
      <c r="X12" s="114"/>
      <c r="Y12" s="12"/>
      <c r="Z12" s="196"/>
      <c r="AA12" s="299"/>
      <c r="AB12" s="300"/>
      <c r="AC12" s="12"/>
      <c r="AD12" s="196"/>
      <c r="AE12" s="115"/>
      <c r="AF12" s="108"/>
      <c r="AG12" s="380"/>
    </row>
    <row r="13" spans="1:33" ht="15.75" customHeight="1">
      <c r="A13" s="316"/>
      <c r="B13" s="98"/>
      <c r="C13" s="382"/>
      <c r="D13" s="382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8"/>
      <c r="S13" s="46"/>
      <c r="T13" s="118"/>
      <c r="U13" s="109"/>
      <c r="V13" s="110"/>
      <c r="W13" s="111"/>
      <c r="X13" s="114"/>
      <c r="Y13" s="12"/>
      <c r="Z13" s="196"/>
      <c r="AA13" s="299"/>
      <c r="AB13" s="300"/>
      <c r="AC13" s="12"/>
      <c r="AD13" s="196"/>
      <c r="AE13" s="115"/>
      <c r="AF13" s="108"/>
      <c r="AG13" s="380"/>
    </row>
    <row r="14" spans="1:33" ht="15.75" customHeight="1">
      <c r="A14" s="316"/>
      <c r="B14" s="98"/>
      <c r="C14" s="382"/>
      <c r="D14" s="382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8"/>
      <c r="S14" s="46"/>
      <c r="T14" s="118"/>
      <c r="U14" s="109"/>
      <c r="V14" s="110"/>
      <c r="W14" s="111"/>
      <c r="X14" s="114"/>
      <c r="Y14" s="12"/>
      <c r="Z14" s="196"/>
      <c r="AA14" s="299"/>
      <c r="AB14" s="300"/>
      <c r="AC14" s="12"/>
      <c r="AD14" s="196"/>
      <c r="AE14" s="115"/>
      <c r="AF14" s="108"/>
      <c r="AG14" s="380"/>
    </row>
    <row r="15" spans="1:33" ht="15.75" customHeight="1">
      <c r="A15" s="316"/>
      <c r="B15" s="98"/>
      <c r="C15" s="382"/>
      <c r="D15" s="382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8"/>
      <c r="S15" s="46"/>
      <c r="T15" s="118"/>
      <c r="U15" s="109"/>
      <c r="V15" s="110"/>
      <c r="W15" s="111"/>
      <c r="X15" s="114"/>
      <c r="Y15" s="12"/>
      <c r="Z15" s="196"/>
      <c r="AA15" s="299"/>
      <c r="AB15" s="300"/>
      <c r="AC15" s="12"/>
      <c r="AD15" s="196"/>
      <c r="AE15" s="115"/>
      <c r="AF15" s="108"/>
      <c r="AG15" s="380"/>
    </row>
    <row r="16" spans="1:33" ht="15.75" customHeight="1">
      <c r="A16" s="316"/>
      <c r="B16" s="98"/>
      <c r="C16" s="382"/>
      <c r="D16" s="382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8"/>
      <c r="S16" s="46"/>
      <c r="T16" s="118"/>
      <c r="U16" s="109"/>
      <c r="V16" s="110"/>
      <c r="W16" s="111"/>
      <c r="X16" s="114"/>
      <c r="Y16" s="12"/>
      <c r="Z16" s="196"/>
      <c r="AA16" s="299"/>
      <c r="AB16" s="300"/>
      <c r="AC16" s="12"/>
      <c r="AD16" s="196"/>
      <c r="AE16" s="115"/>
      <c r="AF16" s="108"/>
      <c r="AG16" s="380"/>
    </row>
    <row r="17" spans="1:33" ht="15.75" customHeight="1">
      <c r="A17" s="316"/>
      <c r="B17" s="98"/>
      <c r="C17" s="382"/>
      <c r="D17" s="382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8"/>
      <c r="S17" s="46"/>
      <c r="T17" s="118"/>
      <c r="U17" s="109"/>
      <c r="V17" s="110"/>
      <c r="W17" s="111"/>
      <c r="X17" s="114"/>
      <c r="Y17" s="12"/>
      <c r="Z17" s="196"/>
      <c r="AA17" s="299"/>
      <c r="AB17" s="300"/>
      <c r="AC17" s="12"/>
      <c r="AD17" s="196"/>
      <c r="AE17" s="115"/>
      <c r="AF17" s="108"/>
      <c r="AG17" s="380"/>
    </row>
    <row r="18" spans="1:33" ht="15.75" customHeight="1">
      <c r="A18" s="316"/>
      <c r="B18" s="98"/>
      <c r="C18" s="382"/>
      <c r="D18" s="382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8"/>
      <c r="S18" s="46"/>
      <c r="T18" s="118"/>
      <c r="U18" s="109"/>
      <c r="V18" s="110"/>
      <c r="W18" s="111"/>
      <c r="X18" s="114"/>
      <c r="Y18" s="12"/>
      <c r="Z18" s="196"/>
      <c r="AA18" s="299"/>
      <c r="AB18" s="300"/>
      <c r="AC18" s="12"/>
      <c r="AD18" s="196"/>
      <c r="AE18" s="115"/>
      <c r="AF18" s="108"/>
      <c r="AG18" s="380"/>
    </row>
    <row r="19" spans="1:33" ht="15.75" customHeight="1">
      <c r="A19" s="316"/>
      <c r="B19" s="98"/>
      <c r="C19" s="382"/>
      <c r="D19" s="382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8"/>
      <c r="S19" s="46"/>
      <c r="T19" s="118"/>
      <c r="U19" s="109"/>
      <c r="V19" s="110"/>
      <c r="W19" s="111"/>
      <c r="X19" s="114"/>
      <c r="Y19" s="12"/>
      <c r="Z19" s="196"/>
      <c r="AA19" s="299"/>
      <c r="AB19" s="300"/>
      <c r="AC19" s="12"/>
      <c r="AD19" s="196"/>
      <c r="AE19" s="115"/>
      <c r="AF19" s="108"/>
      <c r="AG19" s="380"/>
    </row>
    <row r="20" spans="1:33" ht="15.75" customHeight="1">
      <c r="A20" s="316"/>
      <c r="B20" s="98"/>
      <c r="C20" s="382"/>
      <c r="D20" s="382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8"/>
      <c r="S20" s="46"/>
      <c r="T20" s="118"/>
      <c r="U20" s="128"/>
      <c r="V20" s="110"/>
      <c r="W20" s="111"/>
      <c r="X20" s="114"/>
      <c r="Y20" s="12"/>
      <c r="Z20" s="196"/>
      <c r="AA20" s="299"/>
      <c r="AB20" s="300"/>
      <c r="AC20" s="12"/>
      <c r="AD20" s="196"/>
      <c r="AE20" s="115"/>
      <c r="AF20" s="108"/>
      <c r="AG20" s="380"/>
    </row>
    <row r="21" spans="1:33" ht="15.75" customHeight="1" thickBot="1">
      <c r="A21" s="317"/>
      <c r="B21" s="131" t="s">
        <v>115</v>
      </c>
      <c r="C21" s="294"/>
      <c r="D21" s="294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1565.5040995800848</v>
      </c>
      <c r="N21" s="136">
        <f t="shared" ref="N21:N26" si="5">M21/L21</f>
        <v>76.992004897381221</v>
      </c>
      <c r="O21" s="137">
        <f t="shared" ref="O21:O26" si="6">L21-I21</f>
        <v>0</v>
      </c>
      <c r="P21" s="138">
        <f t="shared" ref="P21:P26" si="7">N21-K21</f>
        <v>-8.2538967419630467</v>
      </c>
      <c r="Q21" s="139">
        <f t="shared" ref="Q21:Q26" si="8">N21/K21</f>
        <v>0.90317544206543354</v>
      </c>
      <c r="R21" s="309"/>
      <c r="S21" s="140">
        <v>0.20833333333333334</v>
      </c>
      <c r="T21" s="141">
        <v>0.5463541666666667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5"/>
      <c r="AB21" s="296"/>
      <c r="AC21" s="177">
        <f>SUM(AC5:AC20)</f>
        <v>0</v>
      </c>
      <c r="AD21" s="178">
        <f>SUM(AD5:AD20)</f>
        <v>0</v>
      </c>
      <c r="AE21" s="166">
        <f t="shared" ref="AE21:AE26" si="9">M21-J21</f>
        <v>-167.82923375324845</v>
      </c>
      <c r="AF21" s="139">
        <f t="shared" ref="AF21:AF26" si="10">M21/J21</f>
        <v>0.90317544206543354</v>
      </c>
      <c r="AG21" s="381"/>
    </row>
    <row r="22" spans="1:33" ht="15.75" customHeight="1">
      <c r="A22" s="301" t="s">
        <v>174</v>
      </c>
      <c r="B22" s="144" t="s">
        <v>166</v>
      </c>
      <c r="C22" s="305" t="s">
        <v>223</v>
      </c>
      <c r="D22" s="306"/>
      <c r="E22" s="145">
        <v>29.87</v>
      </c>
      <c r="F22" s="157">
        <v>4676</v>
      </c>
      <c r="G22" s="146">
        <f t="shared" ref="G22:G26" si="11">E22*F22</f>
        <v>139672.12</v>
      </c>
      <c r="H22" s="147"/>
      <c r="I22" s="151">
        <v>21</v>
      </c>
      <c r="J22" s="149">
        <v>2790</v>
      </c>
      <c r="K22" s="150">
        <f>J22/I22</f>
        <v>132.85714285714286</v>
      </c>
      <c r="L22" s="105">
        <v>22</v>
      </c>
      <c r="M22" s="149">
        <f>F22/V22*60</f>
        <v>2626.6346153846152</v>
      </c>
      <c r="N22" s="150">
        <f t="shared" si="5"/>
        <v>119.39248251748251</v>
      </c>
      <c r="O22" s="152">
        <f t="shared" si="6"/>
        <v>1</v>
      </c>
      <c r="P22" s="153">
        <f t="shared" si="7"/>
        <v>-13.464660339660355</v>
      </c>
      <c r="Q22" s="154">
        <f t="shared" si="8"/>
        <v>0.89865309421761019</v>
      </c>
      <c r="R22" s="307">
        <f>Q38</f>
        <v>0.90204635996512827</v>
      </c>
      <c r="S22" s="155">
        <v>0.25</v>
      </c>
      <c r="T22" s="156">
        <v>0.32416666666666666</v>
      </c>
      <c r="U22" s="157"/>
      <c r="V22" s="158">
        <v>106.81348610755208</v>
      </c>
      <c r="W22" s="95"/>
      <c r="X22" s="96"/>
      <c r="Y22" s="12"/>
      <c r="Z22" s="196"/>
      <c r="AA22" s="310"/>
      <c r="AB22" s="311"/>
      <c r="AC22" s="12"/>
      <c r="AD22" s="196"/>
      <c r="AE22" s="113">
        <f t="shared" si="9"/>
        <v>-163.36538461538476</v>
      </c>
      <c r="AF22" s="154">
        <f t="shared" si="10"/>
        <v>0.94144609870416318</v>
      </c>
      <c r="AG22" s="379">
        <f>AF38</f>
        <v>0.92831955491556872</v>
      </c>
    </row>
    <row r="23" spans="1:33" ht="15.75" customHeight="1">
      <c r="A23" s="302"/>
      <c r="B23" s="161" t="s">
        <v>166</v>
      </c>
      <c r="C23" s="297" t="s">
        <v>221</v>
      </c>
      <c r="D23" s="298"/>
      <c r="E23" s="99">
        <v>24.35</v>
      </c>
      <c r="F23" s="109">
        <v>2748</v>
      </c>
      <c r="G23" s="101">
        <f t="shared" si="11"/>
        <v>66913.8</v>
      </c>
      <c r="H23" s="26"/>
      <c r="I23" s="105">
        <v>21</v>
      </c>
      <c r="J23" s="103">
        <v>2790</v>
      </c>
      <c r="K23" s="104">
        <f t="shared" si="1"/>
        <v>132.85714285714286</v>
      </c>
      <c r="L23" s="105">
        <v>22</v>
      </c>
      <c r="M23" s="103">
        <f>F23/V23*60</f>
        <v>2626.6346153846152</v>
      </c>
      <c r="N23" s="104">
        <f t="shared" si="5"/>
        <v>119.39248251748251</v>
      </c>
      <c r="O23" s="106">
        <f t="shared" si="6"/>
        <v>1</v>
      </c>
      <c r="P23" s="107">
        <f t="shared" si="7"/>
        <v>-13.464660339660355</v>
      </c>
      <c r="Q23" s="108">
        <f t="shared" si="8"/>
        <v>0.89865309421761019</v>
      </c>
      <c r="R23" s="308"/>
      <c r="S23" s="46">
        <v>0.32708333333333334</v>
      </c>
      <c r="T23" s="47">
        <v>0.3706712962962963</v>
      </c>
      <c r="U23" s="109">
        <v>5</v>
      </c>
      <c r="V23" s="110">
        <v>62.772339568766704</v>
      </c>
      <c r="W23" s="111"/>
      <c r="X23" s="114"/>
      <c r="Y23" s="12"/>
      <c r="Z23" s="196"/>
      <c r="AA23" s="299"/>
      <c r="AB23" s="300"/>
      <c r="AC23" s="12"/>
      <c r="AD23" s="196"/>
      <c r="AE23" s="115">
        <f t="shared" si="9"/>
        <v>-163.36538461538476</v>
      </c>
      <c r="AF23" s="108">
        <f t="shared" si="10"/>
        <v>0.94144609870416318</v>
      </c>
      <c r="AG23" s="380"/>
    </row>
    <row r="24" spans="1:33" ht="15.75" customHeight="1">
      <c r="A24" s="302"/>
      <c r="B24" s="161" t="s">
        <v>166</v>
      </c>
      <c r="C24" s="297" t="s">
        <v>167</v>
      </c>
      <c r="D24" s="298"/>
      <c r="E24" s="99">
        <v>29.97</v>
      </c>
      <c r="F24" s="109">
        <v>1430</v>
      </c>
      <c r="G24" s="101">
        <f t="shared" si="11"/>
        <v>42857.1</v>
      </c>
      <c r="H24" s="26"/>
      <c r="I24" s="105">
        <v>21</v>
      </c>
      <c r="J24" s="103">
        <v>2790</v>
      </c>
      <c r="K24" s="104">
        <f t="shared" si="1"/>
        <v>132.85714285714286</v>
      </c>
      <c r="L24" s="105">
        <v>22</v>
      </c>
      <c r="M24" s="103">
        <f>F24/V24*60</f>
        <v>2626.6346153846152</v>
      </c>
      <c r="N24" s="104">
        <f t="shared" si="5"/>
        <v>119.39248251748251</v>
      </c>
      <c r="O24" s="106">
        <f t="shared" si="6"/>
        <v>1</v>
      </c>
      <c r="P24" s="107">
        <f t="shared" si="7"/>
        <v>-13.464660339660355</v>
      </c>
      <c r="Q24" s="108">
        <f t="shared" si="8"/>
        <v>0.89865309421761019</v>
      </c>
      <c r="R24" s="308"/>
      <c r="S24" s="46">
        <v>0.37430555555555556</v>
      </c>
      <c r="T24" s="47">
        <v>0.39697916666666666</v>
      </c>
      <c r="U24" s="109">
        <v>5.2333333333333254</v>
      </c>
      <c r="V24" s="110">
        <v>32.665373210821102</v>
      </c>
      <c r="W24" s="111"/>
      <c r="X24" s="114"/>
      <c r="Y24" s="12"/>
      <c r="Z24" s="196"/>
      <c r="AA24" s="299"/>
      <c r="AB24" s="300"/>
      <c r="AC24" s="12"/>
      <c r="AD24" s="196"/>
      <c r="AE24" s="115">
        <f t="shared" si="9"/>
        <v>-163.36538461538476</v>
      </c>
      <c r="AF24" s="108">
        <f t="shared" si="10"/>
        <v>0.94144609870416318</v>
      </c>
      <c r="AG24" s="380"/>
    </row>
    <row r="25" spans="1:33" ht="15.75" customHeight="1">
      <c r="A25" s="302"/>
      <c r="B25" s="161" t="s">
        <v>188</v>
      </c>
      <c r="C25" s="297" t="s">
        <v>204</v>
      </c>
      <c r="D25" s="298"/>
      <c r="E25" s="99">
        <v>36.450000000000003</v>
      </c>
      <c r="F25" s="109">
        <v>1535</v>
      </c>
      <c r="G25" s="101">
        <f t="shared" si="11"/>
        <v>55950.750000000007</v>
      </c>
      <c r="H25" s="26"/>
      <c r="I25" s="105">
        <v>20</v>
      </c>
      <c r="J25" s="103">
        <v>2100</v>
      </c>
      <c r="K25" s="104">
        <f t="shared" si="1"/>
        <v>105</v>
      </c>
      <c r="L25" s="105">
        <v>20</v>
      </c>
      <c r="M25" s="103">
        <f>F25/V25*60</f>
        <v>1891.5983422375</v>
      </c>
      <c r="N25" s="104">
        <f t="shared" si="5"/>
        <v>94.579917111875005</v>
      </c>
      <c r="O25" s="106">
        <f t="shared" si="6"/>
        <v>0</v>
      </c>
      <c r="P25" s="107">
        <f t="shared" si="7"/>
        <v>-10.420082888124995</v>
      </c>
      <c r="Q25" s="108">
        <f t="shared" si="8"/>
        <v>0.90076111535119052</v>
      </c>
      <c r="R25" s="308"/>
      <c r="S25" s="46">
        <v>0.40069444444444441</v>
      </c>
      <c r="T25" s="47">
        <v>0.43450231481481477</v>
      </c>
      <c r="U25" s="109">
        <v>5.349999999999957</v>
      </c>
      <c r="V25" s="110">
        <v>48.688983249508667</v>
      </c>
      <c r="W25" s="111">
        <v>0.43450231481481477</v>
      </c>
      <c r="X25" s="114">
        <v>0.4729166666666666</v>
      </c>
      <c r="Y25" s="12"/>
      <c r="Z25" s="196"/>
      <c r="AA25" s="299"/>
      <c r="AB25" s="300"/>
      <c r="AC25" s="12"/>
      <c r="AD25" s="196"/>
      <c r="AE25" s="115">
        <f t="shared" si="9"/>
        <v>-208.40165776250001</v>
      </c>
      <c r="AF25" s="108">
        <f t="shared" si="10"/>
        <v>0.90076111535119052</v>
      </c>
      <c r="AG25" s="380"/>
    </row>
    <row r="26" spans="1:33" ht="15.75" customHeight="1">
      <c r="A26" s="303"/>
      <c r="B26" s="161" t="s">
        <v>171</v>
      </c>
      <c r="C26" s="297" t="s">
        <v>200</v>
      </c>
      <c r="D26" s="298"/>
      <c r="E26" s="99">
        <v>61.09</v>
      </c>
      <c r="F26" s="109">
        <v>2212</v>
      </c>
      <c r="G26" s="101">
        <f t="shared" si="11"/>
        <v>135131.08000000002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>F26/V26*60</f>
        <v>1804.6426614057971</v>
      </c>
      <c r="N26" s="104">
        <f t="shared" si="5"/>
        <v>90.232133070289848</v>
      </c>
      <c r="O26" s="106">
        <f t="shared" si="6"/>
        <v>0</v>
      </c>
      <c r="P26" s="107">
        <f t="shared" si="7"/>
        <v>-9.7678669297101521</v>
      </c>
      <c r="Q26" s="108">
        <f t="shared" si="8"/>
        <v>0.90232133070289844</v>
      </c>
      <c r="R26" s="308"/>
      <c r="S26" s="46">
        <v>0.4729166666666666</v>
      </c>
      <c r="T26" s="47">
        <v>0.52398148148148138</v>
      </c>
      <c r="U26" s="109">
        <v>55.316666666666627</v>
      </c>
      <c r="V26" s="110">
        <v>73.543645419870856</v>
      </c>
      <c r="W26" s="111"/>
      <c r="X26" s="114"/>
      <c r="Y26" s="12"/>
      <c r="Z26" s="196"/>
      <c r="AA26" s="299"/>
      <c r="AB26" s="300"/>
      <c r="AC26" s="12"/>
      <c r="AD26" s="196"/>
      <c r="AE26" s="115">
        <f t="shared" si="9"/>
        <v>-195.35733859420293</v>
      </c>
      <c r="AF26" s="108">
        <f t="shared" si="10"/>
        <v>0.90232133070289855</v>
      </c>
      <c r="AG26" s="380"/>
    </row>
    <row r="27" spans="1:33" ht="15.75" customHeight="1">
      <c r="A27" s="303"/>
      <c r="B27" s="161"/>
      <c r="C27" s="297"/>
      <c r="D27" s="298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08"/>
      <c r="S27" s="46"/>
      <c r="T27" s="118"/>
      <c r="U27" s="109"/>
      <c r="V27" s="110"/>
      <c r="W27" s="111"/>
      <c r="X27" s="114"/>
      <c r="Y27" s="12"/>
      <c r="Z27" s="196"/>
      <c r="AA27" s="299"/>
      <c r="AB27" s="300"/>
      <c r="AC27" s="12"/>
      <c r="AD27" s="196"/>
      <c r="AE27" s="115"/>
      <c r="AF27" s="108"/>
      <c r="AG27" s="380"/>
    </row>
    <row r="28" spans="1:33" ht="15.75" customHeight="1">
      <c r="A28" s="303"/>
      <c r="B28" s="161"/>
      <c r="C28" s="297"/>
      <c r="D28" s="298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8"/>
      <c r="S28" s="46"/>
      <c r="T28" s="118"/>
      <c r="U28" s="109"/>
      <c r="V28" s="110"/>
      <c r="W28" s="111"/>
      <c r="X28" s="114"/>
      <c r="Y28" s="12"/>
      <c r="Z28" s="196"/>
      <c r="AA28" s="299"/>
      <c r="AB28" s="300"/>
      <c r="AC28" s="12"/>
      <c r="AD28" s="196"/>
      <c r="AE28" s="115"/>
      <c r="AF28" s="108"/>
      <c r="AG28" s="380"/>
    </row>
    <row r="29" spans="1:33" ht="15.75" customHeight="1">
      <c r="A29" s="303"/>
      <c r="B29" s="161"/>
      <c r="C29" s="297"/>
      <c r="D29" s="298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8"/>
      <c r="S29" s="46"/>
      <c r="T29" s="118"/>
      <c r="U29" s="109"/>
      <c r="V29" s="110"/>
      <c r="W29" s="111"/>
      <c r="X29" s="114"/>
      <c r="Y29" s="12"/>
      <c r="Z29" s="196"/>
      <c r="AA29" s="299"/>
      <c r="AB29" s="300"/>
      <c r="AC29" s="12"/>
      <c r="AD29" s="196"/>
      <c r="AE29" s="115"/>
      <c r="AF29" s="108"/>
      <c r="AG29" s="380"/>
    </row>
    <row r="30" spans="1:33" ht="15.75" customHeight="1">
      <c r="A30" s="303"/>
      <c r="B30" s="161"/>
      <c r="C30" s="297"/>
      <c r="D30" s="298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8"/>
      <c r="S30" s="46"/>
      <c r="T30" s="118"/>
      <c r="U30" s="109"/>
      <c r="V30" s="110"/>
      <c r="W30" s="111"/>
      <c r="X30" s="114"/>
      <c r="Y30" s="12"/>
      <c r="Z30" s="196"/>
      <c r="AA30" s="299"/>
      <c r="AB30" s="300"/>
      <c r="AC30" s="12"/>
      <c r="AD30" s="196"/>
      <c r="AE30" s="115"/>
      <c r="AF30" s="108"/>
      <c r="AG30" s="380"/>
    </row>
    <row r="31" spans="1:33" ht="15.75" customHeight="1">
      <c r="A31" s="303"/>
      <c r="B31" s="161"/>
      <c r="C31" s="297"/>
      <c r="D31" s="298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8"/>
      <c r="S31" s="46"/>
      <c r="T31" s="118"/>
      <c r="U31" s="109"/>
      <c r="V31" s="110"/>
      <c r="W31" s="111"/>
      <c r="X31" s="114"/>
      <c r="Y31" s="12"/>
      <c r="Z31" s="196"/>
      <c r="AA31" s="299"/>
      <c r="AB31" s="300"/>
      <c r="AC31" s="12"/>
      <c r="AD31" s="196"/>
      <c r="AE31" s="115"/>
      <c r="AF31" s="108"/>
      <c r="AG31" s="380"/>
    </row>
    <row r="32" spans="1:33" ht="15.75" customHeight="1">
      <c r="A32" s="303"/>
      <c r="B32" s="161"/>
      <c r="C32" s="297"/>
      <c r="D32" s="298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8"/>
      <c r="S32" s="46"/>
      <c r="T32" s="118"/>
      <c r="U32" s="109"/>
      <c r="V32" s="110"/>
      <c r="W32" s="111"/>
      <c r="X32" s="114"/>
      <c r="Y32" s="12"/>
      <c r="Z32" s="196"/>
      <c r="AA32" s="299"/>
      <c r="AB32" s="300"/>
      <c r="AC32" s="12"/>
      <c r="AD32" s="196"/>
      <c r="AE32" s="115"/>
      <c r="AF32" s="108"/>
      <c r="AG32" s="380"/>
    </row>
    <row r="33" spans="1:33" ht="15.75" customHeight="1">
      <c r="A33" s="303"/>
      <c r="B33" s="161"/>
      <c r="C33" s="297"/>
      <c r="D33" s="298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8"/>
      <c r="S33" s="46"/>
      <c r="T33" s="118"/>
      <c r="U33" s="109"/>
      <c r="V33" s="110"/>
      <c r="W33" s="111"/>
      <c r="X33" s="114"/>
      <c r="Y33" s="12"/>
      <c r="Z33" s="196"/>
      <c r="AA33" s="299"/>
      <c r="AB33" s="300"/>
      <c r="AC33" s="12"/>
      <c r="AD33" s="196"/>
      <c r="AE33" s="115"/>
      <c r="AF33" s="108"/>
      <c r="AG33" s="380"/>
    </row>
    <row r="34" spans="1:33" ht="15.75" customHeight="1">
      <c r="A34" s="303"/>
      <c r="B34" s="161"/>
      <c r="C34" s="297"/>
      <c r="D34" s="298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8"/>
      <c r="S34" s="46"/>
      <c r="T34" s="118"/>
      <c r="U34" s="109"/>
      <c r="V34" s="110"/>
      <c r="W34" s="111"/>
      <c r="X34" s="114"/>
      <c r="Y34" s="12"/>
      <c r="Z34" s="196"/>
      <c r="AA34" s="299"/>
      <c r="AB34" s="300"/>
      <c r="AC34" s="12"/>
      <c r="AD34" s="196"/>
      <c r="AE34" s="115"/>
      <c r="AF34" s="108"/>
      <c r="AG34" s="380"/>
    </row>
    <row r="35" spans="1:33" ht="15.75" customHeight="1">
      <c r="A35" s="303"/>
      <c r="B35" s="161"/>
      <c r="C35" s="297"/>
      <c r="D35" s="298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8"/>
      <c r="S35" s="46"/>
      <c r="T35" s="118"/>
      <c r="U35" s="109"/>
      <c r="V35" s="110"/>
      <c r="W35" s="181"/>
      <c r="X35" s="182"/>
      <c r="Y35" s="12"/>
      <c r="Z35" s="196"/>
      <c r="AA35" s="299"/>
      <c r="AB35" s="300"/>
      <c r="AC35" s="12"/>
      <c r="AD35" s="196"/>
      <c r="AE35" s="115"/>
      <c r="AF35" s="108"/>
      <c r="AG35" s="380"/>
    </row>
    <row r="36" spans="1:33" ht="15.75" customHeight="1">
      <c r="A36" s="303"/>
      <c r="B36" s="161"/>
      <c r="C36" s="297"/>
      <c r="D36" s="298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8"/>
      <c r="S36" s="46"/>
      <c r="T36" s="118"/>
      <c r="U36" s="109"/>
      <c r="V36" s="110"/>
      <c r="W36" s="183"/>
      <c r="X36" s="184"/>
      <c r="Y36" s="12"/>
      <c r="Z36" s="196"/>
      <c r="AA36" s="299"/>
      <c r="AB36" s="300"/>
      <c r="AC36" s="12"/>
      <c r="AD36" s="196"/>
      <c r="AE36" s="115"/>
      <c r="AF36" s="108"/>
      <c r="AG36" s="380"/>
    </row>
    <row r="37" spans="1:33" ht="15.75" customHeight="1">
      <c r="A37" s="303"/>
      <c r="B37" s="98"/>
      <c r="C37" s="297"/>
      <c r="D37" s="298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8"/>
      <c r="S37" s="46"/>
      <c r="T37" s="118"/>
      <c r="U37" s="128"/>
      <c r="V37" s="110"/>
      <c r="W37" s="183"/>
      <c r="X37" s="184"/>
      <c r="Y37" s="12"/>
      <c r="Z37" s="196"/>
      <c r="AA37" s="299"/>
      <c r="AB37" s="300"/>
      <c r="AC37" s="12"/>
      <c r="AD37" s="196"/>
      <c r="AE37" s="115"/>
      <c r="AF37" s="108"/>
      <c r="AG37" s="380"/>
    </row>
    <row r="38" spans="1:33" ht="15.75" customHeight="1" thickBot="1">
      <c r="A38" s="304"/>
      <c r="B38" s="131" t="s">
        <v>115</v>
      </c>
      <c r="C38" s="294"/>
      <c r="D38" s="294"/>
      <c r="E38" s="132"/>
      <c r="F38" s="165"/>
      <c r="G38" s="133"/>
      <c r="H38" s="67"/>
      <c r="I38" s="134">
        <f t="shared" ref="I38:J38" si="12">AVERAGE(I22:I37)</f>
        <v>20.6</v>
      </c>
      <c r="J38" s="135">
        <f t="shared" si="12"/>
        <v>2494</v>
      </c>
      <c r="K38" s="136">
        <f t="shared" ref="K38" si="13">J38/I38</f>
        <v>121.06796116504853</v>
      </c>
      <c r="L38" s="134">
        <f t="shared" ref="L38:M38" si="14">AVERAGE(L22:L37)</f>
        <v>21.2</v>
      </c>
      <c r="M38" s="135">
        <f t="shared" si="14"/>
        <v>2315.2289699594285</v>
      </c>
      <c r="N38" s="136">
        <f t="shared" ref="N38:N44" si="15">M38/L38</f>
        <v>109.20891367733154</v>
      </c>
      <c r="O38" s="137">
        <f t="shared" ref="O38:O44" si="16">L38-I38</f>
        <v>0.59999999999999787</v>
      </c>
      <c r="P38" s="138">
        <f t="shared" ref="P38:P44" si="17">N38-K38</f>
        <v>-11.859047487716992</v>
      </c>
      <c r="Q38" s="139">
        <f t="shared" ref="Q38:Q44" si="18">N38/K38</f>
        <v>0.90204635996512827</v>
      </c>
      <c r="R38" s="309"/>
      <c r="S38" s="140">
        <v>0.25</v>
      </c>
      <c r="T38" s="141">
        <v>0.52398148148148138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5"/>
      <c r="AB38" s="296"/>
      <c r="AC38" s="177">
        <f>SUM(AC22:AC37)</f>
        <v>0</v>
      </c>
      <c r="AD38" s="178">
        <f>SUM(AD22:AD37)</f>
        <v>0</v>
      </c>
      <c r="AE38" s="166">
        <f t="shared" ref="AE38:AE44" si="19">M38-J38</f>
        <v>-178.77103004057153</v>
      </c>
      <c r="AF38" s="139">
        <f t="shared" ref="AF38:AF44" si="20">M38/J38</f>
        <v>0.92831955491556872</v>
      </c>
      <c r="AG38" s="381"/>
    </row>
    <row r="39" spans="1:33" ht="15.75" customHeight="1">
      <c r="A39" s="315" t="s">
        <v>175</v>
      </c>
      <c r="B39" s="144" t="s">
        <v>171</v>
      </c>
      <c r="C39" s="305" t="s">
        <v>178</v>
      </c>
      <c r="D39" s="306"/>
      <c r="E39" s="145">
        <v>71.55</v>
      </c>
      <c r="F39" s="95">
        <v>1777</v>
      </c>
      <c r="G39" s="146">
        <f t="shared" ref="G39:G44" si="21">E39*F39</f>
        <v>127144.34999999999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2">F39/V39*60</f>
        <v>1808.8185926713986</v>
      </c>
      <c r="N39" s="150">
        <f t="shared" si="15"/>
        <v>82.219026939609023</v>
      </c>
      <c r="O39" s="152">
        <f t="shared" si="16"/>
        <v>0</v>
      </c>
      <c r="P39" s="153">
        <f t="shared" si="17"/>
        <v>-8.6900639694818835</v>
      </c>
      <c r="Q39" s="154">
        <f t="shared" si="18"/>
        <v>0.90440929633569933</v>
      </c>
      <c r="R39" s="307">
        <f>Q55</f>
        <v>0.90303503036989829</v>
      </c>
      <c r="S39" s="155">
        <v>0.25</v>
      </c>
      <c r="T39" s="156">
        <v>0.29092592592592592</v>
      </c>
      <c r="U39" s="157"/>
      <c r="V39" s="158">
        <v>58.94455111860367</v>
      </c>
      <c r="W39" s="156"/>
      <c r="X39" s="167"/>
      <c r="Y39" s="12"/>
      <c r="Z39" s="196"/>
      <c r="AA39" s="310"/>
      <c r="AB39" s="311"/>
      <c r="AC39" s="12"/>
      <c r="AD39" s="196"/>
      <c r="AE39" s="113">
        <f t="shared" si="19"/>
        <v>-191.18140732860138</v>
      </c>
      <c r="AF39" s="154">
        <f t="shared" si="20"/>
        <v>0.90440929633569933</v>
      </c>
      <c r="AG39" s="312">
        <f>AF55</f>
        <v>0.90303503036989829</v>
      </c>
    </row>
    <row r="40" spans="1:33" ht="15.75" customHeight="1">
      <c r="A40" s="316"/>
      <c r="B40" s="161" t="s">
        <v>171</v>
      </c>
      <c r="C40" s="297" t="s">
        <v>176</v>
      </c>
      <c r="D40" s="298"/>
      <c r="E40" s="99">
        <v>59.54</v>
      </c>
      <c r="F40" s="100">
        <v>1756</v>
      </c>
      <c r="G40" s="101">
        <f t="shared" si="21"/>
        <v>104552.24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2"/>
        <v>1807.8273887531586</v>
      </c>
      <c r="N40" s="104">
        <f t="shared" si="15"/>
        <v>78.601190815354727</v>
      </c>
      <c r="O40" s="106">
        <f t="shared" si="16"/>
        <v>0</v>
      </c>
      <c r="P40" s="107">
        <f t="shared" si="17"/>
        <v>-8.3553309237757105</v>
      </c>
      <c r="Q40" s="108">
        <f t="shared" si="18"/>
        <v>0.90391369437657931</v>
      </c>
      <c r="R40" s="308"/>
      <c r="S40" s="46">
        <v>0.29444444444444445</v>
      </c>
      <c r="T40" s="47">
        <v>0.33490740740740743</v>
      </c>
      <c r="U40" s="109">
        <v>5.066666666666686</v>
      </c>
      <c r="V40" s="110">
        <v>58.279900313196265</v>
      </c>
      <c r="W40" s="111"/>
      <c r="X40" s="114"/>
      <c r="Y40" s="12"/>
      <c r="Z40" s="196"/>
      <c r="AA40" s="299"/>
      <c r="AB40" s="300"/>
      <c r="AC40" s="12"/>
      <c r="AD40" s="196"/>
      <c r="AE40" s="115">
        <f t="shared" si="19"/>
        <v>-192.17261124684137</v>
      </c>
      <c r="AF40" s="108">
        <f t="shared" si="20"/>
        <v>0.90391369437657931</v>
      </c>
      <c r="AG40" s="313"/>
    </row>
    <row r="41" spans="1:33" ht="15.75" customHeight="1">
      <c r="A41" s="316"/>
      <c r="B41" s="161" t="s">
        <v>171</v>
      </c>
      <c r="C41" s="297" t="s">
        <v>172</v>
      </c>
      <c r="D41" s="298"/>
      <c r="E41" s="99">
        <v>58.67</v>
      </c>
      <c r="F41" s="100">
        <v>2242</v>
      </c>
      <c r="G41" s="101">
        <f t="shared" si="21"/>
        <v>131538.14000000001</v>
      </c>
      <c r="H41" s="26"/>
      <c r="I41" s="102">
        <v>23</v>
      </c>
      <c r="J41" s="103">
        <v>2000</v>
      </c>
      <c r="K41" s="104">
        <f t="shared" si="1"/>
        <v>86.956521739130437</v>
      </c>
      <c r="L41" s="105">
        <v>23</v>
      </c>
      <c r="M41" s="103">
        <f t="shared" si="22"/>
        <v>1802.709362302129</v>
      </c>
      <c r="N41" s="104">
        <f t="shared" si="15"/>
        <v>78.378667926179517</v>
      </c>
      <c r="O41" s="106">
        <f t="shared" si="16"/>
        <v>0</v>
      </c>
      <c r="P41" s="107">
        <f t="shared" si="17"/>
        <v>-8.5778538129509201</v>
      </c>
      <c r="Q41" s="108">
        <f t="shared" si="18"/>
        <v>0.90135468115106443</v>
      </c>
      <c r="R41" s="308"/>
      <c r="S41" s="46">
        <v>0.33819444444444446</v>
      </c>
      <c r="T41" s="47">
        <v>0.39001157407407411</v>
      </c>
      <c r="U41" s="109">
        <v>4.7333333333333272</v>
      </c>
      <c r="V41" s="110">
        <v>74.621013688092688</v>
      </c>
      <c r="W41" s="111"/>
      <c r="X41" s="114"/>
      <c r="Y41" s="12"/>
      <c r="Z41" s="196"/>
      <c r="AA41" s="299"/>
      <c r="AB41" s="300"/>
      <c r="AC41" s="12"/>
      <c r="AD41" s="196"/>
      <c r="AE41" s="115">
        <f t="shared" si="19"/>
        <v>-197.29063769787103</v>
      </c>
      <c r="AF41" s="108">
        <f t="shared" si="20"/>
        <v>0.90135468115106443</v>
      </c>
      <c r="AG41" s="313"/>
    </row>
    <row r="42" spans="1:33" ht="15.75" customHeight="1">
      <c r="A42" s="316"/>
      <c r="B42" s="161" t="s">
        <v>171</v>
      </c>
      <c r="C42" s="297" t="s">
        <v>211</v>
      </c>
      <c r="D42" s="298"/>
      <c r="E42" s="99">
        <v>69.260000000000005</v>
      </c>
      <c r="F42" s="100">
        <v>368</v>
      </c>
      <c r="G42" s="101">
        <f t="shared" si="21"/>
        <v>25487.68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2"/>
        <v>1804.5151935597878</v>
      </c>
      <c r="N42" s="104">
        <f t="shared" si="15"/>
        <v>75.188133064991163</v>
      </c>
      <c r="O42" s="106">
        <f t="shared" si="16"/>
        <v>0</v>
      </c>
      <c r="P42" s="107">
        <f t="shared" si="17"/>
        <v>-8.1452002683421654</v>
      </c>
      <c r="Q42" s="108">
        <f t="shared" si="18"/>
        <v>0.90225759677989403</v>
      </c>
      <c r="R42" s="308"/>
      <c r="S42" s="46">
        <v>0.39374999999999999</v>
      </c>
      <c r="T42" s="47">
        <v>0.40224537037037034</v>
      </c>
      <c r="U42" s="109">
        <v>5.3833333333332689</v>
      </c>
      <c r="V42" s="110">
        <v>12.235973450820623</v>
      </c>
      <c r="W42" s="111"/>
      <c r="X42" s="114"/>
      <c r="Y42" s="12"/>
      <c r="Z42" s="196"/>
      <c r="AA42" s="299"/>
      <c r="AB42" s="300"/>
      <c r="AC42" s="12"/>
      <c r="AD42" s="196"/>
      <c r="AE42" s="115">
        <f t="shared" si="19"/>
        <v>-195.4848064402122</v>
      </c>
      <c r="AF42" s="108">
        <f t="shared" si="20"/>
        <v>0.90225759677989392</v>
      </c>
      <c r="AG42" s="313"/>
    </row>
    <row r="43" spans="1:33" ht="15.75" customHeight="1">
      <c r="A43" s="316"/>
      <c r="B43" s="161" t="s">
        <v>171</v>
      </c>
      <c r="C43" s="297" t="s">
        <v>206</v>
      </c>
      <c r="D43" s="298"/>
      <c r="E43" s="99">
        <v>63.92</v>
      </c>
      <c r="F43" s="100">
        <v>849</v>
      </c>
      <c r="G43" s="101">
        <f t="shared" si="21"/>
        <v>54268.08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 t="shared" si="22"/>
        <v>1808.5054383674853</v>
      </c>
      <c r="N43" s="104">
        <f t="shared" si="15"/>
        <v>75.354393265311884</v>
      </c>
      <c r="O43" s="106">
        <f t="shared" si="16"/>
        <v>0</v>
      </c>
      <c r="P43" s="107">
        <f t="shared" si="17"/>
        <v>-7.9789400680214442</v>
      </c>
      <c r="Q43" s="108">
        <f t="shared" si="18"/>
        <v>0.90425271918374261</v>
      </c>
      <c r="R43" s="308"/>
      <c r="S43" s="46">
        <v>0.40625</v>
      </c>
      <c r="T43" s="47">
        <v>0.42581018518518521</v>
      </c>
      <c r="U43" s="109">
        <v>5.7666666666667155</v>
      </c>
      <c r="V43" s="110">
        <v>28.166904516462434</v>
      </c>
      <c r="W43" s="111">
        <v>0.42581018518518521</v>
      </c>
      <c r="X43" s="114">
        <v>0.46458333333333329</v>
      </c>
      <c r="Y43" s="12"/>
      <c r="Z43" s="196"/>
      <c r="AA43" s="299"/>
      <c r="AB43" s="300"/>
      <c r="AC43" s="12"/>
      <c r="AD43" s="196"/>
      <c r="AE43" s="115">
        <f t="shared" si="19"/>
        <v>-191.49456163251466</v>
      </c>
      <c r="AF43" s="108">
        <f t="shared" si="20"/>
        <v>0.90425271918374261</v>
      </c>
      <c r="AG43" s="313"/>
    </row>
    <row r="44" spans="1:33" ht="15.75" customHeight="1">
      <c r="A44" s="316"/>
      <c r="B44" s="161" t="s">
        <v>171</v>
      </c>
      <c r="C44" s="297" t="s">
        <v>177</v>
      </c>
      <c r="D44" s="298"/>
      <c r="E44" s="99">
        <v>53.76</v>
      </c>
      <c r="F44" s="100">
        <v>2348</v>
      </c>
      <c r="G44" s="119">
        <f t="shared" si="21"/>
        <v>126228.48</v>
      </c>
      <c r="H44" s="120"/>
      <c r="I44" s="102">
        <v>20</v>
      </c>
      <c r="J44" s="103">
        <v>2000</v>
      </c>
      <c r="K44" s="104">
        <f t="shared" si="1"/>
        <v>100</v>
      </c>
      <c r="L44" s="105">
        <v>20</v>
      </c>
      <c r="M44" s="103">
        <f t="shared" si="22"/>
        <v>1804.0443887848196</v>
      </c>
      <c r="N44" s="104">
        <f t="shared" si="15"/>
        <v>90.202219439240977</v>
      </c>
      <c r="O44" s="106">
        <f t="shared" si="16"/>
        <v>0</v>
      </c>
      <c r="P44" s="107">
        <f t="shared" si="17"/>
        <v>-9.7977805607590227</v>
      </c>
      <c r="Q44" s="108">
        <f t="shared" si="18"/>
        <v>0.90202219439240983</v>
      </c>
      <c r="R44" s="308"/>
      <c r="S44" s="46">
        <v>0.46458333333333329</v>
      </c>
      <c r="T44" s="118">
        <v>0.51880787037037035</v>
      </c>
      <c r="U44" s="109">
        <v>55.833333333333243</v>
      </c>
      <c r="V44" s="110">
        <v>78.091204892632888</v>
      </c>
      <c r="W44" s="111"/>
      <c r="X44" s="114"/>
      <c r="Y44" s="12"/>
      <c r="Z44" s="196"/>
      <c r="AA44" s="299"/>
      <c r="AB44" s="300"/>
      <c r="AC44" s="12"/>
      <c r="AD44" s="196"/>
      <c r="AE44" s="115">
        <f t="shared" si="19"/>
        <v>-195.9556112151804</v>
      </c>
      <c r="AF44" s="108">
        <f t="shared" si="20"/>
        <v>0.90202219439240983</v>
      </c>
      <c r="AG44" s="313"/>
    </row>
    <row r="45" spans="1:33" ht="15.75" customHeight="1">
      <c r="A45" s="316"/>
      <c r="B45" s="161"/>
      <c r="C45" s="297"/>
      <c r="D45" s="298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8"/>
      <c r="S45" s="117"/>
      <c r="T45" s="118"/>
      <c r="U45" s="109"/>
      <c r="V45" s="110"/>
      <c r="W45" s="118"/>
      <c r="X45" s="187"/>
      <c r="Y45" s="12"/>
      <c r="Z45" s="196"/>
      <c r="AA45" s="299"/>
      <c r="AB45" s="300"/>
      <c r="AC45" s="12"/>
      <c r="AD45" s="196"/>
      <c r="AE45" s="115"/>
      <c r="AF45" s="108"/>
      <c r="AG45" s="313"/>
    </row>
    <row r="46" spans="1:33" ht="15.75" customHeight="1">
      <c r="A46" s="316"/>
      <c r="B46" s="161"/>
      <c r="C46" s="297"/>
      <c r="D46" s="298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8"/>
      <c r="S46" s="117"/>
      <c r="T46" s="118"/>
      <c r="U46" s="109"/>
      <c r="V46" s="110"/>
      <c r="W46" s="118"/>
      <c r="X46" s="187"/>
      <c r="Y46" s="12"/>
      <c r="Z46" s="196"/>
      <c r="AA46" s="299"/>
      <c r="AB46" s="300"/>
      <c r="AC46" s="12"/>
      <c r="AD46" s="196"/>
      <c r="AE46" s="115"/>
      <c r="AF46" s="108"/>
      <c r="AG46" s="313"/>
    </row>
    <row r="47" spans="1:33" ht="15.75" customHeight="1">
      <c r="A47" s="316"/>
      <c r="B47" s="161"/>
      <c r="C47" s="297"/>
      <c r="D47" s="298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8"/>
      <c r="S47" s="117"/>
      <c r="T47" s="118"/>
      <c r="U47" s="109"/>
      <c r="V47" s="110"/>
      <c r="W47" s="118"/>
      <c r="X47" s="187"/>
      <c r="Y47" s="12"/>
      <c r="Z47" s="196"/>
      <c r="AA47" s="299"/>
      <c r="AB47" s="300"/>
      <c r="AC47" s="12"/>
      <c r="AD47" s="196"/>
      <c r="AE47" s="115"/>
      <c r="AF47" s="108"/>
      <c r="AG47" s="313"/>
    </row>
    <row r="48" spans="1:33" ht="15.75" customHeight="1">
      <c r="A48" s="316"/>
      <c r="B48" s="161"/>
      <c r="C48" s="297"/>
      <c r="D48" s="298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8"/>
      <c r="S48" s="117"/>
      <c r="T48" s="118"/>
      <c r="U48" s="109"/>
      <c r="V48" s="110"/>
      <c r="W48" s="118"/>
      <c r="X48" s="187"/>
      <c r="Y48" s="12"/>
      <c r="Z48" s="196"/>
      <c r="AA48" s="299"/>
      <c r="AB48" s="300"/>
      <c r="AC48" s="12"/>
      <c r="AD48" s="196"/>
      <c r="AE48" s="115"/>
      <c r="AF48" s="108"/>
      <c r="AG48" s="313"/>
    </row>
    <row r="49" spans="1:33" ht="15.75" customHeight="1">
      <c r="A49" s="316"/>
      <c r="B49" s="161"/>
      <c r="C49" s="297"/>
      <c r="D49" s="298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8"/>
      <c r="S49" s="117"/>
      <c r="T49" s="118"/>
      <c r="U49" s="109"/>
      <c r="V49" s="110"/>
      <c r="W49" s="118"/>
      <c r="X49" s="187"/>
      <c r="Y49" s="12"/>
      <c r="Z49" s="196"/>
      <c r="AA49" s="299"/>
      <c r="AB49" s="300"/>
      <c r="AC49" s="12"/>
      <c r="AD49" s="196"/>
      <c r="AE49" s="115"/>
      <c r="AF49" s="108"/>
      <c r="AG49" s="313"/>
    </row>
    <row r="50" spans="1:33" ht="15.75" customHeight="1">
      <c r="A50" s="316"/>
      <c r="B50" s="161"/>
      <c r="C50" s="297"/>
      <c r="D50" s="298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8"/>
      <c r="S50" s="117"/>
      <c r="T50" s="118"/>
      <c r="U50" s="109"/>
      <c r="V50" s="110"/>
      <c r="W50" s="118"/>
      <c r="X50" s="187"/>
      <c r="Y50" s="12"/>
      <c r="Z50" s="196"/>
      <c r="AA50" s="299"/>
      <c r="AB50" s="300"/>
      <c r="AC50" s="12"/>
      <c r="AD50" s="196"/>
      <c r="AE50" s="115"/>
      <c r="AF50" s="108"/>
      <c r="AG50" s="313"/>
    </row>
    <row r="51" spans="1:33" ht="15.75" customHeight="1">
      <c r="A51" s="316"/>
      <c r="B51" s="161"/>
      <c r="C51" s="297"/>
      <c r="D51" s="298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8"/>
      <c r="S51" s="117"/>
      <c r="T51" s="118"/>
      <c r="U51" s="109"/>
      <c r="V51" s="110"/>
      <c r="W51" s="118"/>
      <c r="X51" s="187"/>
      <c r="Y51" s="12"/>
      <c r="Z51" s="196"/>
      <c r="AA51" s="299"/>
      <c r="AB51" s="300"/>
      <c r="AC51" s="12"/>
      <c r="AD51" s="196"/>
      <c r="AE51" s="115"/>
      <c r="AF51" s="108"/>
      <c r="AG51" s="313"/>
    </row>
    <row r="52" spans="1:33" ht="15.75" customHeight="1">
      <c r="A52" s="316"/>
      <c r="B52" s="161"/>
      <c r="C52" s="297"/>
      <c r="D52" s="298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8"/>
      <c r="S52" s="117"/>
      <c r="T52" s="118"/>
      <c r="U52" s="109"/>
      <c r="V52" s="110"/>
      <c r="W52" s="118"/>
      <c r="X52" s="187"/>
      <c r="Y52" s="12"/>
      <c r="Z52" s="196"/>
      <c r="AA52" s="299"/>
      <c r="AB52" s="300"/>
      <c r="AC52" s="12"/>
      <c r="AD52" s="196"/>
      <c r="AE52" s="115"/>
      <c r="AF52" s="108"/>
      <c r="AG52" s="313"/>
    </row>
    <row r="53" spans="1:33" ht="15.75" customHeight="1">
      <c r="A53" s="316"/>
      <c r="B53" s="161"/>
      <c r="C53" s="297"/>
      <c r="D53" s="298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8"/>
      <c r="S53" s="117"/>
      <c r="T53" s="118"/>
      <c r="U53" s="109"/>
      <c r="V53" s="110"/>
      <c r="W53" s="118"/>
      <c r="X53" s="187"/>
      <c r="Y53" s="12"/>
      <c r="Z53" s="196"/>
      <c r="AA53" s="299"/>
      <c r="AB53" s="300"/>
      <c r="AC53" s="12"/>
      <c r="AD53" s="196"/>
      <c r="AE53" s="115"/>
      <c r="AF53" s="108"/>
      <c r="AG53" s="313"/>
    </row>
    <row r="54" spans="1:33" ht="15.75" customHeight="1">
      <c r="A54" s="316"/>
      <c r="B54" s="161"/>
      <c r="C54" s="297"/>
      <c r="D54" s="298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8"/>
      <c r="S54" s="117"/>
      <c r="T54" s="118"/>
      <c r="U54" s="128"/>
      <c r="V54" s="129"/>
      <c r="W54" s="124"/>
      <c r="X54" s="125"/>
      <c r="Y54" s="12"/>
      <c r="Z54" s="196"/>
      <c r="AA54" s="299"/>
      <c r="AB54" s="300"/>
      <c r="AC54" s="12"/>
      <c r="AD54" s="196"/>
      <c r="AE54" s="163"/>
      <c r="AF54" s="123"/>
      <c r="AG54" s="313"/>
    </row>
    <row r="55" spans="1:33" ht="15.75" customHeight="1" thickBot="1">
      <c r="A55" s="317"/>
      <c r="B55" s="131" t="s">
        <v>115</v>
      </c>
      <c r="C55" s="294"/>
      <c r="D55" s="294"/>
      <c r="E55" s="132"/>
      <c r="F55" s="165"/>
      <c r="G55" s="133"/>
      <c r="H55" s="67"/>
      <c r="I55" s="134">
        <f t="shared" ref="I55:J55" si="23">AVERAGE(I39:I54)</f>
        <v>22.666666666666668</v>
      </c>
      <c r="J55" s="135">
        <f t="shared" si="23"/>
        <v>2000</v>
      </c>
      <c r="K55" s="136">
        <f t="shared" ref="K55" si="24">J55/I55</f>
        <v>88.235294117647058</v>
      </c>
      <c r="L55" s="134">
        <f t="shared" ref="L55:M55" si="25">AVERAGE(L39:L54)</f>
        <v>22.666666666666668</v>
      </c>
      <c r="M55" s="135">
        <f t="shared" si="25"/>
        <v>1806.0700607397966</v>
      </c>
      <c r="N55" s="136">
        <f>M55/L55</f>
        <v>79.679561503226324</v>
      </c>
      <c r="O55" s="137">
        <f>L55-I55</f>
        <v>0</v>
      </c>
      <c r="P55" s="138">
        <f>N55-K55</f>
        <v>-8.5557326144207337</v>
      </c>
      <c r="Q55" s="139">
        <f>N55/K55</f>
        <v>0.90303503036989829</v>
      </c>
      <c r="R55" s="309"/>
      <c r="S55" s="140">
        <v>0.25</v>
      </c>
      <c r="T55" s="141">
        <v>0.51880787037037035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5"/>
      <c r="AB55" s="296"/>
      <c r="AC55" s="177">
        <f>SUM(AC39:AC54)</f>
        <v>0</v>
      </c>
      <c r="AD55" s="189">
        <f>SUM(AD39:AD54)</f>
        <v>0</v>
      </c>
      <c r="AE55" s="166">
        <f>M55-J55</f>
        <v>-193.92993926020335</v>
      </c>
      <c r="AF55" s="139">
        <f>M55/J55</f>
        <v>0.90303503036989829</v>
      </c>
      <c r="AG55" s="314"/>
    </row>
    <row r="56" spans="1:33" ht="15.75" customHeight="1">
      <c r="A56" s="301" t="s">
        <v>187</v>
      </c>
      <c r="B56" s="112" t="s">
        <v>194</v>
      </c>
      <c r="C56" s="385" t="s">
        <v>195</v>
      </c>
      <c r="D56" s="385"/>
      <c r="E56" s="145">
        <v>28.86</v>
      </c>
      <c r="F56" s="95">
        <v>1365</v>
      </c>
      <c r="G56" s="146">
        <f t="shared" ref="G56:G59" si="26">E56*F56</f>
        <v>39393.9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>F56/V56*60</f>
        <v>3193.8734728031532</v>
      </c>
      <c r="N56" s="150">
        <f>M56/L56</f>
        <v>177.43741515573072</v>
      </c>
      <c r="O56" s="152">
        <f>L56-I56</f>
        <v>0</v>
      </c>
      <c r="P56" s="153">
        <f>N56-K56</f>
        <v>-22.562584844269281</v>
      </c>
      <c r="Q56" s="154">
        <f>N56/K56</f>
        <v>0.88718707577865363</v>
      </c>
      <c r="R56" s="307">
        <f>Q72</f>
        <v>0.89760046696083895</v>
      </c>
      <c r="S56" s="155">
        <v>0.25</v>
      </c>
      <c r="T56" s="156">
        <v>0.26780092592592591</v>
      </c>
      <c r="U56" s="157"/>
      <c r="V56" s="158">
        <v>25.642844244584047</v>
      </c>
      <c r="W56" s="156"/>
      <c r="X56" s="167"/>
      <c r="Y56" s="12"/>
      <c r="Z56" s="196"/>
      <c r="AA56" s="310"/>
      <c r="AB56" s="311"/>
      <c r="AC56" s="12"/>
      <c r="AD56" s="196"/>
      <c r="AE56" s="113">
        <f>M56-J56</f>
        <v>-406.12652719684684</v>
      </c>
      <c r="AF56" s="154">
        <f>M56/J56</f>
        <v>0.88718707577865363</v>
      </c>
      <c r="AG56" s="312">
        <f>AF72</f>
        <v>0.89760046696083895</v>
      </c>
    </row>
    <row r="57" spans="1:33" ht="15.75" customHeight="1">
      <c r="A57" s="302"/>
      <c r="B57" s="98" t="s">
        <v>194</v>
      </c>
      <c r="C57" s="382" t="s">
        <v>210</v>
      </c>
      <c r="D57" s="382"/>
      <c r="E57" s="99">
        <v>36.729999999999997</v>
      </c>
      <c r="F57" s="100">
        <v>698</v>
      </c>
      <c r="G57" s="101">
        <f t="shared" si="26"/>
        <v>25637.539999999997</v>
      </c>
      <c r="H57" s="26"/>
      <c r="I57" s="102">
        <v>21</v>
      </c>
      <c r="J57" s="103">
        <v>3600</v>
      </c>
      <c r="K57" s="104">
        <f t="shared" ref="K57:K91" si="27">J57/I57</f>
        <v>171.42857142857142</v>
      </c>
      <c r="L57" s="105">
        <v>21</v>
      </c>
      <c r="M57" s="103">
        <f>F57/V57*60</f>
        <v>3193.4456053458125</v>
      </c>
      <c r="N57" s="104">
        <f>M57/L57</f>
        <v>152.06883834980059</v>
      </c>
      <c r="O57" s="106">
        <f>L57-I57</f>
        <v>0</v>
      </c>
      <c r="P57" s="107">
        <f>N57-K57</f>
        <v>-19.35973307877083</v>
      </c>
      <c r="Q57" s="108">
        <f>N57/K57</f>
        <v>0.8870682237071702</v>
      </c>
      <c r="R57" s="308"/>
      <c r="S57" s="46">
        <v>0.27152777777777776</v>
      </c>
      <c r="T57" s="47">
        <v>0.28062499999999996</v>
      </c>
      <c r="U57" s="109">
        <v>5.3666666666666529</v>
      </c>
      <c r="V57" s="110">
        <v>13.114361468970406</v>
      </c>
      <c r="W57" s="111"/>
      <c r="X57" s="114"/>
      <c r="Y57" s="12"/>
      <c r="Z57" s="196"/>
      <c r="AA57" s="299"/>
      <c r="AB57" s="300"/>
      <c r="AC57" s="12"/>
      <c r="AD57" s="196"/>
      <c r="AE57" s="115">
        <f>M57-J57</f>
        <v>-406.55439465418749</v>
      </c>
      <c r="AF57" s="108">
        <f>M57/J57</f>
        <v>0.88706822370717009</v>
      </c>
      <c r="AG57" s="313"/>
    </row>
    <row r="58" spans="1:33" ht="15.75" customHeight="1">
      <c r="A58" s="302"/>
      <c r="B58" s="98" t="s">
        <v>194</v>
      </c>
      <c r="C58" s="382" t="s">
        <v>197</v>
      </c>
      <c r="D58" s="382"/>
      <c r="E58" s="99">
        <v>37.799999999999997</v>
      </c>
      <c r="F58" s="100">
        <v>3842</v>
      </c>
      <c r="G58" s="101">
        <f t="shared" si="26"/>
        <v>145227.59999999998</v>
      </c>
      <c r="H58" s="26"/>
      <c r="I58" s="102">
        <v>20</v>
      </c>
      <c r="J58" s="103">
        <v>3600</v>
      </c>
      <c r="K58" s="104">
        <f t="shared" si="27"/>
        <v>180</v>
      </c>
      <c r="L58" s="105">
        <v>20</v>
      </c>
      <c r="M58" s="103">
        <f>F58/V58*60</f>
        <v>3271.5289188004144</v>
      </c>
      <c r="N58" s="104">
        <f>M58/L58</f>
        <v>163.57644594002073</v>
      </c>
      <c r="O58" s="106">
        <f>L58-I58</f>
        <v>0</v>
      </c>
      <c r="P58" s="107">
        <f>N58-K58</f>
        <v>-16.423554059979267</v>
      </c>
      <c r="Q58" s="108">
        <f>N58/K58</f>
        <v>0.90875803300011515</v>
      </c>
      <c r="R58" s="308"/>
      <c r="S58" s="46">
        <v>0.28402777777777777</v>
      </c>
      <c r="T58" s="47">
        <v>0.33295138888888887</v>
      </c>
      <c r="U58" s="109">
        <v>4.9000000000000465</v>
      </c>
      <c r="V58" s="110">
        <v>70.462467464455656</v>
      </c>
      <c r="W58" s="111"/>
      <c r="X58" s="114"/>
      <c r="Y58" s="12"/>
      <c r="Z58" s="196"/>
      <c r="AA58" s="299"/>
      <c r="AB58" s="300"/>
      <c r="AC58" s="12"/>
      <c r="AD58" s="196"/>
      <c r="AE58" s="115">
        <f>M58-J58</f>
        <v>-328.47108119958557</v>
      </c>
      <c r="AF58" s="108">
        <f>M58/J58</f>
        <v>0.90875803300011515</v>
      </c>
      <c r="AG58" s="313"/>
    </row>
    <row r="59" spans="1:33" ht="15.75" customHeight="1">
      <c r="A59" s="302"/>
      <c r="B59" s="98" t="s">
        <v>194</v>
      </c>
      <c r="C59" s="382" t="s">
        <v>196</v>
      </c>
      <c r="D59" s="382"/>
      <c r="E59" s="99">
        <v>38.479999999999997</v>
      </c>
      <c r="F59" s="100">
        <v>3153</v>
      </c>
      <c r="G59" s="101">
        <f t="shared" si="26"/>
        <v>121327.43999999999</v>
      </c>
      <c r="H59" s="26"/>
      <c r="I59" s="102">
        <v>19</v>
      </c>
      <c r="J59" s="103">
        <v>3600</v>
      </c>
      <c r="K59" s="104">
        <f t="shared" si="27"/>
        <v>189.47368421052633</v>
      </c>
      <c r="L59" s="105">
        <v>19</v>
      </c>
      <c r="M59" s="103">
        <f>F59/V59*60</f>
        <v>3266.5987272866996</v>
      </c>
      <c r="N59" s="104">
        <f>M59/L59</f>
        <v>171.92624880456313</v>
      </c>
      <c r="O59" s="106">
        <f>L59-I59</f>
        <v>0</v>
      </c>
      <c r="P59" s="107">
        <f>N59-K59</f>
        <v>-17.547435405963199</v>
      </c>
      <c r="Q59" s="108">
        <f>N59/K59</f>
        <v>0.90738853535741648</v>
      </c>
      <c r="R59" s="308"/>
      <c r="S59" s="46">
        <v>0.33680555555555552</v>
      </c>
      <c r="T59" s="47">
        <v>0.37701388888888887</v>
      </c>
      <c r="U59" s="109">
        <v>5.5499999999999883</v>
      </c>
      <c r="V59" s="110">
        <v>57.913449368523018</v>
      </c>
      <c r="W59" s="111"/>
      <c r="X59" s="114"/>
      <c r="Y59" s="12"/>
      <c r="Z59" s="196"/>
      <c r="AA59" s="299"/>
      <c r="AB59" s="300"/>
      <c r="AC59" s="12"/>
      <c r="AD59" s="196"/>
      <c r="AE59" s="197">
        <f>M59-J59</f>
        <v>-333.40127271330039</v>
      </c>
      <c r="AF59" s="198">
        <f>M59/J59</f>
        <v>0.90738853535741659</v>
      </c>
      <c r="AG59" s="313"/>
    </row>
    <row r="60" spans="1:33" ht="15.75" customHeight="1">
      <c r="A60" s="303"/>
      <c r="B60" s="98"/>
      <c r="C60" s="382"/>
      <c r="D60" s="382"/>
      <c r="E60" s="99"/>
      <c r="F60" s="103"/>
      <c r="G60" s="101"/>
      <c r="H60" s="13"/>
      <c r="I60" s="102"/>
      <c r="J60" s="103"/>
      <c r="K60" s="104"/>
      <c r="L60" s="105"/>
      <c r="M60" s="103"/>
      <c r="N60" s="104"/>
      <c r="O60" s="106"/>
      <c r="P60" s="107"/>
      <c r="Q60" s="108"/>
      <c r="R60" s="308"/>
      <c r="S60" s="46"/>
      <c r="T60" s="47"/>
      <c r="U60" s="109"/>
      <c r="V60" s="110"/>
      <c r="W60" s="111"/>
      <c r="X60" s="114"/>
      <c r="Y60" s="12"/>
      <c r="Z60" s="196"/>
      <c r="AA60" s="299"/>
      <c r="AB60" s="300"/>
      <c r="AC60" s="12"/>
      <c r="AD60" s="196"/>
      <c r="AE60" s="197"/>
      <c r="AF60" s="198"/>
      <c r="AG60" s="313"/>
    </row>
    <row r="61" spans="1:33" ht="15.75" customHeight="1">
      <c r="A61" s="303"/>
      <c r="B61" s="98"/>
      <c r="C61" s="382"/>
      <c r="D61" s="382"/>
      <c r="E61" s="99"/>
      <c r="F61" s="103"/>
      <c r="G61" s="119"/>
      <c r="H61" s="120"/>
      <c r="I61" s="102"/>
      <c r="J61" s="103"/>
      <c r="K61" s="104"/>
      <c r="L61" s="105"/>
      <c r="M61" s="103"/>
      <c r="N61" s="104"/>
      <c r="O61" s="106"/>
      <c r="P61" s="107"/>
      <c r="Q61" s="108"/>
      <c r="R61" s="308"/>
      <c r="S61" s="46"/>
      <c r="T61" s="118"/>
      <c r="U61" s="109"/>
      <c r="V61" s="110"/>
      <c r="W61" s="111"/>
      <c r="X61" s="114"/>
      <c r="Y61" s="12"/>
      <c r="Z61" s="196"/>
      <c r="AA61" s="299"/>
      <c r="AB61" s="300"/>
      <c r="AC61" s="12"/>
      <c r="AD61" s="196"/>
      <c r="AE61" s="197"/>
      <c r="AF61" s="198"/>
      <c r="AG61" s="313"/>
    </row>
    <row r="62" spans="1:33" ht="15.75" customHeight="1">
      <c r="A62" s="303"/>
      <c r="B62" s="98"/>
      <c r="C62" s="382"/>
      <c r="D62" s="382"/>
      <c r="E62" s="99"/>
      <c r="F62" s="103"/>
      <c r="G62" s="119"/>
      <c r="H62" s="60"/>
      <c r="I62" s="102"/>
      <c r="J62" s="103"/>
      <c r="K62" s="104"/>
      <c r="L62" s="105"/>
      <c r="M62" s="103"/>
      <c r="N62" s="104"/>
      <c r="O62" s="121"/>
      <c r="P62" s="122"/>
      <c r="Q62" s="123"/>
      <c r="R62" s="308"/>
      <c r="S62" s="46"/>
      <c r="T62" s="118"/>
      <c r="U62" s="109"/>
      <c r="V62" s="110"/>
      <c r="W62" s="111"/>
      <c r="X62" s="114"/>
      <c r="Y62" s="12"/>
      <c r="Z62" s="196"/>
      <c r="AA62" s="299"/>
      <c r="AB62" s="300"/>
      <c r="AC62" s="12"/>
      <c r="AD62" s="196"/>
      <c r="AE62" s="197"/>
      <c r="AF62" s="198"/>
      <c r="AG62" s="313"/>
    </row>
    <row r="63" spans="1:33" ht="15.75" customHeight="1">
      <c r="A63" s="303"/>
      <c r="B63" s="98"/>
      <c r="C63" s="382"/>
      <c r="D63" s="382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8"/>
      <c r="S63" s="46"/>
      <c r="T63" s="118"/>
      <c r="U63" s="109"/>
      <c r="V63" s="110"/>
      <c r="W63" s="111"/>
      <c r="X63" s="114"/>
      <c r="Y63" s="12"/>
      <c r="Z63" s="196"/>
      <c r="AA63" s="299"/>
      <c r="AB63" s="300"/>
      <c r="AC63" s="12"/>
      <c r="AD63" s="196"/>
      <c r="AE63" s="197"/>
      <c r="AF63" s="198"/>
      <c r="AG63" s="313"/>
    </row>
    <row r="64" spans="1:33" ht="15.75" customHeight="1">
      <c r="A64" s="303"/>
      <c r="B64" s="98"/>
      <c r="C64" s="382"/>
      <c r="D64" s="382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8"/>
      <c r="S64" s="46"/>
      <c r="T64" s="118"/>
      <c r="U64" s="109"/>
      <c r="V64" s="110"/>
      <c r="W64" s="111"/>
      <c r="X64" s="114"/>
      <c r="Y64" s="12"/>
      <c r="Z64" s="196"/>
      <c r="AA64" s="299"/>
      <c r="AB64" s="300"/>
      <c r="AC64" s="12"/>
      <c r="AD64" s="196"/>
      <c r="AE64" s="197"/>
      <c r="AF64" s="198"/>
      <c r="AG64" s="313"/>
    </row>
    <row r="65" spans="1:33" ht="15.75" customHeight="1">
      <c r="A65" s="303"/>
      <c r="B65" s="98"/>
      <c r="C65" s="382"/>
      <c r="D65" s="382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8"/>
      <c r="S65" s="46"/>
      <c r="T65" s="118"/>
      <c r="U65" s="109"/>
      <c r="V65" s="110"/>
      <c r="W65" s="111"/>
      <c r="X65" s="114"/>
      <c r="Y65" s="12"/>
      <c r="Z65" s="196"/>
      <c r="AA65" s="299"/>
      <c r="AB65" s="300"/>
      <c r="AC65" s="12"/>
      <c r="AD65" s="196"/>
      <c r="AE65" s="197"/>
      <c r="AF65" s="198"/>
      <c r="AG65" s="313"/>
    </row>
    <row r="66" spans="1:33" ht="15.75" customHeight="1">
      <c r="A66" s="303"/>
      <c r="B66" s="98"/>
      <c r="C66" s="382"/>
      <c r="D66" s="382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8"/>
      <c r="S66" s="46"/>
      <c r="T66" s="118"/>
      <c r="U66" s="109"/>
      <c r="V66" s="110"/>
      <c r="W66" s="111"/>
      <c r="X66" s="114"/>
      <c r="Y66" s="12"/>
      <c r="Z66" s="196"/>
      <c r="AA66" s="299"/>
      <c r="AB66" s="300"/>
      <c r="AC66" s="12"/>
      <c r="AD66" s="196"/>
      <c r="AE66" s="197"/>
      <c r="AF66" s="198"/>
      <c r="AG66" s="313"/>
    </row>
    <row r="67" spans="1:33" ht="15.75" customHeight="1">
      <c r="A67" s="303"/>
      <c r="B67" s="98"/>
      <c r="C67" s="382"/>
      <c r="D67" s="382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8"/>
      <c r="S67" s="46"/>
      <c r="T67" s="118"/>
      <c r="U67" s="109"/>
      <c r="V67" s="110"/>
      <c r="W67" s="111"/>
      <c r="X67" s="114"/>
      <c r="Y67" s="12"/>
      <c r="Z67" s="196"/>
      <c r="AA67" s="299"/>
      <c r="AB67" s="300"/>
      <c r="AC67" s="12"/>
      <c r="AD67" s="196"/>
      <c r="AE67" s="197"/>
      <c r="AF67" s="198"/>
      <c r="AG67" s="313"/>
    </row>
    <row r="68" spans="1:33" ht="15.75" customHeight="1">
      <c r="A68" s="303"/>
      <c r="B68" s="98"/>
      <c r="C68" s="382"/>
      <c r="D68" s="382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8"/>
      <c r="S68" s="46"/>
      <c r="T68" s="118"/>
      <c r="U68" s="109"/>
      <c r="V68" s="110"/>
      <c r="W68" s="111"/>
      <c r="X68" s="114"/>
      <c r="Y68" s="12"/>
      <c r="Z68" s="196"/>
      <c r="AA68" s="299"/>
      <c r="AB68" s="300"/>
      <c r="AC68" s="12"/>
      <c r="AD68" s="196"/>
      <c r="AE68" s="197"/>
      <c r="AF68" s="198"/>
      <c r="AG68" s="313"/>
    </row>
    <row r="69" spans="1:33" ht="15.75" customHeight="1">
      <c r="A69" s="303"/>
      <c r="B69" s="98"/>
      <c r="C69" s="382"/>
      <c r="D69" s="382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8"/>
      <c r="S69" s="46"/>
      <c r="T69" s="118"/>
      <c r="U69" s="109"/>
      <c r="V69" s="110"/>
      <c r="W69" s="111"/>
      <c r="X69" s="114"/>
      <c r="Y69" s="12"/>
      <c r="Z69" s="196"/>
      <c r="AA69" s="299"/>
      <c r="AB69" s="300"/>
      <c r="AC69" s="12"/>
      <c r="AD69" s="196"/>
      <c r="AE69" s="197"/>
      <c r="AF69" s="198"/>
      <c r="AG69" s="313"/>
    </row>
    <row r="70" spans="1:33" ht="15.75" customHeight="1">
      <c r="A70" s="303"/>
      <c r="B70" s="98"/>
      <c r="C70" s="382"/>
      <c r="D70" s="382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8"/>
      <c r="S70" s="46"/>
      <c r="T70" s="118"/>
      <c r="U70" s="109"/>
      <c r="V70" s="110"/>
      <c r="W70" s="111"/>
      <c r="X70" s="114"/>
      <c r="Y70" s="12"/>
      <c r="Z70" s="196"/>
      <c r="AA70" s="299"/>
      <c r="AB70" s="300"/>
      <c r="AC70" s="12"/>
      <c r="AD70" s="196"/>
      <c r="AE70" s="197"/>
      <c r="AF70" s="198"/>
      <c r="AG70" s="313"/>
    </row>
    <row r="71" spans="1:33" ht="15.75" customHeight="1">
      <c r="A71" s="303"/>
      <c r="B71" s="98"/>
      <c r="C71" s="382"/>
      <c r="D71" s="382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8"/>
      <c r="S71" s="117"/>
      <c r="T71" s="118"/>
      <c r="U71" s="128"/>
      <c r="V71" s="129"/>
      <c r="W71" s="124"/>
      <c r="X71" s="125"/>
      <c r="Y71" s="12"/>
      <c r="Z71" s="196"/>
      <c r="AA71" s="299"/>
      <c r="AB71" s="300"/>
      <c r="AC71" s="12"/>
      <c r="AD71" s="196"/>
      <c r="AE71" s="163"/>
      <c r="AF71" s="123"/>
      <c r="AG71" s="313"/>
    </row>
    <row r="72" spans="1:33" ht="15.75" customHeight="1" thickBot="1">
      <c r="A72" s="304"/>
      <c r="B72" s="131" t="s">
        <v>115</v>
      </c>
      <c r="C72" s="294"/>
      <c r="D72" s="294"/>
      <c r="E72" s="132"/>
      <c r="F72" s="165"/>
      <c r="G72" s="133"/>
      <c r="H72" s="67"/>
      <c r="I72" s="134">
        <f t="shared" ref="I72:J72" si="28">AVERAGE(I56:I71)</f>
        <v>19.5</v>
      </c>
      <c r="J72" s="135">
        <f t="shared" si="28"/>
        <v>3600</v>
      </c>
      <c r="K72" s="136">
        <f t="shared" ref="K72:K75" si="29">J72/I72</f>
        <v>184.61538461538461</v>
      </c>
      <c r="L72" s="134">
        <f t="shared" ref="L72:M72" si="30">AVERAGE(L56:L71)</f>
        <v>19.5</v>
      </c>
      <c r="M72" s="135">
        <f t="shared" si="30"/>
        <v>3231.3616810590202</v>
      </c>
      <c r="N72" s="136">
        <f>M72/L72</f>
        <v>165.71085543892411</v>
      </c>
      <c r="O72" s="137">
        <f>L72-I72</f>
        <v>0</v>
      </c>
      <c r="P72" s="138">
        <f>N72-K72</f>
        <v>-18.9045291764605</v>
      </c>
      <c r="Q72" s="139">
        <f>N72/K72</f>
        <v>0.89760046696083895</v>
      </c>
      <c r="R72" s="309"/>
      <c r="S72" s="140">
        <v>0.25</v>
      </c>
      <c r="T72" s="141">
        <v>0.37701388888888887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5"/>
      <c r="AB72" s="296"/>
      <c r="AC72" s="177">
        <f>SUM(AC56:AC71)</f>
        <v>0</v>
      </c>
      <c r="AD72" s="189">
        <f>SUM(AD56:AD71)</f>
        <v>0</v>
      </c>
      <c r="AE72" s="166">
        <f>M72-J72</f>
        <v>-368.63831894097984</v>
      </c>
      <c r="AF72" s="139">
        <f>M72/J72</f>
        <v>0.89760046696083895</v>
      </c>
      <c r="AG72" s="314"/>
    </row>
    <row r="73" spans="1:33" ht="15.75" customHeight="1">
      <c r="A73" s="315" t="s">
        <v>116</v>
      </c>
      <c r="B73" s="98" t="s">
        <v>188</v>
      </c>
      <c r="C73" s="297" t="s">
        <v>222</v>
      </c>
      <c r="D73" s="298"/>
      <c r="E73" s="99">
        <v>22.83</v>
      </c>
      <c r="F73" s="100">
        <v>1619</v>
      </c>
      <c r="G73" s="119">
        <f t="shared" ref="G73:G75" si="31">E73*F73</f>
        <v>36961.769999999997</v>
      </c>
      <c r="H73" s="60"/>
      <c r="I73" s="102">
        <v>6</v>
      </c>
      <c r="J73" s="103">
        <v>2500</v>
      </c>
      <c r="K73" s="104">
        <f t="shared" si="29"/>
        <v>416.66666666666669</v>
      </c>
      <c r="L73" s="105">
        <v>6</v>
      </c>
      <c r="M73" s="103">
        <f>F73/V73*60</f>
        <v>2264.1865602620392</v>
      </c>
      <c r="N73" s="104">
        <f>M73/L73</f>
        <v>377.36442671033984</v>
      </c>
      <c r="O73" s="121">
        <f>L73-I73</f>
        <v>0</v>
      </c>
      <c r="P73" s="122">
        <f>N73-K73</f>
        <v>-39.302239956326844</v>
      </c>
      <c r="Q73" s="123">
        <f>N73/K73</f>
        <v>0.90567462410481558</v>
      </c>
      <c r="R73" s="307">
        <f>Q89</f>
        <v>0.90590741271524999</v>
      </c>
      <c r="S73" s="46">
        <v>0.36666666666666653</v>
      </c>
      <c r="T73" s="118">
        <v>0.39645833333333319</v>
      </c>
      <c r="U73" s="109">
        <v>5.3333333333332611</v>
      </c>
      <c r="V73" s="110">
        <v>42.902825104993902</v>
      </c>
      <c r="W73" s="111"/>
      <c r="X73" s="160"/>
      <c r="Y73" s="12"/>
      <c r="Z73" s="196"/>
      <c r="AA73" s="310"/>
      <c r="AB73" s="311"/>
      <c r="AC73" s="12"/>
      <c r="AD73" s="196"/>
      <c r="AE73" s="113">
        <f>M73-J73</f>
        <v>-235.81343973796083</v>
      </c>
      <c r="AF73" s="154">
        <f>M73/J73</f>
        <v>0.9056746241048157</v>
      </c>
      <c r="AG73" s="312">
        <f>AF89</f>
        <v>0.90590741271524999</v>
      </c>
    </row>
    <row r="74" spans="1:33" ht="15.75" customHeight="1">
      <c r="A74" s="316"/>
      <c r="B74" s="98" t="s">
        <v>188</v>
      </c>
      <c r="C74" s="297" t="s">
        <v>214</v>
      </c>
      <c r="D74" s="298"/>
      <c r="E74" s="99">
        <v>23.19</v>
      </c>
      <c r="F74" s="100">
        <v>485</v>
      </c>
      <c r="G74" s="119">
        <f t="shared" si="31"/>
        <v>11247.150000000001</v>
      </c>
      <c r="H74" s="60"/>
      <c r="I74" s="102">
        <v>6</v>
      </c>
      <c r="J74" s="103">
        <v>2500</v>
      </c>
      <c r="K74" s="104">
        <f t="shared" si="29"/>
        <v>416.66666666666669</v>
      </c>
      <c r="L74" s="116">
        <v>6</v>
      </c>
      <c r="M74" s="103">
        <f>F74/V74*60</f>
        <v>2264.5885259439274</v>
      </c>
      <c r="N74" s="104">
        <f>M74/L74</f>
        <v>377.43142099065454</v>
      </c>
      <c r="O74" s="121">
        <f>L74-I74</f>
        <v>0</v>
      </c>
      <c r="P74" s="122">
        <f>N74-K74</f>
        <v>-39.235245676012141</v>
      </c>
      <c r="Q74" s="123">
        <f>N74/K74</f>
        <v>0.90583541037757087</v>
      </c>
      <c r="R74" s="308"/>
      <c r="S74" s="46">
        <v>0.39999999999999986</v>
      </c>
      <c r="T74" s="118">
        <v>0.40892361111111097</v>
      </c>
      <c r="U74" s="109">
        <v>5.0999999999999979</v>
      </c>
      <c r="V74" s="110">
        <v>12.850016533520375</v>
      </c>
      <c r="W74" s="111"/>
      <c r="X74" s="114"/>
      <c r="Y74" s="12"/>
      <c r="Z74" s="196"/>
      <c r="AA74" s="299"/>
      <c r="AB74" s="300"/>
      <c r="AC74" s="12"/>
      <c r="AD74" s="196"/>
      <c r="AE74" s="115">
        <f>M74-J74</f>
        <v>-235.41147405607262</v>
      </c>
      <c r="AF74" s="108">
        <f>M74/J74</f>
        <v>0.90583541037757098</v>
      </c>
      <c r="AG74" s="313"/>
    </row>
    <row r="75" spans="1:33" ht="15.75" customHeight="1">
      <c r="A75" s="316"/>
      <c r="B75" s="98" t="s">
        <v>188</v>
      </c>
      <c r="C75" s="297" t="s">
        <v>215</v>
      </c>
      <c r="D75" s="298"/>
      <c r="E75" s="99">
        <v>35.89</v>
      </c>
      <c r="F75" s="100">
        <v>1245</v>
      </c>
      <c r="G75" s="119">
        <f t="shared" si="31"/>
        <v>44683.05</v>
      </c>
      <c r="H75" s="60"/>
      <c r="I75" s="102">
        <v>5</v>
      </c>
      <c r="J75" s="103">
        <v>3273</v>
      </c>
      <c r="K75" s="104">
        <f t="shared" si="29"/>
        <v>654.6</v>
      </c>
      <c r="L75" s="116">
        <v>5</v>
      </c>
      <c r="M75" s="103">
        <f>F75/V75*60</f>
        <v>2965.7969391872957</v>
      </c>
      <c r="N75" s="104">
        <f>M75/L75</f>
        <v>593.15938783745912</v>
      </c>
      <c r="O75" s="121">
        <f>L75-I75</f>
        <v>0</v>
      </c>
      <c r="P75" s="122">
        <f>N75-K75</f>
        <v>-61.440612162540901</v>
      </c>
      <c r="Q75" s="123">
        <f>N75/K75</f>
        <v>0.90614021973336256</v>
      </c>
      <c r="R75" s="308"/>
      <c r="S75" s="46">
        <v>0.41180555555555542</v>
      </c>
      <c r="T75" s="118">
        <v>0.42929398148148135</v>
      </c>
      <c r="U75" s="109">
        <v>5</v>
      </c>
      <c r="V75" s="110">
        <v>25.187159313904246</v>
      </c>
      <c r="W75" s="111"/>
      <c r="X75" s="114"/>
      <c r="Y75" s="12"/>
      <c r="Z75" s="196"/>
      <c r="AA75" s="299"/>
      <c r="AB75" s="300"/>
      <c r="AC75" s="12"/>
      <c r="AD75" s="196"/>
      <c r="AE75" s="115">
        <f>M75-J75</f>
        <v>-307.20306081270428</v>
      </c>
      <c r="AF75" s="108">
        <f>M75/J75</f>
        <v>0.90614021973336256</v>
      </c>
      <c r="AG75" s="313"/>
    </row>
    <row r="76" spans="1:33" ht="15.75" customHeight="1">
      <c r="A76" s="316"/>
      <c r="B76" s="98"/>
      <c r="C76" s="297"/>
      <c r="D76" s="298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8"/>
      <c r="S76" s="46"/>
      <c r="T76" s="47"/>
      <c r="U76" s="109"/>
      <c r="V76" s="110"/>
      <c r="W76" s="111"/>
      <c r="X76" s="114"/>
      <c r="Y76" s="12"/>
      <c r="Z76" s="196"/>
      <c r="AA76" s="299"/>
      <c r="AB76" s="300"/>
      <c r="AC76" s="12"/>
      <c r="AD76" s="196"/>
      <c r="AE76" s="115"/>
      <c r="AF76" s="108"/>
      <c r="AG76" s="313"/>
    </row>
    <row r="77" spans="1:33" ht="15.75" customHeight="1">
      <c r="A77" s="316"/>
      <c r="B77" s="98"/>
      <c r="C77" s="297"/>
      <c r="D77" s="298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8"/>
      <c r="S77" s="46"/>
      <c r="T77" s="47"/>
      <c r="U77" s="109"/>
      <c r="V77" s="110"/>
      <c r="W77" s="111"/>
      <c r="X77" s="114"/>
      <c r="Y77" s="12"/>
      <c r="Z77" s="196"/>
      <c r="AA77" s="299"/>
      <c r="AB77" s="300"/>
      <c r="AC77" s="12"/>
      <c r="AD77" s="196"/>
      <c r="AE77" s="115"/>
      <c r="AF77" s="108"/>
      <c r="AG77" s="313"/>
    </row>
    <row r="78" spans="1:33" ht="15.75" customHeight="1">
      <c r="A78" s="316"/>
      <c r="B78" s="98"/>
      <c r="C78" s="297"/>
      <c r="D78" s="298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8"/>
      <c r="S78" s="46"/>
      <c r="T78" s="118"/>
      <c r="U78" s="109"/>
      <c r="V78" s="110"/>
      <c r="W78" s="111"/>
      <c r="X78" s="114"/>
      <c r="Y78" s="12"/>
      <c r="Z78" s="196"/>
      <c r="AA78" s="299"/>
      <c r="AB78" s="300"/>
      <c r="AC78" s="12"/>
      <c r="AD78" s="196"/>
      <c r="AE78" s="115"/>
      <c r="AF78" s="108"/>
      <c r="AG78" s="313"/>
    </row>
    <row r="79" spans="1:33" ht="15.75" customHeight="1">
      <c r="A79" s="316"/>
      <c r="B79" s="98"/>
      <c r="C79" s="297"/>
      <c r="D79" s="298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8"/>
      <c r="S79" s="46"/>
      <c r="T79" s="118"/>
      <c r="U79" s="109"/>
      <c r="V79" s="110"/>
      <c r="W79" s="111"/>
      <c r="X79" s="114"/>
      <c r="Y79" s="12"/>
      <c r="Z79" s="196"/>
      <c r="AA79" s="299"/>
      <c r="AB79" s="300"/>
      <c r="AC79" s="12"/>
      <c r="AD79" s="196"/>
      <c r="AE79" s="115"/>
      <c r="AF79" s="108"/>
      <c r="AG79" s="313"/>
    </row>
    <row r="80" spans="1:33" ht="15.75" customHeight="1">
      <c r="A80" s="316"/>
      <c r="B80" s="98"/>
      <c r="C80" s="297"/>
      <c r="D80" s="298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8"/>
      <c r="S80" s="46"/>
      <c r="T80" s="118"/>
      <c r="U80" s="109"/>
      <c r="V80" s="110"/>
      <c r="W80" s="111"/>
      <c r="X80" s="114"/>
      <c r="Y80" s="12"/>
      <c r="Z80" s="196"/>
      <c r="AA80" s="299"/>
      <c r="AB80" s="300"/>
      <c r="AC80" s="12"/>
      <c r="AD80" s="196"/>
      <c r="AE80" s="115"/>
      <c r="AF80" s="108"/>
      <c r="AG80" s="313"/>
    </row>
    <row r="81" spans="1:33" ht="15.75" customHeight="1">
      <c r="A81" s="316"/>
      <c r="B81" s="98"/>
      <c r="C81" s="297"/>
      <c r="D81" s="298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8"/>
      <c r="S81" s="46"/>
      <c r="T81" s="118"/>
      <c r="U81" s="109"/>
      <c r="V81" s="110"/>
      <c r="W81" s="111"/>
      <c r="X81" s="125"/>
      <c r="Y81" s="12"/>
      <c r="Z81" s="196"/>
      <c r="AA81" s="299"/>
      <c r="AB81" s="300"/>
      <c r="AC81" s="12"/>
      <c r="AD81" s="196"/>
      <c r="AE81" s="115"/>
      <c r="AF81" s="108"/>
      <c r="AG81" s="313"/>
    </row>
    <row r="82" spans="1:33" ht="15.75" customHeight="1">
      <c r="A82" s="316"/>
      <c r="B82" s="98"/>
      <c r="C82" s="297"/>
      <c r="D82" s="298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8"/>
      <c r="S82" s="46"/>
      <c r="T82" s="118"/>
      <c r="U82" s="109"/>
      <c r="V82" s="110"/>
      <c r="W82" s="111"/>
      <c r="X82" s="125"/>
      <c r="Y82" s="12"/>
      <c r="Z82" s="196"/>
      <c r="AA82" s="299"/>
      <c r="AB82" s="300"/>
      <c r="AC82" s="12"/>
      <c r="AD82" s="196"/>
      <c r="AE82" s="115"/>
      <c r="AF82" s="108"/>
      <c r="AG82" s="313"/>
    </row>
    <row r="83" spans="1:33" ht="15.75" customHeight="1">
      <c r="A83" s="316"/>
      <c r="B83" s="98"/>
      <c r="C83" s="297"/>
      <c r="D83" s="298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8"/>
      <c r="S83" s="46"/>
      <c r="T83" s="118"/>
      <c r="U83" s="109"/>
      <c r="V83" s="110"/>
      <c r="W83" s="111"/>
      <c r="X83" s="125"/>
      <c r="Y83" s="12"/>
      <c r="Z83" s="196"/>
      <c r="AA83" s="299"/>
      <c r="AB83" s="300"/>
      <c r="AC83" s="12"/>
      <c r="AD83" s="196"/>
      <c r="AE83" s="115"/>
      <c r="AF83" s="108"/>
      <c r="AG83" s="313"/>
    </row>
    <row r="84" spans="1:33" ht="15.75" customHeight="1">
      <c r="A84" s="316"/>
      <c r="B84" s="98"/>
      <c r="C84" s="297"/>
      <c r="D84" s="298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8"/>
      <c r="S84" s="46"/>
      <c r="T84" s="118"/>
      <c r="U84" s="109"/>
      <c r="V84" s="110"/>
      <c r="W84" s="111"/>
      <c r="X84" s="125"/>
      <c r="Y84" s="12"/>
      <c r="Z84" s="196"/>
      <c r="AA84" s="299"/>
      <c r="AB84" s="300"/>
      <c r="AC84" s="12"/>
      <c r="AD84" s="196"/>
      <c r="AE84" s="115"/>
      <c r="AF84" s="108"/>
      <c r="AG84" s="313"/>
    </row>
    <row r="85" spans="1:33" ht="15.75" customHeight="1">
      <c r="A85" s="316"/>
      <c r="B85" s="98"/>
      <c r="C85" s="297"/>
      <c r="D85" s="298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8"/>
      <c r="S85" s="46"/>
      <c r="T85" s="118"/>
      <c r="U85" s="109"/>
      <c r="V85" s="110"/>
      <c r="W85" s="111"/>
      <c r="X85" s="125"/>
      <c r="Y85" s="12"/>
      <c r="Z85" s="196"/>
      <c r="AA85" s="299"/>
      <c r="AB85" s="300"/>
      <c r="AC85" s="12"/>
      <c r="AD85" s="196"/>
      <c r="AE85" s="115"/>
      <c r="AF85" s="108"/>
      <c r="AG85" s="313"/>
    </row>
    <row r="86" spans="1:33" ht="15.75" customHeight="1">
      <c r="A86" s="316"/>
      <c r="B86" s="98"/>
      <c r="C86" s="297"/>
      <c r="D86" s="298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8"/>
      <c r="S86" s="46"/>
      <c r="T86" s="118"/>
      <c r="U86" s="109"/>
      <c r="V86" s="110"/>
      <c r="W86" s="111"/>
      <c r="X86" s="125"/>
      <c r="Y86" s="12"/>
      <c r="Z86" s="196"/>
      <c r="AA86" s="299"/>
      <c r="AB86" s="300"/>
      <c r="AC86" s="12"/>
      <c r="AD86" s="196"/>
      <c r="AE86" s="115"/>
      <c r="AF86" s="108"/>
      <c r="AG86" s="313"/>
    </row>
    <row r="87" spans="1:33" ht="15.75" customHeight="1">
      <c r="A87" s="316"/>
      <c r="B87" s="98"/>
      <c r="C87" s="297"/>
      <c r="D87" s="298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8"/>
      <c r="S87" s="46"/>
      <c r="T87" s="118"/>
      <c r="U87" s="109"/>
      <c r="V87" s="110"/>
      <c r="W87" s="111"/>
      <c r="X87" s="125"/>
      <c r="Y87" s="12"/>
      <c r="Z87" s="196"/>
      <c r="AA87" s="299"/>
      <c r="AB87" s="300"/>
      <c r="AC87" s="12"/>
      <c r="AD87" s="196"/>
      <c r="AE87" s="115"/>
      <c r="AF87" s="108"/>
      <c r="AG87" s="313"/>
    </row>
    <row r="88" spans="1:33" ht="15.75" customHeight="1">
      <c r="A88" s="316"/>
      <c r="B88" s="161"/>
      <c r="C88" s="297"/>
      <c r="D88" s="298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8"/>
      <c r="S88" s="117"/>
      <c r="T88" s="118"/>
      <c r="U88" s="128"/>
      <c r="V88" s="129"/>
      <c r="W88" s="124"/>
      <c r="X88" s="125"/>
      <c r="Y88" s="12"/>
      <c r="Z88" s="196"/>
      <c r="AA88" s="299"/>
      <c r="AB88" s="300"/>
      <c r="AC88" s="12"/>
      <c r="AD88" s="196"/>
      <c r="AE88" s="163"/>
      <c r="AF88" s="123"/>
      <c r="AG88" s="313"/>
    </row>
    <row r="89" spans="1:33" ht="15.75" customHeight="1" thickBot="1">
      <c r="A89" s="317"/>
      <c r="B89" s="131" t="s">
        <v>115</v>
      </c>
      <c r="C89" s="294"/>
      <c r="D89" s="294"/>
      <c r="E89" s="132"/>
      <c r="F89" s="165"/>
      <c r="G89" s="133"/>
      <c r="H89" s="67"/>
      <c r="I89" s="134">
        <f t="shared" ref="I89:J89" si="32">AVERAGE(I73:I88)</f>
        <v>5.666666666666667</v>
      </c>
      <c r="J89" s="135">
        <f t="shared" si="32"/>
        <v>2757.6666666666665</v>
      </c>
      <c r="K89" s="136">
        <f t="shared" ref="K89" si="33">J89/I89</f>
        <v>486.64705882352933</v>
      </c>
      <c r="L89" s="134">
        <f t="shared" ref="L89:M89" si="34">AVERAGE(L73:L88)</f>
        <v>5.666666666666667</v>
      </c>
      <c r="M89" s="135">
        <f t="shared" si="34"/>
        <v>2498.1906751310876</v>
      </c>
      <c r="N89" s="136">
        <f>M89/L89</f>
        <v>440.85717796430953</v>
      </c>
      <c r="O89" s="137">
        <f>L89-I89</f>
        <v>0</v>
      </c>
      <c r="P89" s="138">
        <f>N89-K89</f>
        <v>-45.789880859219807</v>
      </c>
      <c r="Q89" s="139">
        <f>N89/K89</f>
        <v>0.90590741271524999</v>
      </c>
      <c r="R89" s="309"/>
      <c r="S89" s="140">
        <v>0.25</v>
      </c>
      <c r="T89" s="141">
        <v>0.42929398148148135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5"/>
      <c r="AB89" s="296"/>
      <c r="AC89" s="177">
        <f>SUM(AC73:AC88)</f>
        <v>0</v>
      </c>
      <c r="AD89" s="189">
        <f>SUM(AD73:AD88)</f>
        <v>0</v>
      </c>
      <c r="AE89" s="166">
        <f>M89-J89</f>
        <v>-259.47599153557894</v>
      </c>
      <c r="AF89" s="139">
        <f>M89/J89</f>
        <v>0.90590741271524999</v>
      </c>
      <c r="AG89" s="314"/>
    </row>
    <row r="90" spans="1:33" ht="15.75" customHeight="1">
      <c r="A90" s="301" t="s">
        <v>120</v>
      </c>
      <c r="B90" s="112" t="s">
        <v>188</v>
      </c>
      <c r="C90" s="305" t="s">
        <v>201</v>
      </c>
      <c r="D90" s="306"/>
      <c r="E90" s="145">
        <v>15.51</v>
      </c>
      <c r="F90" s="95">
        <v>1559</v>
      </c>
      <c r="G90" s="146">
        <f t="shared" ref="G90:G91" si="35">E90*F90</f>
        <v>24180.09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3801.2298834130497</v>
      </c>
      <c r="N90" s="150">
        <f>M90/L90</f>
        <v>633.53831390217499</v>
      </c>
      <c r="O90" s="152">
        <f>L90-I90</f>
        <v>0</v>
      </c>
      <c r="P90" s="153">
        <f>N90-K90</f>
        <v>-66.461686097825009</v>
      </c>
      <c r="Q90" s="154">
        <f>N90/K90</f>
        <v>0.90505473414596427</v>
      </c>
      <c r="R90" s="307">
        <f>Q106</f>
        <v>0.90513040185190241</v>
      </c>
      <c r="S90" s="155">
        <v>0.25</v>
      </c>
      <c r="T90" s="156">
        <v>0.26708333333333334</v>
      </c>
      <c r="U90" s="157"/>
      <c r="V90" s="158">
        <v>24.6078250642427</v>
      </c>
      <c r="W90" s="156"/>
      <c r="X90" s="167"/>
      <c r="Y90" s="12"/>
      <c r="Z90" s="196"/>
      <c r="AA90" s="310"/>
      <c r="AB90" s="311"/>
      <c r="AC90" s="12"/>
      <c r="AD90" s="196"/>
      <c r="AE90" s="113">
        <f>M90-J90</f>
        <v>-398.77011658695028</v>
      </c>
      <c r="AF90" s="154">
        <f>M90/J90</f>
        <v>0.90505473414596427</v>
      </c>
      <c r="AG90" s="312">
        <f>AF106</f>
        <v>0.90513040185190241</v>
      </c>
    </row>
    <row r="91" spans="1:33" ht="15.75" customHeight="1">
      <c r="A91" s="302"/>
      <c r="B91" s="98" t="s">
        <v>188</v>
      </c>
      <c r="C91" s="297" t="s">
        <v>202</v>
      </c>
      <c r="D91" s="298"/>
      <c r="E91" s="99">
        <v>15.01</v>
      </c>
      <c r="F91" s="100">
        <v>1627</v>
      </c>
      <c r="G91" s="101">
        <f t="shared" si="35"/>
        <v>24421.27</v>
      </c>
      <c r="H91" s="26"/>
      <c r="I91" s="102">
        <v>6</v>
      </c>
      <c r="J91" s="103">
        <v>4200</v>
      </c>
      <c r="K91" s="104">
        <f t="shared" si="27"/>
        <v>700</v>
      </c>
      <c r="L91" s="105">
        <v>6</v>
      </c>
      <c r="M91" s="103">
        <f>F91/V91*60</f>
        <v>3801.8654921429302</v>
      </c>
      <c r="N91" s="104">
        <f>M91/L91</f>
        <v>633.64424869048833</v>
      </c>
      <c r="O91" s="106">
        <f>L91-I91</f>
        <v>0</v>
      </c>
      <c r="P91" s="107">
        <f>N91-K91</f>
        <v>-66.355751309511675</v>
      </c>
      <c r="Q91" s="108">
        <f>N91/K91</f>
        <v>0.90520606955784044</v>
      </c>
      <c r="R91" s="308"/>
      <c r="S91" s="46">
        <v>0.27083333333333331</v>
      </c>
      <c r="T91" s="47">
        <v>0.28865740740740742</v>
      </c>
      <c r="U91" s="109">
        <v>5.3999999999999648</v>
      </c>
      <c r="V91" s="110">
        <v>25.676868422027276</v>
      </c>
      <c r="W91" s="111"/>
      <c r="X91" s="13"/>
      <c r="Y91" s="12"/>
      <c r="Z91" s="196"/>
      <c r="AA91" s="299"/>
      <c r="AB91" s="300"/>
      <c r="AC91" s="12"/>
      <c r="AD91" s="196"/>
      <c r="AE91" s="115">
        <f>M91-J91</f>
        <v>-398.13450785706982</v>
      </c>
      <c r="AF91" s="108">
        <f>M91/J91</f>
        <v>0.90520606955784055</v>
      </c>
      <c r="AG91" s="313"/>
    </row>
    <row r="92" spans="1:33" ht="15.75" customHeight="1">
      <c r="A92" s="302"/>
      <c r="B92" s="98"/>
      <c r="C92" s="297"/>
      <c r="D92" s="298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8"/>
      <c r="S92" s="46"/>
      <c r="T92" s="47"/>
      <c r="U92" s="109"/>
      <c r="V92" s="110"/>
      <c r="W92" s="111"/>
      <c r="X92" s="13"/>
      <c r="Y92" s="12"/>
      <c r="Z92" s="196"/>
      <c r="AA92" s="299"/>
      <c r="AB92" s="300"/>
      <c r="AC92" s="12"/>
      <c r="AD92" s="196"/>
      <c r="AE92" s="115"/>
      <c r="AF92" s="108"/>
      <c r="AG92" s="313"/>
    </row>
    <row r="93" spans="1:33" ht="15.75" customHeight="1">
      <c r="A93" s="302"/>
      <c r="B93" s="98"/>
      <c r="C93" s="297"/>
      <c r="D93" s="298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8"/>
      <c r="S93" s="46"/>
      <c r="T93" s="47"/>
      <c r="U93" s="109"/>
      <c r="V93" s="110"/>
      <c r="W93" s="111"/>
      <c r="X93" s="114"/>
      <c r="Y93" s="12"/>
      <c r="Z93" s="196"/>
      <c r="AA93" s="299"/>
      <c r="AB93" s="300"/>
      <c r="AC93" s="12"/>
      <c r="AD93" s="196"/>
      <c r="AE93" s="115"/>
      <c r="AF93" s="108"/>
      <c r="AG93" s="313"/>
    </row>
    <row r="94" spans="1:33" ht="15.75" customHeight="1">
      <c r="A94" s="303"/>
      <c r="B94" s="98"/>
      <c r="C94" s="297"/>
      <c r="D94" s="298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8"/>
      <c r="S94" s="46"/>
      <c r="T94" s="47"/>
      <c r="U94" s="109"/>
      <c r="V94" s="110"/>
      <c r="W94" s="111"/>
      <c r="X94" s="13"/>
      <c r="Y94" s="12"/>
      <c r="Z94" s="196"/>
      <c r="AA94" s="299"/>
      <c r="AB94" s="300"/>
      <c r="AC94" s="12"/>
      <c r="AD94" s="196"/>
      <c r="AE94" s="115"/>
      <c r="AF94" s="108"/>
      <c r="AG94" s="313"/>
    </row>
    <row r="95" spans="1:33" ht="15.75" customHeight="1">
      <c r="A95" s="303"/>
      <c r="B95" s="98"/>
      <c r="C95" s="297"/>
      <c r="D95" s="298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8"/>
      <c r="S95" s="46"/>
      <c r="T95" s="118"/>
      <c r="U95" s="109"/>
      <c r="V95" s="110"/>
      <c r="W95" s="111"/>
      <c r="X95" s="49"/>
      <c r="Y95" s="12"/>
      <c r="Z95" s="196"/>
      <c r="AA95" s="299"/>
      <c r="AB95" s="300"/>
      <c r="AC95" s="12"/>
      <c r="AD95" s="196"/>
      <c r="AE95" s="115"/>
      <c r="AF95" s="108"/>
      <c r="AG95" s="313"/>
    </row>
    <row r="96" spans="1:33" ht="15.75" customHeight="1">
      <c r="A96" s="303"/>
      <c r="B96" s="98"/>
      <c r="C96" s="297"/>
      <c r="D96" s="298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8"/>
      <c r="S96" s="46"/>
      <c r="T96" s="118"/>
      <c r="U96" s="109"/>
      <c r="V96" s="110"/>
      <c r="W96" s="111"/>
      <c r="X96" s="114"/>
      <c r="Y96" s="12"/>
      <c r="Z96" s="196"/>
      <c r="AA96" s="299"/>
      <c r="AB96" s="300"/>
      <c r="AC96" s="12"/>
      <c r="AD96" s="196"/>
      <c r="AE96" s="115"/>
      <c r="AF96" s="108"/>
      <c r="AG96" s="313"/>
    </row>
    <row r="97" spans="1:33" ht="15.75" customHeight="1">
      <c r="A97" s="303"/>
      <c r="B97" s="98"/>
      <c r="C97" s="297"/>
      <c r="D97" s="298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8"/>
      <c r="S97" s="46"/>
      <c r="T97" s="118"/>
      <c r="U97" s="109"/>
      <c r="V97" s="110"/>
      <c r="W97" s="111"/>
      <c r="X97" s="114"/>
      <c r="Y97" s="12"/>
      <c r="Z97" s="196"/>
      <c r="AA97" s="299"/>
      <c r="AB97" s="300"/>
      <c r="AC97" s="12"/>
      <c r="AD97" s="196"/>
      <c r="AE97" s="115"/>
      <c r="AF97" s="108"/>
      <c r="AG97" s="313"/>
    </row>
    <row r="98" spans="1:33" ht="15.75" customHeight="1">
      <c r="A98" s="303"/>
      <c r="B98" s="98"/>
      <c r="C98" s="297"/>
      <c r="D98" s="298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8"/>
      <c r="S98" s="117"/>
      <c r="T98" s="118"/>
      <c r="U98" s="109"/>
      <c r="V98" s="129"/>
      <c r="W98" s="111"/>
      <c r="X98" s="114"/>
      <c r="Y98" s="12"/>
      <c r="Z98" s="196"/>
      <c r="AA98" s="299"/>
      <c r="AB98" s="300"/>
      <c r="AC98" s="12"/>
      <c r="AD98" s="196"/>
      <c r="AE98" s="115"/>
      <c r="AF98" s="108"/>
      <c r="AG98" s="313"/>
    </row>
    <row r="99" spans="1:33" ht="15.75" customHeight="1">
      <c r="A99" s="303"/>
      <c r="B99" s="98"/>
      <c r="C99" s="297"/>
      <c r="D99" s="298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8"/>
      <c r="S99" s="117"/>
      <c r="T99" s="118"/>
      <c r="U99" s="109"/>
      <c r="V99" s="129"/>
      <c r="W99" s="124"/>
      <c r="X99" s="125"/>
      <c r="Y99" s="12"/>
      <c r="Z99" s="196"/>
      <c r="AA99" s="299"/>
      <c r="AB99" s="300"/>
      <c r="AC99" s="12"/>
      <c r="AD99" s="196"/>
      <c r="AE99" s="115"/>
      <c r="AF99" s="108"/>
      <c r="AG99" s="313"/>
    </row>
    <row r="100" spans="1:33" ht="15.75" customHeight="1">
      <c r="A100" s="303"/>
      <c r="B100" s="98"/>
      <c r="C100" s="297"/>
      <c r="D100" s="298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8"/>
      <c r="S100" s="117"/>
      <c r="T100" s="118"/>
      <c r="U100" s="109"/>
      <c r="V100" s="129"/>
      <c r="W100" s="124"/>
      <c r="X100" s="125"/>
      <c r="Y100" s="12"/>
      <c r="Z100" s="196"/>
      <c r="AA100" s="299"/>
      <c r="AB100" s="300"/>
      <c r="AC100" s="12"/>
      <c r="AD100" s="196"/>
      <c r="AE100" s="115"/>
      <c r="AF100" s="108"/>
      <c r="AG100" s="313"/>
    </row>
    <row r="101" spans="1:33" ht="15.75" customHeight="1">
      <c r="A101" s="303"/>
      <c r="B101" s="98"/>
      <c r="C101" s="297"/>
      <c r="D101" s="298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8"/>
      <c r="S101" s="117"/>
      <c r="T101" s="118"/>
      <c r="U101" s="109"/>
      <c r="V101" s="129"/>
      <c r="W101" s="124"/>
      <c r="X101" s="125"/>
      <c r="Y101" s="12"/>
      <c r="Z101" s="196"/>
      <c r="AA101" s="299"/>
      <c r="AB101" s="300"/>
      <c r="AC101" s="12"/>
      <c r="AD101" s="196"/>
      <c r="AE101" s="115"/>
      <c r="AF101" s="108"/>
      <c r="AG101" s="313"/>
    </row>
    <row r="102" spans="1:33" ht="15.75" customHeight="1">
      <c r="A102" s="303"/>
      <c r="B102" s="98"/>
      <c r="C102" s="297"/>
      <c r="D102" s="298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8"/>
      <c r="S102" s="117"/>
      <c r="T102" s="118"/>
      <c r="U102" s="109"/>
      <c r="V102" s="129"/>
      <c r="W102" s="124"/>
      <c r="X102" s="125"/>
      <c r="Y102" s="12"/>
      <c r="Z102" s="196"/>
      <c r="AA102" s="299"/>
      <c r="AB102" s="300"/>
      <c r="AC102" s="12"/>
      <c r="AD102" s="196"/>
      <c r="AE102" s="115"/>
      <c r="AF102" s="108"/>
      <c r="AG102" s="313"/>
    </row>
    <row r="103" spans="1:33" ht="15.75" customHeight="1">
      <c r="A103" s="303"/>
      <c r="B103" s="98"/>
      <c r="C103" s="297"/>
      <c r="D103" s="298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8"/>
      <c r="S103" s="117"/>
      <c r="T103" s="118"/>
      <c r="U103" s="109"/>
      <c r="V103" s="129"/>
      <c r="W103" s="124"/>
      <c r="X103" s="125"/>
      <c r="Y103" s="12"/>
      <c r="Z103" s="196"/>
      <c r="AA103" s="299"/>
      <c r="AB103" s="300"/>
      <c r="AC103" s="12"/>
      <c r="AD103" s="196"/>
      <c r="AE103" s="115"/>
      <c r="AF103" s="108"/>
      <c r="AG103" s="313"/>
    </row>
    <row r="104" spans="1:33" ht="15.75" customHeight="1">
      <c r="A104" s="303"/>
      <c r="B104" s="98"/>
      <c r="C104" s="297"/>
      <c r="D104" s="298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8"/>
      <c r="S104" s="117"/>
      <c r="T104" s="118"/>
      <c r="U104" s="109"/>
      <c r="V104" s="129"/>
      <c r="W104" s="124"/>
      <c r="X104" s="125"/>
      <c r="Y104" s="12"/>
      <c r="Z104" s="196"/>
      <c r="AA104" s="299"/>
      <c r="AB104" s="300"/>
      <c r="AC104" s="12"/>
      <c r="AD104" s="196"/>
      <c r="AE104" s="115"/>
      <c r="AF104" s="108"/>
      <c r="AG104" s="313"/>
    </row>
    <row r="105" spans="1:33" ht="15.75" customHeight="1">
      <c r="A105" s="303"/>
      <c r="B105" s="98"/>
      <c r="C105" s="297"/>
      <c r="D105" s="298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8"/>
      <c r="S105" s="117"/>
      <c r="T105" s="118"/>
      <c r="U105" s="128"/>
      <c r="V105" s="129"/>
      <c r="W105" s="124"/>
      <c r="X105" s="125"/>
      <c r="Y105" s="12"/>
      <c r="Z105" s="196"/>
      <c r="AA105" s="299"/>
      <c r="AB105" s="300"/>
      <c r="AC105" s="12"/>
      <c r="AD105" s="196"/>
      <c r="AE105" s="163"/>
      <c r="AF105" s="123"/>
      <c r="AG105" s="313"/>
    </row>
    <row r="106" spans="1:33" ht="15.75" customHeight="1" thickBot="1">
      <c r="A106" s="304"/>
      <c r="B106" s="131" t="s">
        <v>115</v>
      </c>
      <c r="C106" s="294"/>
      <c r="D106" s="294"/>
      <c r="E106" s="132"/>
      <c r="F106" s="165"/>
      <c r="G106" s="133"/>
      <c r="H106" s="67"/>
      <c r="I106" s="134">
        <f t="shared" ref="I106:J106" si="36">AVERAGE(I90:I105)</f>
        <v>6</v>
      </c>
      <c r="J106" s="135">
        <f t="shared" si="36"/>
        <v>4200</v>
      </c>
      <c r="K106" s="136">
        <f t="shared" ref="K106" si="37">J106/I106</f>
        <v>700</v>
      </c>
      <c r="L106" s="134">
        <f t="shared" ref="L106:M106" si="38">AVERAGE(L90:L105)</f>
        <v>6</v>
      </c>
      <c r="M106" s="135">
        <f t="shared" si="38"/>
        <v>3801.5476877779902</v>
      </c>
      <c r="N106" s="136">
        <f>M106/L106</f>
        <v>633.59128129633166</v>
      </c>
      <c r="O106" s="137">
        <f>L106-I106</f>
        <v>0</v>
      </c>
      <c r="P106" s="138">
        <f>N106-K106</f>
        <v>-66.408718703668342</v>
      </c>
      <c r="Q106" s="139">
        <f>N106/K106</f>
        <v>0.90513040185190241</v>
      </c>
      <c r="R106" s="309"/>
      <c r="S106" s="140">
        <v>0.25</v>
      </c>
      <c r="T106" s="141">
        <v>0.28865740740740742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5"/>
      <c r="AB106" s="296"/>
      <c r="AC106" s="177">
        <f>SUM(AC90:AC105)</f>
        <v>0</v>
      </c>
      <c r="AD106" s="189">
        <f>SUM(AD90:AD105)</f>
        <v>0</v>
      </c>
      <c r="AE106" s="166">
        <f>M106-J106</f>
        <v>-398.45231222200982</v>
      </c>
      <c r="AF106" s="139">
        <f>M106/J106</f>
        <v>0.90513040185190241</v>
      </c>
      <c r="AG106" s="314"/>
    </row>
    <row r="107" spans="1:33" ht="15.75" customHeight="1">
      <c r="A107" s="315" t="s">
        <v>189</v>
      </c>
      <c r="B107" s="144" t="s">
        <v>169</v>
      </c>
      <c r="C107" s="305" t="s">
        <v>198</v>
      </c>
      <c r="D107" s="306"/>
      <c r="E107" s="145">
        <v>58.17</v>
      </c>
      <c r="F107" s="95">
        <v>1054</v>
      </c>
      <c r="G107" s="146">
        <f t="shared" ref="G107:G109" si="39">E107*F107</f>
        <v>61311.18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1806.1999999999998</v>
      </c>
      <c r="N107" s="150">
        <f>M107/L107</f>
        <v>106.2470588235294</v>
      </c>
      <c r="O107" s="152">
        <f>L107-I107</f>
        <v>-1</v>
      </c>
      <c r="P107" s="153">
        <f>N107-K107</f>
        <v>-4.864052287581714</v>
      </c>
      <c r="Q107" s="154">
        <f>N107/K107</f>
        <v>0.95622352941176458</v>
      </c>
      <c r="R107" s="307">
        <f>Q123</f>
        <v>0.95144523809523796</v>
      </c>
      <c r="S107" s="155">
        <v>0.70833333333333337</v>
      </c>
      <c r="T107" s="156">
        <v>0.73263888888888895</v>
      </c>
      <c r="U107" s="157"/>
      <c r="V107" s="158">
        <v>35.012733916509802</v>
      </c>
      <c r="W107" s="156"/>
      <c r="X107" s="167"/>
      <c r="Y107" s="194"/>
      <c r="Z107" s="195"/>
      <c r="AA107" s="310"/>
      <c r="AB107" s="311"/>
      <c r="AC107" s="194"/>
      <c r="AD107" s="195"/>
      <c r="AE107" s="113">
        <f>M107-J107</f>
        <v>-193.80000000000018</v>
      </c>
      <c r="AF107" s="154">
        <f>M107/J107</f>
        <v>0.9030999999999999</v>
      </c>
      <c r="AG107" s="312">
        <f>AF123</f>
        <v>0.90306666666666657</v>
      </c>
    </row>
    <row r="108" spans="1:33" ht="15.75" customHeight="1">
      <c r="A108" s="316"/>
      <c r="B108" s="161" t="s">
        <v>169</v>
      </c>
      <c r="C108" s="297" t="s">
        <v>190</v>
      </c>
      <c r="D108" s="298"/>
      <c r="E108" s="99">
        <v>50.67</v>
      </c>
      <c r="F108" s="100">
        <v>1292</v>
      </c>
      <c r="G108" s="101">
        <f t="shared" si="39"/>
        <v>65465.64</v>
      </c>
      <c r="H108" s="26"/>
      <c r="I108" s="102">
        <v>20</v>
      </c>
      <c r="J108" s="103">
        <v>2000</v>
      </c>
      <c r="K108" s="104">
        <f t="shared" ref="K108:K109" si="40">J108/I108</f>
        <v>100</v>
      </c>
      <c r="L108" s="105">
        <v>19</v>
      </c>
      <c r="M108" s="103">
        <f>F108/V108*60</f>
        <v>1806</v>
      </c>
      <c r="N108" s="104">
        <f>M108/L108</f>
        <v>95.05263157894737</v>
      </c>
      <c r="O108" s="106">
        <f>L108-I108</f>
        <v>-1</v>
      </c>
      <c r="P108" s="107">
        <f>N108-K108</f>
        <v>-4.9473684210526301</v>
      </c>
      <c r="Q108" s="108">
        <f>N108/K108</f>
        <v>0.95052631578947366</v>
      </c>
      <c r="R108" s="308"/>
      <c r="S108" s="46">
        <v>0.7368055555555556</v>
      </c>
      <c r="T108" s="47">
        <v>0.7666087962962963</v>
      </c>
      <c r="U108" s="109">
        <v>5.9999999999999787</v>
      </c>
      <c r="V108" s="110">
        <v>42.923588039867106</v>
      </c>
      <c r="W108" s="111"/>
      <c r="X108" s="114"/>
      <c r="Y108" s="12"/>
      <c r="Z108" s="196"/>
      <c r="AA108" s="299"/>
      <c r="AB108" s="300"/>
      <c r="AC108" s="12"/>
      <c r="AD108" s="196"/>
      <c r="AE108" s="115">
        <f>M108-J108</f>
        <v>-194</v>
      </c>
      <c r="AF108" s="108">
        <f>M108/J108</f>
        <v>0.90300000000000002</v>
      </c>
      <c r="AG108" s="313"/>
    </row>
    <row r="109" spans="1:33" ht="15.75" customHeight="1">
      <c r="A109" s="316"/>
      <c r="B109" s="161" t="s">
        <v>169</v>
      </c>
      <c r="C109" s="297" t="s">
        <v>205</v>
      </c>
      <c r="D109" s="298"/>
      <c r="E109" s="99">
        <v>57.3</v>
      </c>
      <c r="F109" s="100">
        <v>838</v>
      </c>
      <c r="G109" s="101">
        <f t="shared" si="39"/>
        <v>48017.399999999994</v>
      </c>
      <c r="H109" s="26"/>
      <c r="I109" s="102">
        <v>21</v>
      </c>
      <c r="J109" s="103">
        <v>2000</v>
      </c>
      <c r="K109" s="104">
        <f t="shared" si="40"/>
        <v>95.238095238095241</v>
      </c>
      <c r="L109" s="105">
        <v>20</v>
      </c>
      <c r="M109" s="103">
        <f>F109/V109*60</f>
        <v>1806.2</v>
      </c>
      <c r="N109" s="104">
        <f>M109/L109</f>
        <v>90.31</v>
      </c>
      <c r="O109" s="106">
        <f>L109-I109</f>
        <v>-1</v>
      </c>
      <c r="P109" s="107">
        <f>N109-K109</f>
        <v>-4.9280952380952385</v>
      </c>
      <c r="Q109" s="108">
        <f>N109/K109</f>
        <v>0.94825499999999996</v>
      </c>
      <c r="R109" s="308"/>
      <c r="S109" s="46">
        <v>0.76944444444444449</v>
      </c>
      <c r="T109" s="47">
        <v>0.78877314814814814</v>
      </c>
      <c r="U109" s="109">
        <v>5</v>
      </c>
      <c r="V109" s="110">
        <v>27.837448787509686</v>
      </c>
      <c r="W109" s="111"/>
      <c r="X109" s="114"/>
      <c r="Y109" s="12"/>
      <c r="Z109" s="196"/>
      <c r="AA109" s="299"/>
      <c r="AB109" s="300"/>
      <c r="AC109" s="12"/>
      <c r="AD109" s="196"/>
      <c r="AE109" s="115">
        <f>M109-J109</f>
        <v>-193.79999999999995</v>
      </c>
      <c r="AF109" s="108">
        <f>M109/J109</f>
        <v>0.90310000000000001</v>
      </c>
      <c r="AG109" s="313"/>
    </row>
    <row r="110" spans="1:33" ht="15.75" customHeight="1">
      <c r="A110" s="316"/>
      <c r="B110" s="161"/>
      <c r="C110" s="297"/>
      <c r="D110" s="298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8"/>
      <c r="S110" s="46"/>
      <c r="T110" s="47"/>
      <c r="U110" s="109"/>
      <c r="V110" s="110"/>
      <c r="W110" s="111"/>
      <c r="X110" s="114"/>
      <c r="Y110" s="12"/>
      <c r="Z110" s="196"/>
      <c r="AA110" s="299"/>
      <c r="AB110" s="300"/>
      <c r="AC110" s="12"/>
      <c r="AD110" s="196"/>
      <c r="AE110" s="115"/>
      <c r="AF110" s="108"/>
      <c r="AG110" s="313"/>
    </row>
    <row r="111" spans="1:33" ht="15.75" customHeight="1">
      <c r="A111" s="316"/>
      <c r="B111" s="161"/>
      <c r="C111" s="297"/>
      <c r="D111" s="298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8"/>
      <c r="S111" s="46"/>
      <c r="T111" s="47"/>
      <c r="U111" s="109"/>
      <c r="V111" s="110"/>
      <c r="W111" s="111"/>
      <c r="X111" s="114"/>
      <c r="Y111" s="12"/>
      <c r="Z111" s="196"/>
      <c r="AA111" s="299"/>
      <c r="AB111" s="300"/>
      <c r="AC111" s="12"/>
      <c r="AD111" s="196"/>
      <c r="AE111" s="115"/>
      <c r="AF111" s="108"/>
      <c r="AG111" s="313"/>
    </row>
    <row r="112" spans="1:33" ht="15.75" customHeight="1">
      <c r="A112" s="316"/>
      <c r="B112" s="161"/>
      <c r="C112" s="297"/>
      <c r="D112" s="298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8"/>
      <c r="S112" s="46"/>
      <c r="T112" s="118"/>
      <c r="U112" s="109"/>
      <c r="V112" s="110"/>
      <c r="W112" s="111"/>
      <c r="X112" s="114"/>
      <c r="Y112" s="12"/>
      <c r="Z112" s="196"/>
      <c r="AA112" s="299"/>
      <c r="AB112" s="300"/>
      <c r="AC112" s="12"/>
      <c r="AD112" s="196"/>
      <c r="AE112" s="115"/>
      <c r="AF112" s="108"/>
      <c r="AG112" s="313"/>
    </row>
    <row r="113" spans="1:33" ht="15.75" customHeight="1">
      <c r="A113" s="316"/>
      <c r="B113" s="161"/>
      <c r="C113" s="297"/>
      <c r="D113" s="298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8"/>
      <c r="S113" s="117"/>
      <c r="T113" s="118"/>
      <c r="U113" s="109"/>
      <c r="V113" s="110"/>
      <c r="W113" s="118"/>
      <c r="X113" s="187"/>
      <c r="Y113" s="12"/>
      <c r="Z113" s="196"/>
      <c r="AA113" s="299"/>
      <c r="AB113" s="300"/>
      <c r="AC113" s="12"/>
      <c r="AD113" s="196"/>
      <c r="AE113" s="115"/>
      <c r="AF113" s="108"/>
      <c r="AG113" s="313"/>
    </row>
    <row r="114" spans="1:33" ht="15.75" customHeight="1">
      <c r="A114" s="316"/>
      <c r="B114" s="161"/>
      <c r="C114" s="297"/>
      <c r="D114" s="298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8"/>
      <c r="S114" s="117"/>
      <c r="T114" s="118"/>
      <c r="U114" s="109"/>
      <c r="V114" s="110"/>
      <c r="W114" s="118"/>
      <c r="X114" s="187"/>
      <c r="Y114" s="12"/>
      <c r="Z114" s="196"/>
      <c r="AA114" s="299"/>
      <c r="AB114" s="300"/>
      <c r="AC114" s="12"/>
      <c r="AD114" s="196"/>
      <c r="AE114" s="115"/>
      <c r="AF114" s="108"/>
      <c r="AG114" s="313"/>
    </row>
    <row r="115" spans="1:33" ht="15.75" customHeight="1">
      <c r="A115" s="316"/>
      <c r="B115" s="161"/>
      <c r="C115" s="297"/>
      <c r="D115" s="298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8"/>
      <c r="S115" s="117"/>
      <c r="T115" s="118"/>
      <c r="U115" s="109"/>
      <c r="V115" s="110"/>
      <c r="W115" s="118"/>
      <c r="X115" s="187"/>
      <c r="Y115" s="12"/>
      <c r="Z115" s="196"/>
      <c r="AA115" s="299"/>
      <c r="AB115" s="300"/>
      <c r="AC115" s="12"/>
      <c r="AD115" s="196"/>
      <c r="AE115" s="115"/>
      <c r="AF115" s="108"/>
      <c r="AG115" s="313"/>
    </row>
    <row r="116" spans="1:33" ht="15.75" customHeight="1">
      <c r="A116" s="316"/>
      <c r="B116" s="161"/>
      <c r="C116" s="297"/>
      <c r="D116" s="298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8"/>
      <c r="S116" s="117"/>
      <c r="T116" s="118"/>
      <c r="U116" s="109"/>
      <c r="V116" s="110"/>
      <c r="W116" s="118"/>
      <c r="X116" s="187"/>
      <c r="Y116" s="12"/>
      <c r="Z116" s="196"/>
      <c r="AA116" s="299"/>
      <c r="AB116" s="300"/>
      <c r="AC116" s="12"/>
      <c r="AD116" s="196"/>
      <c r="AE116" s="115"/>
      <c r="AF116" s="108"/>
      <c r="AG116" s="313"/>
    </row>
    <row r="117" spans="1:33" ht="15.75" customHeight="1">
      <c r="A117" s="316"/>
      <c r="B117" s="161"/>
      <c r="C117" s="297"/>
      <c r="D117" s="298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8"/>
      <c r="S117" s="117"/>
      <c r="T117" s="118"/>
      <c r="U117" s="109"/>
      <c r="V117" s="110"/>
      <c r="W117" s="118"/>
      <c r="X117" s="187"/>
      <c r="Y117" s="12"/>
      <c r="Z117" s="196"/>
      <c r="AA117" s="299"/>
      <c r="AB117" s="300"/>
      <c r="AC117" s="12"/>
      <c r="AD117" s="196"/>
      <c r="AE117" s="115"/>
      <c r="AF117" s="108"/>
      <c r="AG117" s="313"/>
    </row>
    <row r="118" spans="1:33" ht="15.75" customHeight="1">
      <c r="A118" s="316"/>
      <c r="B118" s="161"/>
      <c r="C118" s="297"/>
      <c r="D118" s="298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8"/>
      <c r="S118" s="117"/>
      <c r="T118" s="118"/>
      <c r="U118" s="109"/>
      <c r="V118" s="110"/>
      <c r="W118" s="118"/>
      <c r="X118" s="187"/>
      <c r="Y118" s="12"/>
      <c r="Z118" s="196"/>
      <c r="AA118" s="299"/>
      <c r="AB118" s="300"/>
      <c r="AC118" s="12"/>
      <c r="AD118" s="196"/>
      <c r="AE118" s="115"/>
      <c r="AF118" s="108"/>
      <c r="AG118" s="313"/>
    </row>
    <row r="119" spans="1:33" ht="15.75" customHeight="1">
      <c r="A119" s="316"/>
      <c r="B119" s="161"/>
      <c r="C119" s="297"/>
      <c r="D119" s="298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8"/>
      <c r="S119" s="117"/>
      <c r="T119" s="118"/>
      <c r="U119" s="109"/>
      <c r="V119" s="110"/>
      <c r="W119" s="118"/>
      <c r="X119" s="187"/>
      <c r="Y119" s="12"/>
      <c r="Z119" s="196"/>
      <c r="AA119" s="299"/>
      <c r="AB119" s="300"/>
      <c r="AC119" s="12"/>
      <c r="AD119" s="196"/>
      <c r="AE119" s="115"/>
      <c r="AF119" s="108"/>
      <c r="AG119" s="313"/>
    </row>
    <row r="120" spans="1:33" ht="15.75" customHeight="1">
      <c r="A120" s="316"/>
      <c r="B120" s="161"/>
      <c r="C120" s="297"/>
      <c r="D120" s="298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8"/>
      <c r="S120" s="117"/>
      <c r="T120" s="118"/>
      <c r="U120" s="109"/>
      <c r="V120" s="110"/>
      <c r="W120" s="118"/>
      <c r="X120" s="187"/>
      <c r="Y120" s="12"/>
      <c r="Z120" s="196"/>
      <c r="AA120" s="299"/>
      <c r="AB120" s="300"/>
      <c r="AC120" s="12"/>
      <c r="AD120" s="196"/>
      <c r="AE120" s="115"/>
      <c r="AF120" s="108"/>
      <c r="AG120" s="313"/>
    </row>
    <row r="121" spans="1:33" ht="15.75" customHeight="1">
      <c r="A121" s="316"/>
      <c r="B121" s="161"/>
      <c r="C121" s="297"/>
      <c r="D121" s="298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8"/>
      <c r="S121" s="117"/>
      <c r="T121" s="118"/>
      <c r="U121" s="109"/>
      <c r="V121" s="110"/>
      <c r="W121" s="118"/>
      <c r="X121" s="187"/>
      <c r="Y121" s="12"/>
      <c r="Z121" s="196"/>
      <c r="AA121" s="299"/>
      <c r="AB121" s="300"/>
      <c r="AC121" s="12"/>
      <c r="AD121" s="196"/>
      <c r="AE121" s="115"/>
      <c r="AF121" s="108"/>
      <c r="AG121" s="313"/>
    </row>
    <row r="122" spans="1:33" ht="15.75" customHeight="1">
      <c r="A122" s="316"/>
      <c r="B122" s="161"/>
      <c r="C122" s="297"/>
      <c r="D122" s="298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8"/>
      <c r="S122" s="117"/>
      <c r="T122" s="118"/>
      <c r="U122" s="128"/>
      <c r="V122" s="129"/>
      <c r="W122" s="124"/>
      <c r="X122" s="125"/>
      <c r="Y122" s="12"/>
      <c r="Z122" s="196"/>
      <c r="AA122" s="299"/>
      <c r="AB122" s="300"/>
      <c r="AC122" s="12"/>
      <c r="AD122" s="196"/>
      <c r="AE122" s="163"/>
      <c r="AF122" s="123"/>
      <c r="AG122" s="313"/>
    </row>
    <row r="123" spans="1:33" ht="15.75" customHeight="1" thickBot="1">
      <c r="A123" s="317"/>
      <c r="B123" s="131" t="s">
        <v>115</v>
      </c>
      <c r="C123" s="294"/>
      <c r="D123" s="294"/>
      <c r="E123" s="132"/>
      <c r="F123" s="165"/>
      <c r="G123" s="133"/>
      <c r="H123" s="67"/>
      <c r="I123" s="134">
        <f t="shared" ref="I123:J123" si="41">AVERAGE(I107:I122)</f>
        <v>19.666666666666668</v>
      </c>
      <c r="J123" s="135">
        <f t="shared" si="41"/>
        <v>2000</v>
      </c>
      <c r="K123" s="136">
        <f t="shared" ref="K123" si="42">J123/I123</f>
        <v>101.69491525423729</v>
      </c>
      <c r="L123" s="134">
        <f t="shared" ref="L123:M123" si="43">AVERAGE(L107:L122)</f>
        <v>18.666666666666668</v>
      </c>
      <c r="M123" s="135">
        <f t="shared" si="43"/>
        <v>1806.1333333333332</v>
      </c>
      <c r="N123" s="136">
        <f>M123/L123</f>
        <v>96.757142857142838</v>
      </c>
      <c r="O123" s="137">
        <f>L123-I123</f>
        <v>-1</v>
      </c>
      <c r="P123" s="138">
        <f>N123-K123</f>
        <v>-4.9377723970944487</v>
      </c>
      <c r="Q123" s="139">
        <f>N123/K123</f>
        <v>0.95144523809523796</v>
      </c>
      <c r="R123" s="309"/>
      <c r="S123" s="140">
        <v>0.70833333333333337</v>
      </c>
      <c r="T123" s="141">
        <v>0.78877314814814814</v>
      </c>
      <c r="U123" s="142"/>
      <c r="V123" s="164"/>
      <c r="W123" s="165"/>
      <c r="X123" s="136"/>
      <c r="Y123" s="177">
        <f t="shared" ref="Y123:Z123" si="44">SUM(Y107:Y122)</f>
        <v>0</v>
      </c>
      <c r="Z123" s="178">
        <f t="shared" si="44"/>
        <v>0</v>
      </c>
      <c r="AA123" s="295"/>
      <c r="AB123" s="296"/>
      <c r="AC123" s="177">
        <f t="shared" ref="AC123:AD123" si="45">SUM(AC107:AC122)</f>
        <v>0</v>
      </c>
      <c r="AD123" s="178">
        <f t="shared" si="45"/>
        <v>0</v>
      </c>
      <c r="AE123" s="166">
        <f>M123-J123</f>
        <v>-193.86666666666679</v>
      </c>
      <c r="AF123" s="139">
        <f>M123/J123</f>
        <v>0.90306666666666657</v>
      </c>
      <c r="AG123" s="314"/>
    </row>
    <row r="124" spans="1:33" ht="15.75" customHeight="1">
      <c r="A124" s="301" t="s">
        <v>179</v>
      </c>
      <c r="B124" s="144" t="s">
        <v>169</v>
      </c>
      <c r="C124" s="305" t="s">
        <v>181</v>
      </c>
      <c r="D124" s="306"/>
      <c r="E124" s="145">
        <v>56.87</v>
      </c>
      <c r="F124" s="157">
        <v>1199</v>
      </c>
      <c r="G124" s="146">
        <f t="shared" ref="G124:G126" si="46">E124*F124</f>
        <v>68187.12999999999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1804.2185642727754</v>
      </c>
      <c r="N124" s="150">
        <f>M124/L124</f>
        <v>78.444285403164145</v>
      </c>
      <c r="O124" s="152">
        <f>L124-I124</f>
        <v>0</v>
      </c>
      <c r="P124" s="153">
        <f>N124-K124</f>
        <v>-8.5122363359662927</v>
      </c>
      <c r="Q124" s="154">
        <f>N124/K124</f>
        <v>0.90210928213638764</v>
      </c>
      <c r="R124" s="307">
        <f>Q140</f>
        <v>0.90241063176752268</v>
      </c>
      <c r="S124" s="155">
        <v>0.70833333333333337</v>
      </c>
      <c r="T124" s="156">
        <v>0.73601851851851852</v>
      </c>
      <c r="U124" s="157"/>
      <c r="V124" s="158">
        <v>39.873217926341859</v>
      </c>
      <c r="W124" s="95"/>
      <c r="X124" s="96"/>
      <c r="Y124" s="194"/>
      <c r="Z124" s="195"/>
      <c r="AA124" s="310"/>
      <c r="AB124" s="311"/>
      <c r="AC124" s="194"/>
      <c r="AD124" s="195"/>
      <c r="AE124" s="113">
        <f>M124-J124</f>
        <v>-195.78143572722456</v>
      </c>
      <c r="AF124" s="154">
        <f>M124/J124</f>
        <v>0.90210928213638775</v>
      </c>
      <c r="AG124" s="379">
        <f>AF140</f>
        <v>0.90241063176752279</v>
      </c>
    </row>
    <row r="125" spans="1:33" ht="15.75" customHeight="1">
      <c r="A125" s="302"/>
      <c r="B125" s="161" t="s">
        <v>169</v>
      </c>
      <c r="C125" s="297" t="s">
        <v>180</v>
      </c>
      <c r="D125" s="298"/>
      <c r="E125" s="99">
        <v>56.79</v>
      </c>
      <c r="F125" s="109">
        <v>1497</v>
      </c>
      <c r="G125" s="101">
        <f t="shared" si="46"/>
        <v>85014.63</v>
      </c>
      <c r="H125" s="26"/>
      <c r="I125" s="102">
        <v>23</v>
      </c>
      <c r="J125" s="103">
        <v>2000</v>
      </c>
      <c r="K125" s="104">
        <f t="shared" ref="K125:K126" si="47">J125/I125</f>
        <v>86.956521739130437</v>
      </c>
      <c r="L125" s="105">
        <v>23</v>
      </c>
      <c r="M125" s="103">
        <f>F125/V125*60</f>
        <v>1801.9667199915473</v>
      </c>
      <c r="N125" s="104">
        <f>M125/L125</f>
        <v>78.346379130067277</v>
      </c>
      <c r="O125" s="106">
        <f>L125-I125</f>
        <v>0</v>
      </c>
      <c r="P125" s="107">
        <f>N125-K125</f>
        <v>-8.6101426090631605</v>
      </c>
      <c r="Q125" s="108">
        <f>N125/K125</f>
        <v>0.90098335999577361</v>
      </c>
      <c r="R125" s="308"/>
      <c r="S125" s="46">
        <v>0.73888888888888893</v>
      </c>
      <c r="T125" s="47">
        <v>0.77349537037037042</v>
      </c>
      <c r="U125" s="109">
        <v>5</v>
      </c>
      <c r="V125" s="110">
        <v>49.845537658110203</v>
      </c>
      <c r="W125" s="111"/>
      <c r="X125" s="114"/>
      <c r="Y125" s="12"/>
      <c r="Z125" s="196"/>
      <c r="AA125" s="299"/>
      <c r="AB125" s="300"/>
      <c r="AC125" s="12"/>
      <c r="AD125" s="196"/>
      <c r="AE125" s="115">
        <f>M125-J125</f>
        <v>-198.03328000845272</v>
      </c>
      <c r="AF125" s="108">
        <f>M125/J125</f>
        <v>0.90098335999577361</v>
      </c>
      <c r="AG125" s="380"/>
    </row>
    <row r="126" spans="1:33" ht="15.75" customHeight="1">
      <c r="A126" s="302"/>
      <c r="B126" s="161" t="s">
        <v>169</v>
      </c>
      <c r="C126" s="297" t="s">
        <v>220</v>
      </c>
      <c r="D126" s="298"/>
      <c r="E126" s="99">
        <v>47.6</v>
      </c>
      <c r="F126" s="109">
        <v>2123</v>
      </c>
      <c r="G126" s="101">
        <f t="shared" si="46"/>
        <v>101054.8</v>
      </c>
      <c r="H126" s="26"/>
      <c r="I126" s="102">
        <v>23</v>
      </c>
      <c r="J126" s="103">
        <v>2000</v>
      </c>
      <c r="K126" s="104">
        <f t="shared" si="47"/>
        <v>86.956521739130437</v>
      </c>
      <c r="L126" s="105">
        <v>23</v>
      </c>
      <c r="M126" s="103">
        <f>F126/V126*60</f>
        <v>1808.2785063408135</v>
      </c>
      <c r="N126" s="104">
        <f>M126/L126</f>
        <v>78.620804623513635</v>
      </c>
      <c r="O126" s="106">
        <f>L126-I126</f>
        <v>0</v>
      </c>
      <c r="P126" s="107">
        <f>N126-K126</f>
        <v>-8.3357171156168022</v>
      </c>
      <c r="Q126" s="108">
        <f>N126/K126</f>
        <v>0.90413925317040678</v>
      </c>
      <c r="R126" s="308"/>
      <c r="S126" s="46">
        <v>0.77708333333333335</v>
      </c>
      <c r="T126" s="47">
        <v>0.82599537037037041</v>
      </c>
      <c r="U126" s="109">
        <v>5.1666666666666217</v>
      </c>
      <c r="V126" s="110">
        <v>70.442688752499166</v>
      </c>
      <c r="W126" s="111"/>
      <c r="X126" s="114"/>
      <c r="Y126" s="12"/>
      <c r="Z126" s="196"/>
      <c r="AA126" s="299"/>
      <c r="AB126" s="300"/>
      <c r="AC126" s="12"/>
      <c r="AD126" s="196"/>
      <c r="AE126" s="115">
        <f>M126-J126</f>
        <v>-191.72149365918654</v>
      </c>
      <c r="AF126" s="108">
        <f>M126/J126</f>
        <v>0.90413925317040678</v>
      </c>
      <c r="AG126" s="380"/>
    </row>
    <row r="127" spans="1:33" ht="15.75" customHeight="1">
      <c r="A127" s="302"/>
      <c r="B127" s="161"/>
      <c r="C127" s="297"/>
      <c r="D127" s="298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8"/>
      <c r="S127" s="46"/>
      <c r="T127" s="47"/>
      <c r="U127" s="109"/>
      <c r="V127" s="110"/>
      <c r="W127" s="111"/>
      <c r="X127" s="114"/>
      <c r="Y127" s="12"/>
      <c r="Z127" s="196"/>
      <c r="AA127" s="299"/>
      <c r="AB127" s="300"/>
      <c r="AC127" s="12"/>
      <c r="AD127" s="196"/>
      <c r="AE127" s="115"/>
      <c r="AF127" s="108"/>
      <c r="AG127" s="380"/>
    </row>
    <row r="128" spans="1:33" ht="15.75" customHeight="1">
      <c r="A128" s="303"/>
      <c r="B128" s="161"/>
      <c r="C128" s="297"/>
      <c r="D128" s="298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8"/>
      <c r="S128" s="46"/>
      <c r="T128" s="47"/>
      <c r="U128" s="109"/>
      <c r="V128" s="110"/>
      <c r="W128" s="111"/>
      <c r="X128" s="114"/>
      <c r="Y128" s="12"/>
      <c r="Z128" s="196"/>
      <c r="AA128" s="299"/>
      <c r="AB128" s="300"/>
      <c r="AC128" s="12"/>
      <c r="AD128" s="196"/>
      <c r="AE128" s="115"/>
      <c r="AF128" s="108"/>
      <c r="AG128" s="380"/>
    </row>
    <row r="129" spans="1:33" ht="15.75" customHeight="1">
      <c r="A129" s="303"/>
      <c r="B129" s="161"/>
      <c r="C129" s="297"/>
      <c r="D129" s="298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8"/>
      <c r="S129" s="46"/>
      <c r="T129" s="118"/>
      <c r="U129" s="109"/>
      <c r="V129" s="110"/>
      <c r="W129" s="111"/>
      <c r="X129" s="114"/>
      <c r="Y129" s="12"/>
      <c r="Z129" s="196"/>
      <c r="AA129" s="299"/>
      <c r="AB129" s="300"/>
      <c r="AC129" s="12"/>
      <c r="AD129" s="196"/>
      <c r="AE129" s="115"/>
      <c r="AF129" s="108"/>
      <c r="AG129" s="380"/>
    </row>
    <row r="130" spans="1:33" ht="15.75" customHeight="1">
      <c r="A130" s="303"/>
      <c r="B130" s="161"/>
      <c r="C130" s="297"/>
      <c r="D130" s="298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8"/>
      <c r="S130" s="46"/>
      <c r="T130" s="118"/>
      <c r="U130" s="109"/>
      <c r="V130" s="110"/>
      <c r="W130" s="111"/>
      <c r="X130" s="114"/>
      <c r="Y130" s="12"/>
      <c r="Z130" s="196"/>
      <c r="AA130" s="299"/>
      <c r="AB130" s="300"/>
      <c r="AC130" s="12"/>
      <c r="AD130" s="196"/>
      <c r="AE130" s="115"/>
      <c r="AF130" s="108"/>
      <c r="AG130" s="380"/>
    </row>
    <row r="131" spans="1:33" ht="15.75" customHeight="1">
      <c r="A131" s="303"/>
      <c r="B131" s="161"/>
      <c r="C131" s="297"/>
      <c r="D131" s="298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8"/>
      <c r="S131" s="46"/>
      <c r="T131" s="118"/>
      <c r="U131" s="109"/>
      <c r="V131" s="110"/>
      <c r="W131" s="111"/>
      <c r="X131" s="114"/>
      <c r="Y131" s="12"/>
      <c r="Z131" s="196"/>
      <c r="AA131" s="299"/>
      <c r="AB131" s="300"/>
      <c r="AC131" s="12"/>
      <c r="AD131" s="196"/>
      <c r="AE131" s="115"/>
      <c r="AF131" s="108"/>
      <c r="AG131" s="380"/>
    </row>
    <row r="132" spans="1:33" ht="15.75" customHeight="1">
      <c r="A132" s="303"/>
      <c r="B132" s="161"/>
      <c r="C132" s="297"/>
      <c r="D132" s="298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8"/>
      <c r="S132" s="46"/>
      <c r="T132" s="118"/>
      <c r="U132" s="109"/>
      <c r="V132" s="110"/>
      <c r="W132" s="111"/>
      <c r="X132" s="114"/>
      <c r="Y132" s="12"/>
      <c r="Z132" s="196"/>
      <c r="AA132" s="299"/>
      <c r="AB132" s="300"/>
      <c r="AC132" s="12"/>
      <c r="AD132" s="196"/>
      <c r="AE132" s="115"/>
      <c r="AF132" s="108"/>
      <c r="AG132" s="380"/>
    </row>
    <row r="133" spans="1:33" ht="15.75" customHeight="1">
      <c r="A133" s="303"/>
      <c r="B133" s="161"/>
      <c r="C133" s="297"/>
      <c r="D133" s="298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8"/>
      <c r="S133" s="46"/>
      <c r="T133" s="118"/>
      <c r="U133" s="109"/>
      <c r="V133" s="110"/>
      <c r="W133" s="111"/>
      <c r="X133" s="114"/>
      <c r="Y133" s="12"/>
      <c r="Z133" s="196"/>
      <c r="AA133" s="299"/>
      <c r="AB133" s="300"/>
      <c r="AC133" s="12"/>
      <c r="AD133" s="196"/>
      <c r="AE133" s="115"/>
      <c r="AF133" s="108"/>
      <c r="AG133" s="380"/>
    </row>
    <row r="134" spans="1:33" ht="15.75" customHeight="1">
      <c r="A134" s="303"/>
      <c r="B134" s="161"/>
      <c r="C134" s="297"/>
      <c r="D134" s="298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8"/>
      <c r="S134" s="46"/>
      <c r="T134" s="118"/>
      <c r="U134" s="109"/>
      <c r="V134" s="110"/>
      <c r="W134" s="111"/>
      <c r="X134" s="114"/>
      <c r="Y134" s="12"/>
      <c r="Z134" s="196"/>
      <c r="AA134" s="299"/>
      <c r="AB134" s="300"/>
      <c r="AC134" s="12"/>
      <c r="AD134" s="196"/>
      <c r="AE134" s="115"/>
      <c r="AF134" s="108"/>
      <c r="AG134" s="380"/>
    </row>
    <row r="135" spans="1:33" ht="15.75" customHeight="1">
      <c r="A135" s="303"/>
      <c r="B135" s="161"/>
      <c r="C135" s="297"/>
      <c r="D135" s="298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8"/>
      <c r="S135" s="46"/>
      <c r="T135" s="118"/>
      <c r="U135" s="109"/>
      <c r="V135" s="110"/>
      <c r="W135" s="111"/>
      <c r="X135" s="114"/>
      <c r="Y135" s="12"/>
      <c r="Z135" s="196"/>
      <c r="AA135" s="299"/>
      <c r="AB135" s="300"/>
      <c r="AC135" s="12"/>
      <c r="AD135" s="196"/>
      <c r="AE135" s="115"/>
      <c r="AF135" s="108"/>
      <c r="AG135" s="380"/>
    </row>
    <row r="136" spans="1:33" ht="15.75" customHeight="1">
      <c r="A136" s="303"/>
      <c r="B136" s="161"/>
      <c r="C136" s="297"/>
      <c r="D136" s="298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8"/>
      <c r="S136" s="46"/>
      <c r="T136" s="118"/>
      <c r="U136" s="109"/>
      <c r="V136" s="110"/>
      <c r="W136" s="111"/>
      <c r="X136" s="114"/>
      <c r="Y136" s="12"/>
      <c r="Z136" s="196"/>
      <c r="AA136" s="299"/>
      <c r="AB136" s="300"/>
      <c r="AC136" s="12"/>
      <c r="AD136" s="196"/>
      <c r="AE136" s="115"/>
      <c r="AF136" s="108"/>
      <c r="AG136" s="380"/>
    </row>
    <row r="137" spans="1:33" ht="15.75" customHeight="1">
      <c r="A137" s="303"/>
      <c r="B137" s="161"/>
      <c r="C137" s="297"/>
      <c r="D137" s="298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8"/>
      <c r="S137" s="46"/>
      <c r="T137" s="118"/>
      <c r="U137" s="109"/>
      <c r="V137" s="110"/>
      <c r="W137" s="181"/>
      <c r="X137" s="182"/>
      <c r="Y137" s="12"/>
      <c r="Z137" s="196"/>
      <c r="AA137" s="299"/>
      <c r="AB137" s="300"/>
      <c r="AC137" s="12"/>
      <c r="AD137" s="196"/>
      <c r="AE137" s="115"/>
      <c r="AF137" s="108"/>
      <c r="AG137" s="380"/>
    </row>
    <row r="138" spans="1:33" ht="15.75" customHeight="1">
      <c r="A138" s="303"/>
      <c r="B138" s="161"/>
      <c r="C138" s="297"/>
      <c r="D138" s="298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8"/>
      <c r="S138" s="46"/>
      <c r="T138" s="118"/>
      <c r="U138" s="109"/>
      <c r="V138" s="110"/>
      <c r="W138" s="183"/>
      <c r="X138" s="184"/>
      <c r="Y138" s="12"/>
      <c r="Z138" s="196"/>
      <c r="AA138" s="299"/>
      <c r="AB138" s="300"/>
      <c r="AC138" s="12"/>
      <c r="AD138" s="196"/>
      <c r="AE138" s="115"/>
      <c r="AF138" s="108"/>
      <c r="AG138" s="380"/>
    </row>
    <row r="139" spans="1:33" ht="15.75" customHeight="1">
      <c r="A139" s="303"/>
      <c r="B139" s="98"/>
      <c r="C139" s="297"/>
      <c r="D139" s="298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8"/>
      <c r="S139" s="46"/>
      <c r="T139" s="118"/>
      <c r="U139" s="128"/>
      <c r="V139" s="110"/>
      <c r="W139" s="183"/>
      <c r="X139" s="184"/>
      <c r="Y139" s="12"/>
      <c r="Z139" s="196"/>
      <c r="AA139" s="299"/>
      <c r="AB139" s="300"/>
      <c r="AC139" s="12"/>
      <c r="AD139" s="196"/>
      <c r="AE139" s="115"/>
      <c r="AF139" s="108"/>
      <c r="AG139" s="380"/>
    </row>
    <row r="140" spans="1:33" ht="15.75" customHeight="1" thickBot="1">
      <c r="A140" s="304"/>
      <c r="B140" s="131" t="s">
        <v>115</v>
      </c>
      <c r="C140" s="294"/>
      <c r="D140" s="294"/>
      <c r="E140" s="132"/>
      <c r="F140" s="165"/>
      <c r="G140" s="133"/>
      <c r="H140" s="67"/>
      <c r="I140" s="134">
        <f t="shared" ref="I140:J140" si="48">AVERAGE(I124:I139)</f>
        <v>23</v>
      </c>
      <c r="J140" s="135">
        <f t="shared" si="48"/>
        <v>2000</v>
      </c>
      <c r="K140" s="136">
        <f t="shared" ref="K140" si="49">J140/I140</f>
        <v>86.956521739130437</v>
      </c>
      <c r="L140" s="134">
        <f t="shared" ref="L140:M140" si="50">AVERAGE(L124:L139)</f>
        <v>23</v>
      </c>
      <c r="M140" s="135">
        <f t="shared" si="50"/>
        <v>1804.8212635350455</v>
      </c>
      <c r="N140" s="136">
        <f>M140/L140</f>
        <v>78.470489718915019</v>
      </c>
      <c r="O140" s="137">
        <f>L140-I140</f>
        <v>0</v>
      </c>
      <c r="P140" s="138">
        <f>N140-K140</f>
        <v>-8.4860320202154185</v>
      </c>
      <c r="Q140" s="139">
        <f>N140/K140</f>
        <v>0.90241063176752268</v>
      </c>
      <c r="R140" s="309"/>
      <c r="S140" s="140">
        <v>0.70833333333333337</v>
      </c>
      <c r="T140" s="141">
        <v>0.82599537037037041</v>
      </c>
      <c r="U140" s="142"/>
      <c r="V140" s="164"/>
      <c r="W140" s="185"/>
      <c r="X140" s="186"/>
      <c r="Y140" s="177">
        <f t="shared" ref="Y140:Z140" si="51">SUM(Y124:Y139)</f>
        <v>0</v>
      </c>
      <c r="Z140" s="178">
        <f t="shared" si="51"/>
        <v>0</v>
      </c>
      <c r="AA140" s="295"/>
      <c r="AB140" s="296"/>
      <c r="AC140" s="177">
        <f t="shared" ref="AC140:AD140" si="52">SUM(AC124:AC139)</f>
        <v>0</v>
      </c>
      <c r="AD140" s="178">
        <f t="shared" si="52"/>
        <v>0</v>
      </c>
      <c r="AE140" s="166">
        <f>M140-J140</f>
        <v>-195.17873646495445</v>
      </c>
      <c r="AF140" s="139">
        <f>M140/J140</f>
        <v>0.90241063176752279</v>
      </c>
      <c r="AG140" s="381"/>
    </row>
    <row r="142" spans="1:33">
      <c r="AA142" s="293" t="s">
        <v>147</v>
      </c>
      <c r="AB142" s="293"/>
    </row>
    <row r="143" spans="1:33">
      <c r="AA143" s="293" t="s">
        <v>148</v>
      </c>
      <c r="AB143" s="293"/>
    </row>
    <row r="144" spans="1:33">
      <c r="AA144" s="293" t="s">
        <v>149</v>
      </c>
      <c r="AB144" s="293"/>
    </row>
    <row r="145" spans="27:28">
      <c r="AA145" s="293" t="s">
        <v>150</v>
      </c>
      <c r="AB145" s="293"/>
    </row>
    <row r="146" spans="27:28">
      <c r="AA146" s="293" t="s">
        <v>151</v>
      </c>
      <c r="AB146" s="293"/>
    </row>
    <row r="147" spans="27:28">
      <c r="AA147" s="293" t="s">
        <v>152</v>
      </c>
      <c r="AB147" s="293"/>
    </row>
    <row r="148" spans="27:28">
      <c r="AA148" s="293" t="s">
        <v>153</v>
      </c>
      <c r="AB148" s="293"/>
    </row>
    <row r="149" spans="27:28">
      <c r="AA149" s="293" t="s">
        <v>154</v>
      </c>
      <c r="AB149" s="293"/>
    </row>
    <row r="150" spans="27:28">
      <c r="AA150" s="293" t="s">
        <v>155</v>
      </c>
      <c r="AB150" s="293"/>
    </row>
    <row r="151" spans="27:28">
      <c r="AA151" s="293" t="s">
        <v>156</v>
      </c>
      <c r="AB151" s="293"/>
    </row>
    <row r="152" spans="27:28">
      <c r="AA152" s="293" t="s">
        <v>157</v>
      </c>
      <c r="AB152" s="293"/>
    </row>
    <row r="153" spans="27:28">
      <c r="AA153" s="293" t="s">
        <v>158</v>
      </c>
      <c r="AB153" s="293"/>
    </row>
    <row r="154" spans="27:28">
      <c r="AA154" s="293" t="s">
        <v>159</v>
      </c>
      <c r="AB154" s="293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101:AB101"/>
    <mergeCell ref="C102:D102"/>
    <mergeCell ref="AA102:AB102"/>
    <mergeCell ref="C106:D106"/>
    <mergeCell ref="AA106:AB106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33" priority="2" operator="greaterThan">
      <formula>0</formula>
    </cfRule>
  </conditionalFormatting>
  <conditionalFormatting sqref="P5:P140 AE5:AE140">
    <cfRule type="cellIs" dxfId="32" priority="5" operator="lessThan">
      <formula>0</formula>
    </cfRule>
  </conditionalFormatting>
  <conditionalFormatting sqref="Q5:Q140 AF5:AF140">
    <cfRule type="cellIs" dxfId="31" priority="3" operator="greaterThan">
      <formula>1</formula>
    </cfRule>
    <cfRule type="cellIs" dxfId="30" priority="4" operator="lessThan">
      <formula>0.8</formula>
    </cfRule>
  </conditionalFormatting>
  <conditionalFormatting sqref="AG5 R5:R140 AG107:AG124">
    <cfRule type="cellIs" dxfId="29" priority="6" operator="lessThan">
      <formula>0.8</formula>
    </cfRule>
  </conditionalFormatting>
  <conditionalFormatting sqref="AG22">
    <cfRule type="cellIs" dxfId="28" priority="11" operator="lessThan">
      <formula>0.8</formula>
    </cfRule>
  </conditionalFormatting>
  <conditionalFormatting sqref="AG37">
    <cfRule type="cellIs" dxfId="27" priority="10" operator="lessThan">
      <formula>0.8</formula>
    </cfRule>
  </conditionalFormatting>
  <conditionalFormatting sqref="AG39:AG74">
    <cfRule type="cellIs" dxfId="26" priority="8" operator="lessThan">
      <formula>0.8</formula>
    </cfRule>
  </conditionalFormatting>
  <conditionalFormatting sqref="AG80:AG88">
    <cfRule type="cellIs" dxfId="25" priority="9" operator="lessThan">
      <formula>0.8</formula>
    </cfRule>
  </conditionalFormatting>
  <conditionalFormatting sqref="AG90:AG95">
    <cfRule type="cellIs" dxfId="24" priority="7" operator="lessThan">
      <formula>0.8</formula>
    </cfRule>
  </conditionalFormatting>
  <conditionalFormatting sqref="AG139">
    <cfRule type="cellIs" dxfId="23" priority="1" operator="lessThan">
      <formula>0.8</formula>
    </cfRule>
  </conditionalFormatting>
  <dataValidations count="1">
    <dataValidation type="list" allowBlank="1" showInputMessage="1" showErrorMessage="1" sqref="AA5:AB140" xr:uid="{8C002712-2C3D-4041-B7D3-235BD2CCAA98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CB237-3B37-4A57-834F-7042DBDA0625}">
  <sheetPr>
    <tabColor theme="9" tint="0.59999389629810485"/>
  </sheetPr>
  <dimension ref="B1:AR42"/>
  <sheetViews>
    <sheetView zoomScale="70" zoomScaleNormal="70" workbookViewId="0">
      <selection activeCell="M42" sqref="M4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0" t="s">
        <v>0</v>
      </c>
      <c r="C1" s="280"/>
      <c r="D1" s="280"/>
      <c r="E1" s="280"/>
      <c r="F1" s="280"/>
      <c r="G1" s="280"/>
      <c r="H1" s="280"/>
      <c r="I1" s="280"/>
      <c r="J1" s="280"/>
      <c r="K1" s="1"/>
      <c r="L1" s="1"/>
      <c r="M1" s="1"/>
      <c r="N1" s="1"/>
      <c r="O1" s="1"/>
      <c r="P1" s="1"/>
    </row>
    <row r="2" spans="2:34" ht="27.75" customHeight="1">
      <c r="B2" s="281"/>
      <c r="C2" s="281"/>
      <c r="D2" s="281"/>
      <c r="E2" s="281"/>
      <c r="F2" s="281"/>
      <c r="G2" s="281"/>
      <c r="H2" s="281"/>
      <c r="I2" s="281"/>
      <c r="J2" s="28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2" t="s">
        <v>226</v>
      </c>
      <c r="D3" s="283"/>
      <c r="E3" s="3" t="s">
        <v>2</v>
      </c>
      <c r="F3" s="284">
        <f>'1001(18度C)'!D1+'1001(4度C)'!D1</f>
        <v>137958</v>
      </c>
      <c r="G3" s="285"/>
      <c r="H3" s="3" t="s">
        <v>3</v>
      </c>
      <c r="I3" s="286">
        <f>'1001(18度C)'!F1+'1001(4度C)'!F1</f>
        <v>4278221.4800000004</v>
      </c>
      <c r="J3" s="287"/>
      <c r="K3" s="4"/>
      <c r="L3" s="5"/>
      <c r="M3" s="1"/>
      <c r="N3" s="1"/>
      <c r="O3" s="1"/>
      <c r="P3" s="1"/>
    </row>
    <row r="4" spans="2:34" ht="28.5" customHeight="1">
      <c r="B4" s="288" t="s">
        <v>4</v>
      </c>
      <c r="C4" s="268" t="s">
        <v>5</v>
      </c>
      <c r="D4" s="269"/>
      <c r="E4" s="291" t="s">
        <v>6</v>
      </c>
      <c r="F4" s="292"/>
      <c r="G4" s="291" t="s">
        <v>7</v>
      </c>
      <c r="H4" s="292"/>
      <c r="I4" s="291" t="s">
        <v>8</v>
      </c>
      <c r="J4" s="292"/>
      <c r="K4" s="264" t="s">
        <v>9</v>
      </c>
      <c r="L4" s="265"/>
      <c r="M4" s="264" t="s">
        <v>10</v>
      </c>
      <c r="N4" s="265"/>
      <c r="O4" s="266" t="s">
        <v>11</v>
      </c>
      <c r="P4" s="267"/>
      <c r="Q4" s="267" t="s">
        <v>12</v>
      </c>
      <c r="R4" s="267"/>
    </row>
    <row r="5" spans="2:34" ht="28.5" customHeight="1">
      <c r="B5" s="289"/>
      <c r="C5" s="268" t="s">
        <v>13</v>
      </c>
      <c r="D5" s="269"/>
      <c r="E5" s="270" t="s">
        <v>14</v>
      </c>
      <c r="F5" s="271"/>
      <c r="G5" s="272" t="s">
        <v>15</v>
      </c>
      <c r="H5" s="273"/>
      <c r="I5" s="274" t="s">
        <v>16</v>
      </c>
      <c r="J5" s="275"/>
      <c r="K5" s="276" t="s">
        <v>17</v>
      </c>
      <c r="L5" s="277"/>
      <c r="M5" s="278" t="s">
        <v>18</v>
      </c>
      <c r="N5" s="27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9"/>
      <c r="C6" s="268" t="s">
        <v>22</v>
      </c>
      <c r="D6" s="269"/>
      <c r="E6" s="258">
        <f>AVERAGE(D14:O14,D32:X32)</f>
        <v>474.54095580375059</v>
      </c>
      <c r="F6" s="259" t="e">
        <f>AVERAGE(#REF!,D14:K14)</f>
        <v>#REF!</v>
      </c>
      <c r="G6" s="260">
        <f>AVERAGE(D14:K14)</f>
        <v>277.63526672682565</v>
      </c>
      <c r="H6" s="261"/>
      <c r="I6" s="260">
        <f>AVERAGE(L14:O14)</f>
        <v>94.325718496683862</v>
      </c>
      <c r="J6" s="261"/>
      <c r="K6" s="260">
        <f>AVERAGE(D32:O32)</f>
        <v>716.2788331071913</v>
      </c>
      <c r="L6" s="261"/>
      <c r="M6" s="260">
        <f>AVERAGE(P32:X32)</f>
        <v>718.26923076923072</v>
      </c>
      <c r="N6" s="261"/>
      <c r="O6" s="249">
        <f>'1001(4度C)'!Y2</f>
        <v>0</v>
      </c>
      <c r="P6" s="249">
        <f>'1001(4度C)'!Z2</f>
        <v>0</v>
      </c>
      <c r="Q6" s="249">
        <f>'1001(4度C)'!AC2</f>
        <v>0</v>
      </c>
      <c r="R6" s="249">
        <f>'1001(4度C)'!AD2</f>
        <v>0</v>
      </c>
    </row>
    <row r="7" spans="2:34" ht="28.5" customHeight="1">
      <c r="B7" s="289"/>
      <c r="C7" s="252" t="s">
        <v>23</v>
      </c>
      <c r="D7" s="253"/>
      <c r="E7" s="254">
        <f>AVERAGE(D15:O15,D33:X33)</f>
        <v>431.16591225290392</v>
      </c>
      <c r="F7" s="255" t="e">
        <f>AVERAGE(#REF!,D15:K15)</f>
        <v>#REF!</v>
      </c>
      <c r="G7" s="256">
        <f>AVERAGE(D15:K15)</f>
        <v>250.94588749887134</v>
      </c>
      <c r="H7" s="257"/>
      <c r="I7" s="256">
        <f>AVERAGE(L15:O15)</f>
        <v>87.601109248691458</v>
      </c>
      <c r="J7" s="257"/>
      <c r="K7" s="256">
        <f>AVERAGE(D33:O33)</f>
        <v>649.09228671878316</v>
      </c>
      <c r="L7" s="257"/>
      <c r="M7" s="256">
        <f>AVERAGE(P33:X33)</f>
        <v>655.35197642018011</v>
      </c>
      <c r="N7" s="257"/>
      <c r="O7" s="250"/>
      <c r="P7" s="250"/>
      <c r="Q7" s="250"/>
      <c r="R7" s="250"/>
    </row>
    <row r="8" spans="2:34" ht="28.5" customHeight="1">
      <c r="B8" s="290"/>
      <c r="C8" s="252" t="s">
        <v>24</v>
      </c>
      <c r="D8" s="253"/>
      <c r="E8" s="262">
        <f>AVERAGE(D16:O16,D34:X34)</f>
        <v>0.90597365221219683</v>
      </c>
      <c r="F8" s="263" t="e">
        <f>AVERAGE(D16:K16,#REF!)</f>
        <v>#REF!</v>
      </c>
      <c r="G8" s="241">
        <f>AVERAGE(D16:K16)</f>
        <v>0.90274669929058815</v>
      </c>
      <c r="H8" s="242"/>
      <c r="I8" s="241">
        <f>AVERAGE(L16:O16)</f>
        <v>0.92677882778852316</v>
      </c>
      <c r="J8" s="242"/>
      <c r="K8" s="241">
        <f>AVERAGE(D34:O34)</f>
        <v>0.90080591674166599</v>
      </c>
      <c r="L8" s="242"/>
      <c r="M8" s="241">
        <f>AVERAGE(P34:X34)</f>
        <v>0.90557922927697732</v>
      </c>
      <c r="N8" s="242"/>
      <c r="O8" s="251"/>
      <c r="P8" s="251"/>
      <c r="Q8" s="251"/>
      <c r="R8" s="25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9" t="s">
        <v>26</v>
      </c>
      <c r="C11" s="220"/>
      <c r="D11" s="243" t="s">
        <v>27</v>
      </c>
      <c r="E11" s="244"/>
      <c r="F11" s="244"/>
      <c r="G11" s="244"/>
      <c r="H11" s="244"/>
      <c r="I11" s="244"/>
      <c r="J11" s="244"/>
      <c r="K11" s="244"/>
      <c r="L11" s="245" t="s">
        <v>28</v>
      </c>
      <c r="M11" s="246"/>
      <c r="N11" s="246"/>
      <c r="O11" s="247"/>
    </row>
    <row r="12" spans="2:34" ht="17.25" customHeight="1">
      <c r="B12" s="235" t="s">
        <v>29</v>
      </c>
      <c r="C12" s="23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5"/>
      <c r="C13" s="23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U13" s="205"/>
      <c r="AB13" s="25"/>
      <c r="AC13" s="25"/>
      <c r="AD13" s="25"/>
      <c r="AE13" s="25"/>
    </row>
    <row r="14" spans="2:34" ht="40.15" customHeight="1">
      <c r="B14" s="248" t="s">
        <v>40</v>
      </c>
      <c r="C14" s="26" t="s">
        <v>41</v>
      </c>
      <c r="D14" s="27" t="s">
        <v>42</v>
      </c>
      <c r="E14" s="28">
        <v>85.245901639344268</v>
      </c>
      <c r="F14" s="28">
        <v>121.06796116504853</v>
      </c>
      <c r="G14" s="28">
        <v>88.235294117647058</v>
      </c>
      <c r="H14" s="28">
        <v>184.61538461538461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8"/>
      <c r="C15" s="33" t="s">
        <v>43</v>
      </c>
      <c r="D15" s="34" t="s">
        <v>42</v>
      </c>
      <c r="E15" s="35">
        <v>77.003808176069739</v>
      </c>
      <c r="F15" s="35">
        <v>109.2010834886523</v>
      </c>
      <c r="G15" s="35">
        <v>79.692796797343959</v>
      </c>
      <c r="H15" s="35">
        <v>165.70624005430875</v>
      </c>
      <c r="I15" s="35">
        <v>440.7373601106973</v>
      </c>
      <c r="J15" s="35">
        <v>633.33403636615594</v>
      </c>
      <c r="K15" s="36" t="s">
        <v>42</v>
      </c>
      <c r="L15" s="34" t="s">
        <v>42</v>
      </c>
      <c r="M15" s="204">
        <v>96.760714285714272</v>
      </c>
      <c r="N15" s="35">
        <v>78.441504211668644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8"/>
      <c r="C16" s="40" t="s">
        <v>44</v>
      </c>
      <c r="D16" s="41" t="s">
        <v>42</v>
      </c>
      <c r="E16" s="42">
        <f t="shared" ref="E16:J16" si="0">E15/E14</f>
        <v>0.90331390360389496</v>
      </c>
      <c r="F16" s="42">
        <f t="shared" si="0"/>
        <v>0.90198168398806644</v>
      </c>
      <c r="G16" s="42">
        <f t="shared" si="0"/>
        <v>0.90318503036989817</v>
      </c>
      <c r="H16" s="42">
        <f t="shared" si="0"/>
        <v>0.89757546696083912</v>
      </c>
      <c r="I16" s="42">
        <f t="shared" si="0"/>
        <v>0.90566120172632114</v>
      </c>
      <c r="J16" s="42">
        <f t="shared" si="0"/>
        <v>0.90476290909450852</v>
      </c>
      <c r="K16" s="43" t="s">
        <v>42</v>
      </c>
      <c r="L16" s="41" t="s">
        <v>42</v>
      </c>
      <c r="M16" s="44">
        <f>M15/M14</f>
        <v>0.95148035714285706</v>
      </c>
      <c r="N16" s="42">
        <f>N15/N14</f>
        <v>0.90207729843418938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34" t="s">
        <v>45</v>
      </c>
      <c r="C17" s="13" t="s">
        <v>46</v>
      </c>
      <c r="D17" s="46" t="s">
        <v>42</v>
      </c>
      <c r="E17" s="47">
        <v>0.20833333333333334</v>
      </c>
      <c r="F17" s="47">
        <v>0.25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5"/>
      <c r="C18" s="13" t="s">
        <v>47</v>
      </c>
      <c r="D18" s="46" t="s">
        <v>42</v>
      </c>
      <c r="E18" s="47">
        <v>0.6052777777777778</v>
      </c>
      <c r="F18" s="47">
        <v>0.56311342592592584</v>
      </c>
      <c r="G18" s="47">
        <v>0.58847222222222217</v>
      </c>
      <c r="H18" s="47">
        <v>0.38034722222222217</v>
      </c>
      <c r="I18" s="47">
        <v>0.468599537037037</v>
      </c>
      <c r="J18" s="47">
        <v>0.3014236111111111</v>
      </c>
      <c r="K18" s="47" t="s">
        <v>42</v>
      </c>
      <c r="L18" s="46" t="s">
        <v>42</v>
      </c>
      <c r="M18" s="48">
        <v>0.79268518518518527</v>
      </c>
      <c r="N18" s="47">
        <v>0.83416666666666672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6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7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6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7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5" t="s">
        <v>53</v>
      </c>
      <c r="C23" s="238"/>
      <c r="D23" s="56" t="s">
        <v>42</v>
      </c>
      <c r="E23" s="57">
        <v>20.333333333333332</v>
      </c>
      <c r="F23" s="57">
        <v>21.2</v>
      </c>
      <c r="G23" s="57">
        <v>22.666666666666668</v>
      </c>
      <c r="H23" s="57">
        <v>19.5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9" t="s">
        <v>54</v>
      </c>
      <c r="C24" s="240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9" t="s">
        <v>59</v>
      </c>
      <c r="C25" s="240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7" t="s">
        <v>60</v>
      </c>
      <c r="C26" s="218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9" t="s">
        <v>26</v>
      </c>
      <c r="C29" s="220"/>
      <c r="D29" s="221" t="s">
        <v>64</v>
      </c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3"/>
      <c r="P29" s="224" t="s">
        <v>65</v>
      </c>
      <c r="Q29" s="225"/>
      <c r="R29" s="225"/>
      <c r="S29" s="225"/>
      <c r="T29" s="225"/>
      <c r="U29" s="225"/>
      <c r="V29" s="225"/>
      <c r="W29" s="225"/>
      <c r="X29" s="226"/>
    </row>
    <row r="30" spans="2:44" ht="17.25" customHeight="1">
      <c r="B30" s="227" t="s">
        <v>29</v>
      </c>
      <c r="C30" s="22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9"/>
      <c r="C31" s="230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3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322.38805970149258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750</v>
      </c>
      <c r="N32" s="28">
        <v>920</v>
      </c>
      <c r="O32" s="28">
        <v>872.72727272727275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750</v>
      </c>
      <c r="W32" s="28">
        <v>923.07692307692298</v>
      </c>
      <c r="X32" s="31">
        <v>900</v>
      </c>
    </row>
    <row r="33" spans="2:24" ht="39.6" customHeight="1">
      <c r="B33" s="232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281.74985325278595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676.27928302139185</v>
      </c>
      <c r="N33" s="35">
        <v>844.01552893907285</v>
      </c>
      <c r="O33" s="35">
        <v>794.32448166188203</v>
      </c>
      <c r="P33" s="34">
        <v>260.16177158529615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697.36314747758604</v>
      </c>
      <c r="W33" s="35">
        <v>844.75411798845573</v>
      </c>
      <c r="X33" s="37">
        <v>819.12886862938217</v>
      </c>
    </row>
    <row r="34" spans="2:24" ht="40.15" customHeight="1">
      <c r="B34" s="233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0.87394630407114149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0.90170571069518912</v>
      </c>
      <c r="N34" s="42">
        <f>N33/N32</f>
        <v>0.917408183629427</v>
      </c>
      <c r="O34" s="42">
        <f>O33/O32</f>
        <v>0.91016346857090646</v>
      </c>
      <c r="P34" s="41">
        <f>P33/P32</f>
        <v>0.86720590528432051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0.92981752997011469</v>
      </c>
      <c r="W34" s="42">
        <f>W33/W32</f>
        <v>0.91515029448749385</v>
      </c>
      <c r="X34" s="45">
        <f>X33/X32</f>
        <v>0.91014318736598021</v>
      </c>
    </row>
    <row r="35" spans="2:24" ht="17.25" customHeight="1">
      <c r="B35" s="211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0.31875000000000003</v>
      </c>
      <c r="N35" s="47">
        <v>0.25</v>
      </c>
      <c r="O35" s="47">
        <v>0.25</v>
      </c>
      <c r="P35" s="46">
        <v>0.73819444444444438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0.7319444444444444</v>
      </c>
      <c r="X35" s="49">
        <v>0.7319444444444444</v>
      </c>
    </row>
    <row r="36" spans="2:24" ht="17.25" customHeight="1">
      <c r="B36" s="212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0.468599537037037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0.38738425925925923</v>
      </c>
      <c r="N36" s="47">
        <v>0.48090277777777801</v>
      </c>
      <c r="O36" s="47">
        <v>0.47339120370370391</v>
      </c>
      <c r="P36" s="46">
        <v>0.75070601851851848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0.72057870370370369</v>
      </c>
      <c r="W36" s="47">
        <v>1.0681828703703697</v>
      </c>
      <c r="X36" s="49">
        <v>1.0710069444444439</v>
      </c>
    </row>
    <row r="37" spans="2:24" ht="17.25" customHeight="1">
      <c r="B37" s="213" t="s">
        <v>53</v>
      </c>
      <c r="C37" s="214"/>
      <c r="D37" s="57" t="s">
        <v>42</v>
      </c>
      <c r="E37" s="57" t="s">
        <v>42</v>
      </c>
      <c r="F37" s="57" t="s">
        <v>42</v>
      </c>
      <c r="G37" s="57">
        <v>11.166666666666666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3.75</v>
      </c>
      <c r="O37" s="57">
        <v>4.125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</v>
      </c>
      <c r="W37" s="57">
        <v>3.7142857142857144</v>
      </c>
      <c r="X37" s="59">
        <v>4</v>
      </c>
    </row>
    <row r="38" spans="2:24" ht="17.25" customHeight="1">
      <c r="B38" s="213" t="s">
        <v>54</v>
      </c>
      <c r="C38" s="214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13" t="s">
        <v>59</v>
      </c>
      <c r="C39" s="21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5" t="s">
        <v>60</v>
      </c>
      <c r="C40" s="21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680C2-5565-491F-B956-54B793BB8B75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M42" sqref="M42"/>
      <selection pane="bottomLeft" activeCell="M42" sqref="M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71354</v>
      </c>
      <c r="E1" s="86" t="s">
        <v>3</v>
      </c>
      <c r="F1" s="87">
        <f>SUM(G5:G140)</f>
        <v>1432094.8599999999</v>
      </c>
      <c r="G1" s="88" t="s">
        <v>84</v>
      </c>
      <c r="H1" s="89">
        <f>L21+L38+L55+L72+L89+L106+L123+L140</f>
        <v>46.75595238095238</v>
      </c>
      <c r="I1" s="359" t="s">
        <v>85</v>
      </c>
      <c r="J1" s="360"/>
      <c r="K1" s="361"/>
      <c r="L1" s="365" t="s">
        <v>86</v>
      </c>
      <c r="M1" s="366"/>
      <c r="N1" s="367"/>
      <c r="O1" s="360" t="s">
        <v>87</v>
      </c>
      <c r="P1" s="360"/>
      <c r="Q1" s="360"/>
      <c r="R1" s="371"/>
      <c r="S1" s="359" t="s">
        <v>88</v>
      </c>
      <c r="T1" s="360"/>
      <c r="U1" s="360"/>
      <c r="V1" s="360"/>
      <c r="W1" s="360"/>
      <c r="X1" s="371"/>
      <c r="Y1" s="360" t="s">
        <v>89</v>
      </c>
      <c r="Z1" s="360"/>
      <c r="AA1" s="359" t="s">
        <v>90</v>
      </c>
      <c r="AB1" s="374"/>
      <c r="AC1" s="375"/>
    </row>
    <row r="2" spans="1:29" ht="26.25" customHeight="1" thickBot="1">
      <c r="A2" s="352">
        <v>46296</v>
      </c>
      <c r="B2" s="353"/>
      <c r="C2" s="90" t="s">
        <v>40</v>
      </c>
      <c r="D2" s="91">
        <f>AVERAGE(N21,N38,N55,N72,N89,N106,N123,N140)</f>
        <v>652.22213156948158</v>
      </c>
      <c r="E2" s="91" t="s">
        <v>91</v>
      </c>
      <c r="F2" s="92">
        <f>F1/D1</f>
        <v>20.070281413796</v>
      </c>
      <c r="G2" s="93" t="s">
        <v>92</v>
      </c>
      <c r="H2" s="94">
        <f>COUNT(H5:H140)</f>
        <v>14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93</v>
      </c>
      <c r="B3" s="356" t="s">
        <v>94</v>
      </c>
      <c r="C3" s="326" t="s">
        <v>95</v>
      </c>
      <c r="D3" s="326"/>
      <c r="E3" s="346" t="s">
        <v>96</v>
      </c>
      <c r="F3" s="326" t="s">
        <v>97</v>
      </c>
      <c r="G3" s="346" t="s">
        <v>98</v>
      </c>
      <c r="H3" s="348" t="s">
        <v>99</v>
      </c>
      <c r="I3" s="338" t="s">
        <v>100</v>
      </c>
      <c r="J3" s="334" t="s">
        <v>101</v>
      </c>
      <c r="K3" s="336" t="s">
        <v>40</v>
      </c>
      <c r="L3" s="350" t="s">
        <v>100</v>
      </c>
      <c r="M3" s="334" t="s">
        <v>101</v>
      </c>
      <c r="N3" s="336" t="s">
        <v>40</v>
      </c>
      <c r="O3" s="338" t="s">
        <v>100</v>
      </c>
      <c r="P3" s="340" t="s">
        <v>40</v>
      </c>
      <c r="Q3" s="342" t="s">
        <v>102</v>
      </c>
      <c r="R3" s="344" t="s">
        <v>103</v>
      </c>
      <c r="S3" s="322" t="s">
        <v>104</v>
      </c>
      <c r="T3" s="323"/>
      <c r="U3" s="324" t="s">
        <v>105</v>
      </c>
      <c r="V3" s="324" t="s">
        <v>106</v>
      </c>
      <c r="W3" s="326" t="s">
        <v>107</v>
      </c>
      <c r="X3" s="327"/>
      <c r="Y3" s="328" t="s">
        <v>108</v>
      </c>
      <c r="Z3" s="329"/>
      <c r="AA3" s="332" t="s">
        <v>101</v>
      </c>
      <c r="AB3" s="318" t="s">
        <v>102</v>
      </c>
      <c r="AC3" s="320" t="s">
        <v>109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201" t="s">
        <v>110</v>
      </c>
      <c r="T4" s="202" t="s">
        <v>111</v>
      </c>
      <c r="U4" s="325"/>
      <c r="V4" s="325"/>
      <c r="W4" s="97" t="s">
        <v>112</v>
      </c>
      <c r="X4" s="67" t="s">
        <v>113</v>
      </c>
      <c r="Y4" s="330"/>
      <c r="Z4" s="331"/>
      <c r="AA4" s="333"/>
      <c r="AB4" s="319"/>
      <c r="AC4" s="321"/>
    </row>
    <row r="5" spans="1:29" ht="15.75" customHeight="1">
      <c r="A5" s="315" t="s">
        <v>116</v>
      </c>
      <c r="B5" s="144" t="s">
        <v>114</v>
      </c>
      <c r="C5" s="305" t="s">
        <v>117</v>
      </c>
      <c r="D5" s="306"/>
      <c r="E5" s="145">
        <v>25.64</v>
      </c>
      <c r="F5" s="95">
        <v>1132</v>
      </c>
      <c r="G5" s="146">
        <f t="shared" ref="G5:G10" si="0">E5*F5</f>
        <v>29024.48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 t="shared" ref="M5:M10" si="1">F5/V5*60</f>
        <v>3216.5295511531822</v>
      </c>
      <c r="N5" s="150">
        <f t="shared" ref="N5:N10" si="2">M5/L5</f>
        <v>321.65295511531821</v>
      </c>
      <c r="O5" s="152">
        <f t="shared" ref="O5:O10" si="3">L5-I5</f>
        <v>0</v>
      </c>
      <c r="P5" s="153">
        <f t="shared" ref="P5:P10" si="4">N5-K5</f>
        <v>-38.347044884681793</v>
      </c>
      <c r="Q5" s="154">
        <f t="shared" ref="Q5:Q10" si="5">N5/K5</f>
        <v>0.89348043087588391</v>
      </c>
      <c r="R5" s="307">
        <f>Q21</f>
        <v>0.87394630407114149</v>
      </c>
      <c r="S5" s="155">
        <v>0.25</v>
      </c>
      <c r="T5" s="156">
        <v>0.26465277777777779</v>
      </c>
      <c r="U5" s="157"/>
      <c r="V5" s="158">
        <v>21.115926006540025</v>
      </c>
      <c r="W5" s="159"/>
      <c r="X5" s="160"/>
      <c r="Y5" s="310"/>
      <c r="Z5" s="311"/>
      <c r="AA5" s="113">
        <f t="shared" ref="AA5:AA10" si="6">M5-J5</f>
        <v>-383.47044884681782</v>
      </c>
      <c r="AB5" s="154">
        <f t="shared" ref="AB5:AB10" si="7">M5/J5</f>
        <v>0.89348043087588391</v>
      </c>
      <c r="AC5" s="312">
        <f>AB21</f>
        <v>0.8739463040711416</v>
      </c>
    </row>
    <row r="6" spans="1:29" ht="15.75" customHeight="1">
      <c r="A6" s="316"/>
      <c r="B6" s="98" t="s">
        <v>114</v>
      </c>
      <c r="C6" s="297" t="s">
        <v>191</v>
      </c>
      <c r="D6" s="298"/>
      <c r="E6" s="99">
        <v>29.52</v>
      </c>
      <c r="F6" s="100">
        <v>1930</v>
      </c>
      <c r="G6" s="101">
        <f t="shared" si="0"/>
        <v>56973.599999999999</v>
      </c>
      <c r="H6" s="26"/>
      <c r="I6" s="102">
        <v>11</v>
      </c>
      <c r="J6" s="103">
        <v>3600</v>
      </c>
      <c r="K6" s="104">
        <f t="shared" ref="K6:K10" si="8">J6/I6</f>
        <v>327.27272727272725</v>
      </c>
      <c r="L6" s="105">
        <v>11</v>
      </c>
      <c r="M6" s="103">
        <f t="shared" si="1"/>
        <v>3156.4434890742373</v>
      </c>
      <c r="N6" s="104">
        <f t="shared" si="2"/>
        <v>286.94940809765791</v>
      </c>
      <c r="O6" s="106">
        <f t="shared" si="3"/>
        <v>0</v>
      </c>
      <c r="P6" s="107">
        <f t="shared" si="4"/>
        <v>-40.323319175069344</v>
      </c>
      <c r="Q6" s="108">
        <f t="shared" si="5"/>
        <v>0.87678985807617704</v>
      </c>
      <c r="R6" s="308"/>
      <c r="S6" s="46">
        <v>0.26805555555555555</v>
      </c>
      <c r="T6" s="47">
        <v>0.29353009259259261</v>
      </c>
      <c r="U6" s="109">
        <v>4.8999999999999666</v>
      </c>
      <c r="V6" s="110">
        <v>36.686859879111388</v>
      </c>
      <c r="W6" s="111"/>
      <c r="X6" s="114"/>
      <c r="Y6" s="299"/>
      <c r="Z6" s="300"/>
      <c r="AA6" s="115">
        <f t="shared" si="6"/>
        <v>-443.55651092576272</v>
      </c>
      <c r="AB6" s="108">
        <f t="shared" si="7"/>
        <v>0.87678985807617704</v>
      </c>
      <c r="AC6" s="313"/>
    </row>
    <row r="7" spans="1:29" ht="15.75" customHeight="1">
      <c r="A7" s="316"/>
      <c r="B7" s="98" t="s">
        <v>114</v>
      </c>
      <c r="C7" s="297" t="s">
        <v>192</v>
      </c>
      <c r="D7" s="298"/>
      <c r="E7" s="99">
        <v>29.85</v>
      </c>
      <c r="F7" s="100">
        <v>2275</v>
      </c>
      <c r="G7" s="101">
        <f t="shared" si="0"/>
        <v>67908.75</v>
      </c>
      <c r="H7" s="26"/>
      <c r="I7" s="102">
        <v>11</v>
      </c>
      <c r="J7" s="103">
        <v>3600</v>
      </c>
      <c r="K7" s="104">
        <f t="shared" si="8"/>
        <v>327.27272727272725</v>
      </c>
      <c r="L7" s="105">
        <v>11</v>
      </c>
      <c r="M7" s="103">
        <f t="shared" si="1"/>
        <v>3155.7514377596476</v>
      </c>
      <c r="N7" s="104">
        <f t="shared" si="2"/>
        <v>286.88649434178615</v>
      </c>
      <c r="O7" s="106">
        <f t="shared" si="3"/>
        <v>0</v>
      </c>
      <c r="P7" s="107">
        <f t="shared" si="4"/>
        <v>-40.386232930941105</v>
      </c>
      <c r="Q7" s="108">
        <f t="shared" si="5"/>
        <v>0.87659762159990218</v>
      </c>
      <c r="R7" s="308"/>
      <c r="S7" s="46">
        <v>0.29652777777777778</v>
      </c>
      <c r="T7" s="47">
        <v>0.32656249999999998</v>
      </c>
      <c r="U7" s="109">
        <v>5</v>
      </c>
      <c r="V7" s="110">
        <v>43.254357224314532</v>
      </c>
      <c r="W7" s="111"/>
      <c r="X7" s="114"/>
      <c r="Y7" s="299"/>
      <c r="Z7" s="300"/>
      <c r="AA7" s="115">
        <f t="shared" si="6"/>
        <v>-444.24856224035238</v>
      </c>
      <c r="AB7" s="108">
        <f t="shared" si="7"/>
        <v>0.87659762159990207</v>
      </c>
      <c r="AC7" s="313"/>
    </row>
    <row r="8" spans="1:29" ht="15.75" customHeight="1">
      <c r="A8" s="316"/>
      <c r="B8" s="98" t="s">
        <v>114</v>
      </c>
      <c r="C8" s="297" t="s">
        <v>208</v>
      </c>
      <c r="D8" s="298"/>
      <c r="E8" s="99">
        <v>30</v>
      </c>
      <c r="F8" s="100">
        <v>175</v>
      </c>
      <c r="G8" s="101">
        <f t="shared" si="0"/>
        <v>5250</v>
      </c>
      <c r="H8" s="26"/>
      <c r="I8" s="102">
        <v>11</v>
      </c>
      <c r="J8" s="103">
        <v>3600</v>
      </c>
      <c r="K8" s="104">
        <f t="shared" si="8"/>
        <v>327.27272727272725</v>
      </c>
      <c r="L8" s="105">
        <v>11</v>
      </c>
      <c r="M8" s="103">
        <f t="shared" si="1"/>
        <v>3156.6272902507608</v>
      </c>
      <c r="N8" s="104">
        <f t="shared" si="2"/>
        <v>286.9661172955237</v>
      </c>
      <c r="O8" s="106">
        <f t="shared" si="3"/>
        <v>0</v>
      </c>
      <c r="P8" s="107">
        <f t="shared" si="4"/>
        <v>-40.30660997720355</v>
      </c>
      <c r="Q8" s="108">
        <f t="shared" si="5"/>
        <v>0.87684091395854469</v>
      </c>
      <c r="R8" s="308"/>
      <c r="S8" s="46">
        <v>0.33055555555555555</v>
      </c>
      <c r="T8" s="47">
        <v>0.33285879629629628</v>
      </c>
      <c r="U8" s="109">
        <v>5.7500000000000195</v>
      </c>
      <c r="V8" s="110">
        <v>3.3263350514738428</v>
      </c>
      <c r="W8" s="111"/>
      <c r="X8" s="114"/>
      <c r="Y8" s="299"/>
      <c r="Z8" s="300"/>
      <c r="AA8" s="115">
        <f t="shared" si="6"/>
        <v>-443.37270974923922</v>
      </c>
      <c r="AB8" s="108">
        <f t="shared" si="7"/>
        <v>0.87684091395854469</v>
      </c>
      <c r="AC8" s="313"/>
    </row>
    <row r="9" spans="1:29" ht="15.75" customHeight="1">
      <c r="A9" s="316"/>
      <c r="B9" s="98" t="s">
        <v>114</v>
      </c>
      <c r="C9" s="297" t="s">
        <v>224</v>
      </c>
      <c r="D9" s="298"/>
      <c r="E9" s="99">
        <v>30.95</v>
      </c>
      <c r="F9" s="100">
        <v>2067</v>
      </c>
      <c r="G9" s="101">
        <f t="shared" si="0"/>
        <v>63973.65</v>
      </c>
      <c r="H9" s="13"/>
      <c r="I9" s="102">
        <v>12</v>
      </c>
      <c r="J9" s="103">
        <v>3600</v>
      </c>
      <c r="K9" s="104">
        <f t="shared" si="8"/>
        <v>300</v>
      </c>
      <c r="L9" s="105">
        <v>12</v>
      </c>
      <c r="M9" s="103">
        <f t="shared" si="1"/>
        <v>3070.9009439999986</v>
      </c>
      <c r="N9" s="104">
        <f t="shared" si="2"/>
        <v>255.90841199999988</v>
      </c>
      <c r="O9" s="106">
        <f t="shared" si="3"/>
        <v>0</v>
      </c>
      <c r="P9" s="107">
        <f t="shared" si="4"/>
        <v>-44.091588000000115</v>
      </c>
      <c r="Q9" s="108">
        <f t="shared" si="5"/>
        <v>0.85302803999999965</v>
      </c>
      <c r="R9" s="308"/>
      <c r="S9" s="46">
        <v>0.33611111111111108</v>
      </c>
      <c r="T9" s="47">
        <v>0.36415509259259254</v>
      </c>
      <c r="U9" s="109">
        <v>4.6833333333333194</v>
      </c>
      <c r="V9" s="110">
        <v>40.385542308785084</v>
      </c>
      <c r="W9" s="111"/>
      <c r="X9" s="114"/>
      <c r="Y9" s="299"/>
      <c r="Z9" s="300"/>
      <c r="AA9" s="115">
        <f t="shared" si="6"/>
        <v>-529.09905600000138</v>
      </c>
      <c r="AB9" s="108">
        <f t="shared" si="7"/>
        <v>0.85302803999999965</v>
      </c>
      <c r="AC9" s="313"/>
    </row>
    <row r="10" spans="1:29" ht="15.75" customHeight="1">
      <c r="A10" s="316"/>
      <c r="B10" s="98" t="s">
        <v>118</v>
      </c>
      <c r="C10" s="297" t="s">
        <v>119</v>
      </c>
      <c r="D10" s="298"/>
      <c r="E10" s="99">
        <v>28.57</v>
      </c>
      <c r="F10" s="100">
        <v>736</v>
      </c>
      <c r="G10" s="119">
        <f t="shared" si="0"/>
        <v>21027.52</v>
      </c>
      <c r="H10" s="120"/>
      <c r="I10" s="102">
        <v>12</v>
      </c>
      <c r="J10" s="103">
        <v>3600</v>
      </c>
      <c r="K10" s="104">
        <f t="shared" si="8"/>
        <v>300</v>
      </c>
      <c r="L10" s="105">
        <v>12</v>
      </c>
      <c r="M10" s="103">
        <f t="shared" si="1"/>
        <v>3120.9874556988343</v>
      </c>
      <c r="N10" s="104">
        <f t="shared" si="2"/>
        <v>260.08228797490284</v>
      </c>
      <c r="O10" s="106">
        <f t="shared" si="3"/>
        <v>0</v>
      </c>
      <c r="P10" s="107">
        <f t="shared" si="4"/>
        <v>-39.91771202509716</v>
      </c>
      <c r="Q10" s="108">
        <f t="shared" si="5"/>
        <v>0.86694095991634279</v>
      </c>
      <c r="R10" s="308"/>
      <c r="S10" s="46">
        <v>0.36736111111111108</v>
      </c>
      <c r="T10" s="118">
        <v>0.37717592592592591</v>
      </c>
      <c r="U10" s="109">
        <v>4.6166666666666956</v>
      </c>
      <c r="V10" s="110">
        <v>14.149367989084704</v>
      </c>
      <c r="W10" s="111"/>
      <c r="X10" s="114"/>
      <c r="Y10" s="299"/>
      <c r="Z10" s="300"/>
      <c r="AA10" s="115">
        <f t="shared" si="6"/>
        <v>-479.01254430116569</v>
      </c>
      <c r="AB10" s="108">
        <f t="shared" si="7"/>
        <v>0.8669409599163429</v>
      </c>
      <c r="AC10" s="313"/>
    </row>
    <row r="11" spans="1:29" ht="15.75" customHeight="1">
      <c r="A11" s="316"/>
      <c r="B11" s="98"/>
      <c r="C11" s="297"/>
      <c r="D11" s="298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8"/>
      <c r="S11" s="46"/>
      <c r="T11" s="118"/>
      <c r="U11" s="109"/>
      <c r="V11" s="110"/>
      <c r="W11" s="111"/>
      <c r="X11" s="114"/>
      <c r="Y11" s="299"/>
      <c r="Z11" s="300"/>
      <c r="AA11" s="115"/>
      <c r="AB11" s="108"/>
      <c r="AC11" s="313"/>
    </row>
    <row r="12" spans="1:29" ht="15.75" customHeight="1">
      <c r="A12" s="316"/>
      <c r="B12" s="98"/>
      <c r="C12" s="297"/>
      <c r="D12" s="298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8"/>
      <c r="S12" s="46"/>
      <c r="T12" s="118"/>
      <c r="U12" s="109"/>
      <c r="V12" s="110"/>
      <c r="W12" s="111"/>
      <c r="X12" s="114"/>
      <c r="Y12" s="299"/>
      <c r="Z12" s="300"/>
      <c r="AA12" s="115"/>
      <c r="AB12" s="108"/>
      <c r="AC12" s="313"/>
    </row>
    <row r="13" spans="1:29" ht="15.75" customHeight="1">
      <c r="A13" s="316"/>
      <c r="B13" s="98"/>
      <c r="C13" s="297"/>
      <c r="D13" s="298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8"/>
      <c r="S13" s="46"/>
      <c r="T13" s="118"/>
      <c r="U13" s="109"/>
      <c r="V13" s="110"/>
      <c r="W13" s="111"/>
      <c r="X13" s="125"/>
      <c r="Y13" s="299"/>
      <c r="Z13" s="300"/>
      <c r="AA13" s="115"/>
      <c r="AB13" s="108"/>
      <c r="AC13" s="313"/>
    </row>
    <row r="14" spans="1:29" ht="15.75" customHeight="1">
      <c r="A14" s="316"/>
      <c r="B14" s="98"/>
      <c r="C14" s="297"/>
      <c r="D14" s="298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8"/>
      <c r="S14" s="46"/>
      <c r="T14" s="118"/>
      <c r="U14" s="109"/>
      <c r="V14" s="110"/>
      <c r="W14" s="111"/>
      <c r="X14" s="125"/>
      <c r="Y14" s="299"/>
      <c r="Z14" s="300"/>
      <c r="AA14" s="115"/>
      <c r="AB14" s="108"/>
      <c r="AC14" s="313"/>
    </row>
    <row r="15" spans="1:29" ht="15.75" customHeight="1">
      <c r="A15" s="316"/>
      <c r="B15" s="98"/>
      <c r="C15" s="297"/>
      <c r="D15" s="298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8"/>
      <c r="S15" s="46"/>
      <c r="T15" s="118"/>
      <c r="U15" s="109"/>
      <c r="V15" s="110"/>
      <c r="W15" s="111"/>
      <c r="X15" s="125"/>
      <c r="Y15" s="299"/>
      <c r="Z15" s="300"/>
      <c r="AA15" s="115"/>
      <c r="AB15" s="108"/>
      <c r="AC15" s="313"/>
    </row>
    <row r="16" spans="1:29" ht="15.75" customHeight="1">
      <c r="A16" s="316"/>
      <c r="B16" s="98"/>
      <c r="C16" s="297"/>
      <c r="D16" s="298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8"/>
      <c r="S16" s="46"/>
      <c r="T16" s="118"/>
      <c r="U16" s="109"/>
      <c r="V16" s="110"/>
      <c r="W16" s="111"/>
      <c r="X16" s="125"/>
      <c r="Y16" s="299"/>
      <c r="Z16" s="300"/>
      <c r="AA16" s="115"/>
      <c r="AB16" s="108"/>
      <c r="AC16" s="313"/>
    </row>
    <row r="17" spans="1:29" ht="15.75" customHeight="1">
      <c r="A17" s="316"/>
      <c r="B17" s="98"/>
      <c r="C17" s="297"/>
      <c r="D17" s="298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8"/>
      <c r="S17" s="46"/>
      <c r="T17" s="118"/>
      <c r="U17" s="109"/>
      <c r="V17" s="110"/>
      <c r="W17" s="111"/>
      <c r="X17" s="125"/>
      <c r="Y17" s="299"/>
      <c r="Z17" s="300"/>
      <c r="AA17" s="115"/>
      <c r="AB17" s="108"/>
      <c r="AC17" s="313"/>
    </row>
    <row r="18" spans="1:29" ht="15.75" customHeight="1">
      <c r="A18" s="316"/>
      <c r="B18" s="98"/>
      <c r="C18" s="297"/>
      <c r="D18" s="298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8"/>
      <c r="S18" s="46"/>
      <c r="T18" s="118"/>
      <c r="U18" s="109"/>
      <c r="V18" s="110"/>
      <c r="W18" s="111"/>
      <c r="X18" s="125"/>
      <c r="Y18" s="299"/>
      <c r="Z18" s="300"/>
      <c r="AA18" s="115"/>
      <c r="AB18" s="108"/>
      <c r="AC18" s="313"/>
    </row>
    <row r="19" spans="1:29" ht="15.75" customHeight="1">
      <c r="A19" s="316"/>
      <c r="B19" s="98"/>
      <c r="C19" s="297"/>
      <c r="D19" s="298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8"/>
      <c r="S19" s="46"/>
      <c r="T19" s="118"/>
      <c r="U19" s="109"/>
      <c r="V19" s="110"/>
      <c r="W19" s="111"/>
      <c r="X19" s="125"/>
      <c r="Y19" s="299"/>
      <c r="Z19" s="300"/>
      <c r="AA19" s="115"/>
      <c r="AB19" s="108"/>
      <c r="AC19" s="313"/>
    </row>
    <row r="20" spans="1:29" ht="15.75" customHeight="1">
      <c r="A20" s="316"/>
      <c r="B20" s="161"/>
      <c r="C20" s="297"/>
      <c r="D20" s="298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8"/>
      <c r="S20" s="117"/>
      <c r="T20" s="118"/>
      <c r="U20" s="128"/>
      <c r="V20" s="129"/>
      <c r="W20" s="124"/>
      <c r="X20" s="125"/>
      <c r="Y20" s="299"/>
      <c r="Z20" s="300"/>
      <c r="AA20" s="163"/>
      <c r="AB20" s="123"/>
      <c r="AC20" s="313"/>
    </row>
    <row r="21" spans="1:29" ht="15.75" customHeight="1" thickBot="1">
      <c r="A21" s="317"/>
      <c r="B21" s="131" t="s">
        <v>115</v>
      </c>
      <c r="C21" s="294"/>
      <c r="D21" s="294"/>
      <c r="E21" s="132"/>
      <c r="F21" s="165"/>
      <c r="G21" s="133"/>
      <c r="H21" s="67"/>
      <c r="I21" s="134">
        <f t="shared" ref="I21:J21" si="9">AVERAGE(I5:I20)</f>
        <v>11.166666666666666</v>
      </c>
      <c r="J21" s="135">
        <f t="shared" si="9"/>
        <v>3600</v>
      </c>
      <c r="K21" s="136">
        <f t="shared" ref="K21" si="10">J21/I21</f>
        <v>322.38805970149258</v>
      </c>
      <c r="L21" s="134">
        <f t="shared" ref="L21:M21" si="11">AVERAGE(L5:L20)</f>
        <v>11.166666666666666</v>
      </c>
      <c r="M21" s="135">
        <f t="shared" si="11"/>
        <v>3146.2066946561099</v>
      </c>
      <c r="N21" s="136">
        <f>M21/L21</f>
        <v>281.74985325278595</v>
      </c>
      <c r="O21" s="137">
        <f>L21-I21</f>
        <v>0</v>
      </c>
      <c r="P21" s="138">
        <f>N21-K21</f>
        <v>-40.638206448706626</v>
      </c>
      <c r="Q21" s="139">
        <f>N21/K21</f>
        <v>0.87394630407114149</v>
      </c>
      <c r="R21" s="309"/>
      <c r="S21" s="140">
        <v>0.25</v>
      </c>
      <c r="T21" s="141">
        <v>0.468599537037037</v>
      </c>
      <c r="U21" s="142"/>
      <c r="V21" s="164"/>
      <c r="W21" s="165"/>
      <c r="X21" s="136"/>
      <c r="Y21" s="295"/>
      <c r="Z21" s="296"/>
      <c r="AA21" s="166">
        <f>M21-J21</f>
        <v>-453.7933053438901</v>
      </c>
      <c r="AB21" s="139">
        <f>M21/J21</f>
        <v>0.8739463040711416</v>
      </c>
      <c r="AC21" s="314"/>
    </row>
    <row r="22" spans="1:29" ht="15.75" customHeight="1">
      <c r="A22" s="301" t="s">
        <v>121</v>
      </c>
      <c r="B22" s="112" t="s">
        <v>118</v>
      </c>
      <c r="C22" s="305" t="s">
        <v>182</v>
      </c>
      <c r="D22" s="306"/>
      <c r="E22" s="145">
        <v>18.53</v>
      </c>
      <c r="F22" s="95">
        <v>1443</v>
      </c>
      <c r="G22" s="146">
        <f t="shared" ref="G22:G23" si="12">E22*F22</f>
        <v>26738.79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3072.8571850421617</v>
      </c>
      <c r="N22" s="150">
        <f>M22/L22</f>
        <v>1024.2857283473872</v>
      </c>
      <c r="O22" s="152">
        <f>L22-I22</f>
        <v>0</v>
      </c>
      <c r="P22" s="153">
        <f>N22-K22</f>
        <v>-75.714271652612751</v>
      </c>
      <c r="Q22" s="154">
        <f>N22/K22</f>
        <v>0.93116884395217026</v>
      </c>
      <c r="R22" s="307">
        <f>Q38</f>
        <v>0.90170571069518912</v>
      </c>
      <c r="S22" s="155">
        <v>0.31875000000000003</v>
      </c>
      <c r="T22" s="156">
        <v>0.33831018518518524</v>
      </c>
      <c r="U22" s="157"/>
      <c r="V22" s="110">
        <v>28.175731830769109</v>
      </c>
      <c r="W22" s="159"/>
      <c r="X22" s="160"/>
      <c r="Y22" s="310"/>
      <c r="Z22" s="311"/>
      <c r="AA22" s="113">
        <f>M22-J22</f>
        <v>-227.14281495783825</v>
      </c>
      <c r="AB22" s="154">
        <f>M22/J22</f>
        <v>0.93116884395217026</v>
      </c>
      <c r="AC22" s="312">
        <f>AB38</f>
        <v>0.90170571069518912</v>
      </c>
    </row>
    <row r="23" spans="1:29" ht="15.75" customHeight="1">
      <c r="A23" s="302"/>
      <c r="B23" s="98" t="s">
        <v>118</v>
      </c>
      <c r="C23" s="297" t="s">
        <v>225</v>
      </c>
      <c r="D23" s="298"/>
      <c r="E23" s="99">
        <v>22.95</v>
      </c>
      <c r="F23" s="100">
        <v>2526</v>
      </c>
      <c r="G23" s="101">
        <f t="shared" si="12"/>
        <v>57971.7</v>
      </c>
      <c r="H23" s="26"/>
      <c r="I23" s="102">
        <v>5</v>
      </c>
      <c r="J23" s="103">
        <v>2700</v>
      </c>
      <c r="K23" s="104">
        <f t="shared" ref="K23" si="13">J23/I23</f>
        <v>540</v>
      </c>
      <c r="L23" s="105">
        <v>5</v>
      </c>
      <c r="M23" s="103">
        <f>F23/V23*60</f>
        <v>2337.3770791289735</v>
      </c>
      <c r="N23" s="104">
        <f>M23/L23</f>
        <v>467.4754158257947</v>
      </c>
      <c r="O23" s="106">
        <f>L23-I23</f>
        <v>0</v>
      </c>
      <c r="P23" s="107">
        <f>N23-K23</f>
        <v>-72.524584174205302</v>
      </c>
      <c r="Q23" s="108">
        <f>N23/K23</f>
        <v>0.86569521449221243</v>
      </c>
      <c r="R23" s="308"/>
      <c r="S23" s="46">
        <v>0.34236111111111112</v>
      </c>
      <c r="T23" s="47">
        <v>0.38738425925925923</v>
      </c>
      <c r="U23" s="109">
        <v>5.8333333333332593</v>
      </c>
      <c r="V23" s="110">
        <v>64.841912481010141</v>
      </c>
      <c r="W23" s="111"/>
      <c r="X23" s="114"/>
      <c r="Y23" s="299"/>
      <c r="Z23" s="300"/>
      <c r="AA23" s="115">
        <f>M23-J23</f>
        <v>-362.62292087102651</v>
      </c>
      <c r="AB23" s="108">
        <f>M23/J23</f>
        <v>0.86569521449221243</v>
      </c>
      <c r="AC23" s="313"/>
    </row>
    <row r="24" spans="1:29" ht="15.75" customHeight="1">
      <c r="A24" s="302"/>
      <c r="B24" s="98"/>
      <c r="C24" s="297"/>
      <c r="D24" s="298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08"/>
      <c r="S24" s="46"/>
      <c r="T24" s="47"/>
      <c r="U24" s="109"/>
      <c r="V24" s="110"/>
      <c r="W24" s="111"/>
      <c r="X24" s="114"/>
      <c r="Y24" s="299"/>
      <c r="Z24" s="300"/>
      <c r="AA24" s="115"/>
      <c r="AB24" s="108"/>
      <c r="AC24" s="313"/>
    </row>
    <row r="25" spans="1:29" ht="15.75" customHeight="1">
      <c r="A25" s="302"/>
      <c r="B25" s="98"/>
      <c r="C25" s="297"/>
      <c r="D25" s="298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8"/>
      <c r="S25" s="46"/>
      <c r="T25" s="47"/>
      <c r="U25" s="109"/>
      <c r="V25" s="110"/>
      <c r="W25" s="111"/>
      <c r="X25" s="114"/>
      <c r="Y25" s="299"/>
      <c r="Z25" s="300"/>
      <c r="AA25" s="115"/>
      <c r="AB25" s="108"/>
      <c r="AC25" s="313"/>
    </row>
    <row r="26" spans="1:29" ht="15.75" customHeight="1">
      <c r="A26" s="303"/>
      <c r="B26" s="98"/>
      <c r="C26" s="297"/>
      <c r="D26" s="298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8"/>
      <c r="S26" s="46"/>
      <c r="T26" s="47"/>
      <c r="U26" s="109"/>
      <c r="V26" s="110"/>
      <c r="W26" s="111"/>
      <c r="X26" s="114"/>
      <c r="Y26" s="299"/>
      <c r="Z26" s="300"/>
      <c r="AA26" s="115"/>
      <c r="AB26" s="108"/>
      <c r="AC26" s="313"/>
    </row>
    <row r="27" spans="1:29" ht="15.75" customHeight="1">
      <c r="A27" s="303"/>
      <c r="B27" s="98"/>
      <c r="C27" s="297"/>
      <c r="D27" s="298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8"/>
      <c r="S27" s="46"/>
      <c r="T27" s="118"/>
      <c r="U27" s="109"/>
      <c r="V27" s="110"/>
      <c r="W27" s="111"/>
      <c r="X27" s="114"/>
      <c r="Y27" s="299"/>
      <c r="Z27" s="300"/>
      <c r="AA27" s="115"/>
      <c r="AB27" s="108"/>
      <c r="AC27" s="313"/>
    </row>
    <row r="28" spans="1:29" ht="15.75" customHeight="1">
      <c r="A28" s="303"/>
      <c r="B28" s="98"/>
      <c r="C28" s="297"/>
      <c r="D28" s="298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8"/>
      <c r="S28" s="46"/>
      <c r="T28" s="118"/>
      <c r="U28" s="109"/>
      <c r="V28" s="110"/>
      <c r="W28" s="111"/>
      <c r="X28" s="114"/>
      <c r="Y28" s="299"/>
      <c r="Z28" s="300"/>
      <c r="AA28" s="115"/>
      <c r="AB28" s="108"/>
      <c r="AC28" s="313"/>
    </row>
    <row r="29" spans="1:29" ht="15.75" customHeight="1">
      <c r="A29" s="303"/>
      <c r="B29" s="98"/>
      <c r="C29" s="297"/>
      <c r="D29" s="298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8"/>
      <c r="S29" s="46"/>
      <c r="T29" s="118"/>
      <c r="U29" s="109"/>
      <c r="V29" s="110"/>
      <c r="W29" s="111"/>
      <c r="X29" s="114"/>
      <c r="Y29" s="299"/>
      <c r="Z29" s="300"/>
      <c r="AA29" s="115"/>
      <c r="AB29" s="108"/>
      <c r="AC29" s="313"/>
    </row>
    <row r="30" spans="1:29" ht="15.75" customHeight="1">
      <c r="A30" s="303"/>
      <c r="B30" s="98"/>
      <c r="C30" s="297"/>
      <c r="D30" s="298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8"/>
      <c r="S30" s="46"/>
      <c r="T30" s="118"/>
      <c r="U30" s="109"/>
      <c r="V30" s="110"/>
      <c r="W30" s="111"/>
      <c r="X30" s="114"/>
      <c r="Y30" s="299"/>
      <c r="Z30" s="300"/>
      <c r="AA30" s="115"/>
      <c r="AB30" s="108"/>
      <c r="AC30" s="313"/>
    </row>
    <row r="31" spans="1:29" ht="15.75" customHeight="1">
      <c r="A31" s="303"/>
      <c r="B31" s="98"/>
      <c r="C31" s="297"/>
      <c r="D31" s="298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8"/>
      <c r="S31" s="46"/>
      <c r="T31" s="118"/>
      <c r="U31" s="109"/>
      <c r="V31" s="110"/>
      <c r="W31" s="111"/>
      <c r="X31" s="114"/>
      <c r="Y31" s="299"/>
      <c r="Z31" s="300"/>
      <c r="AA31" s="115"/>
      <c r="AB31" s="108"/>
      <c r="AC31" s="313"/>
    </row>
    <row r="32" spans="1:29" ht="15.75" customHeight="1">
      <c r="A32" s="303"/>
      <c r="B32" s="98"/>
      <c r="C32" s="297"/>
      <c r="D32" s="298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8"/>
      <c r="S32" s="46"/>
      <c r="T32" s="118"/>
      <c r="U32" s="109"/>
      <c r="V32" s="110"/>
      <c r="W32" s="111"/>
      <c r="X32" s="114"/>
      <c r="Y32" s="299"/>
      <c r="Z32" s="300"/>
      <c r="AA32" s="115"/>
      <c r="AB32" s="108"/>
      <c r="AC32" s="313"/>
    </row>
    <row r="33" spans="1:29" ht="15.75" customHeight="1">
      <c r="A33" s="303"/>
      <c r="B33" s="98"/>
      <c r="C33" s="297"/>
      <c r="D33" s="298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8"/>
      <c r="S33" s="46"/>
      <c r="T33" s="118"/>
      <c r="U33" s="109"/>
      <c r="V33" s="110"/>
      <c r="W33" s="111"/>
      <c r="X33" s="114"/>
      <c r="Y33" s="299"/>
      <c r="Z33" s="300"/>
      <c r="AA33" s="115"/>
      <c r="AB33" s="108"/>
      <c r="AC33" s="313"/>
    </row>
    <row r="34" spans="1:29" ht="15.75" customHeight="1">
      <c r="A34" s="303"/>
      <c r="B34" s="98"/>
      <c r="C34" s="297"/>
      <c r="D34" s="298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8"/>
      <c r="S34" s="46"/>
      <c r="T34" s="118"/>
      <c r="U34" s="109"/>
      <c r="V34" s="110"/>
      <c r="W34" s="111"/>
      <c r="X34" s="114"/>
      <c r="Y34" s="299"/>
      <c r="Z34" s="300"/>
      <c r="AA34" s="115"/>
      <c r="AB34" s="108"/>
      <c r="AC34" s="313"/>
    </row>
    <row r="35" spans="1:29" ht="15.75" customHeight="1">
      <c r="A35" s="303"/>
      <c r="B35" s="98"/>
      <c r="C35" s="297"/>
      <c r="D35" s="298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8"/>
      <c r="S35" s="46"/>
      <c r="T35" s="118"/>
      <c r="U35" s="109"/>
      <c r="V35" s="110"/>
      <c r="W35" s="111"/>
      <c r="X35" s="114"/>
      <c r="Y35" s="299"/>
      <c r="Z35" s="300"/>
      <c r="AA35" s="115"/>
      <c r="AB35" s="108"/>
      <c r="AC35" s="313"/>
    </row>
    <row r="36" spans="1:29" ht="15.75" customHeight="1">
      <c r="A36" s="303"/>
      <c r="B36" s="98"/>
      <c r="C36" s="297"/>
      <c r="D36" s="298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8"/>
      <c r="S36" s="46"/>
      <c r="T36" s="118"/>
      <c r="U36" s="109"/>
      <c r="V36" s="110"/>
      <c r="W36" s="111"/>
      <c r="X36" s="114"/>
      <c r="Y36" s="299"/>
      <c r="Z36" s="300"/>
      <c r="AA36" s="115"/>
      <c r="AB36" s="108"/>
      <c r="AC36" s="313"/>
    </row>
    <row r="37" spans="1:29" ht="15.75" customHeight="1">
      <c r="A37" s="303"/>
      <c r="B37" s="98"/>
      <c r="C37" s="297"/>
      <c r="D37" s="298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8"/>
      <c r="S37" s="117"/>
      <c r="T37" s="118"/>
      <c r="U37" s="128"/>
      <c r="V37" s="129"/>
      <c r="W37" s="124"/>
      <c r="X37" s="125"/>
      <c r="Y37" s="299"/>
      <c r="Z37" s="300"/>
      <c r="AA37" s="163"/>
      <c r="AB37" s="123"/>
      <c r="AC37" s="313"/>
    </row>
    <row r="38" spans="1:29" ht="15.75" customHeight="1" thickBot="1">
      <c r="A38" s="304"/>
      <c r="B38" s="131" t="s">
        <v>115</v>
      </c>
      <c r="C38" s="294"/>
      <c r="D38" s="294"/>
      <c r="E38" s="132"/>
      <c r="F38" s="97"/>
      <c r="G38" s="133"/>
      <c r="H38" s="67"/>
      <c r="I38" s="134">
        <f t="shared" ref="I38:J38" si="14">AVERAGE(I22:I37)</f>
        <v>4</v>
      </c>
      <c r="J38" s="135">
        <f t="shared" si="14"/>
        <v>3000</v>
      </c>
      <c r="K38" s="136">
        <f t="shared" ref="K38" si="15">J38/I38</f>
        <v>750</v>
      </c>
      <c r="L38" s="134">
        <f t="shared" ref="L38:M38" si="16">AVERAGE(L22:L37)</f>
        <v>4</v>
      </c>
      <c r="M38" s="135">
        <f t="shared" si="16"/>
        <v>2705.1171320855674</v>
      </c>
      <c r="N38" s="136">
        <f t="shared" ref="N38:N46" si="17">M38/L38</f>
        <v>676.27928302139185</v>
      </c>
      <c r="O38" s="137">
        <f t="shared" ref="O38:O46" si="18">L38-I38</f>
        <v>0</v>
      </c>
      <c r="P38" s="138">
        <f t="shared" ref="P38:P46" si="19">N38-K38</f>
        <v>-73.720716978608152</v>
      </c>
      <c r="Q38" s="139">
        <f t="shared" ref="Q38:Q46" si="20">N38/K38</f>
        <v>0.90170571069518912</v>
      </c>
      <c r="R38" s="309"/>
      <c r="S38" s="140">
        <v>0.31875000000000003</v>
      </c>
      <c r="T38" s="141">
        <v>0.38738425925925923</v>
      </c>
      <c r="U38" s="142"/>
      <c r="V38" s="164"/>
      <c r="W38" s="97"/>
      <c r="X38" s="67"/>
      <c r="Y38" s="295"/>
      <c r="Z38" s="296"/>
      <c r="AA38" s="166">
        <f t="shared" ref="AA38:AA46" si="21">M38-J38</f>
        <v>-294.88286791443261</v>
      </c>
      <c r="AB38" s="139">
        <f t="shared" ref="AB38:AB46" si="22">M38/J38</f>
        <v>0.90170571069518912</v>
      </c>
      <c r="AC38" s="314"/>
    </row>
    <row r="39" spans="1:29" ht="15.75" customHeight="1">
      <c r="A39" s="315" t="s">
        <v>71</v>
      </c>
      <c r="B39" s="112" t="s">
        <v>118</v>
      </c>
      <c r="C39" s="305" t="s">
        <v>129</v>
      </c>
      <c r="D39" s="306"/>
      <c r="E39" s="145">
        <v>24.82</v>
      </c>
      <c r="F39" s="95">
        <v>754</v>
      </c>
      <c r="G39" s="146">
        <f t="shared" ref="G39:G46" si="23">E39*F39</f>
        <v>18714.28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6" si="24">F39/V39*60</f>
        <v>3278.1507094272438</v>
      </c>
      <c r="N39" s="150">
        <f t="shared" si="17"/>
        <v>655.63014188544878</v>
      </c>
      <c r="O39" s="152">
        <f t="shared" si="18"/>
        <v>0</v>
      </c>
      <c r="P39" s="153">
        <f t="shared" si="19"/>
        <v>-64.369858114551221</v>
      </c>
      <c r="Q39" s="154">
        <f t="shared" si="20"/>
        <v>0.91059741928534554</v>
      </c>
      <c r="R39" s="307">
        <f>Q55</f>
        <v>0.917408183629427</v>
      </c>
      <c r="S39" s="155">
        <v>0.25</v>
      </c>
      <c r="T39" s="156">
        <v>0.25958333333333333</v>
      </c>
      <c r="U39" s="157"/>
      <c r="V39" s="158">
        <v>13.8004637400897</v>
      </c>
      <c r="W39" s="159"/>
      <c r="X39" s="160"/>
      <c r="Y39" s="310"/>
      <c r="Z39" s="311"/>
      <c r="AA39" s="113">
        <f t="shared" si="21"/>
        <v>-321.84929057275622</v>
      </c>
      <c r="AB39" s="154">
        <f t="shared" si="22"/>
        <v>0.91059741928534554</v>
      </c>
      <c r="AC39" s="312">
        <f>AB55</f>
        <v>0.917408183629427</v>
      </c>
    </row>
    <row r="40" spans="1:29" ht="15.75" customHeight="1">
      <c r="A40" s="316"/>
      <c r="B40" s="98" t="s">
        <v>118</v>
      </c>
      <c r="C40" s="297" t="s">
        <v>128</v>
      </c>
      <c r="D40" s="298"/>
      <c r="E40" s="99">
        <v>25.03</v>
      </c>
      <c r="F40" s="100">
        <v>620</v>
      </c>
      <c r="G40" s="101">
        <f t="shared" si="23"/>
        <v>15518.6</v>
      </c>
      <c r="H40" s="26"/>
      <c r="I40" s="102">
        <v>5</v>
      </c>
      <c r="J40" s="103">
        <v>3600</v>
      </c>
      <c r="K40" s="104">
        <f t="shared" ref="K40:K63" si="25">J40/I40</f>
        <v>720</v>
      </c>
      <c r="L40" s="105">
        <v>5</v>
      </c>
      <c r="M40" s="103">
        <f t="shared" si="24"/>
        <v>3277.4802014957891</v>
      </c>
      <c r="N40" s="104">
        <f t="shared" si="17"/>
        <v>655.49604029915781</v>
      </c>
      <c r="O40" s="106">
        <f t="shared" si="18"/>
        <v>0</v>
      </c>
      <c r="P40" s="107">
        <f t="shared" si="19"/>
        <v>-64.503959700842188</v>
      </c>
      <c r="Q40" s="108">
        <f t="shared" si="20"/>
        <v>0.91041116708216363</v>
      </c>
      <c r="R40" s="308"/>
      <c r="S40" s="46">
        <v>0.26875000000000004</v>
      </c>
      <c r="T40" s="47">
        <v>0.2766319444444445</v>
      </c>
      <c r="U40" s="109">
        <v>13.200000000000065</v>
      </c>
      <c r="V40" s="110">
        <v>11.3501829799071</v>
      </c>
      <c r="W40" s="111"/>
      <c r="X40" s="114"/>
      <c r="Y40" s="299"/>
      <c r="Z40" s="300"/>
      <c r="AA40" s="115">
        <f t="shared" si="21"/>
        <v>-322.51979850421094</v>
      </c>
      <c r="AB40" s="108">
        <f t="shared" si="22"/>
        <v>0.91041116708216363</v>
      </c>
      <c r="AC40" s="313"/>
    </row>
    <row r="41" spans="1:29" ht="15.75" customHeight="1">
      <c r="A41" s="316"/>
      <c r="B41" s="98" t="s">
        <v>118</v>
      </c>
      <c r="C41" s="297" t="s">
        <v>219</v>
      </c>
      <c r="D41" s="298"/>
      <c r="E41" s="99">
        <v>23.8</v>
      </c>
      <c r="F41" s="100">
        <v>684</v>
      </c>
      <c r="G41" s="101">
        <f t="shared" si="23"/>
        <v>16279.2</v>
      </c>
      <c r="H41" s="26"/>
      <c r="I41" s="102">
        <v>4</v>
      </c>
      <c r="J41" s="103">
        <v>3600</v>
      </c>
      <c r="K41" s="104">
        <f t="shared" si="25"/>
        <v>900</v>
      </c>
      <c r="L41" s="105">
        <v>4</v>
      </c>
      <c r="M41" s="103">
        <f t="shared" si="24"/>
        <v>3272.4671668571077</v>
      </c>
      <c r="N41" s="104">
        <f t="shared" si="17"/>
        <v>818.11679171427693</v>
      </c>
      <c r="O41" s="106">
        <f t="shared" si="18"/>
        <v>0</v>
      </c>
      <c r="P41" s="107">
        <f t="shared" si="19"/>
        <v>-81.883208285723072</v>
      </c>
      <c r="Q41" s="108">
        <f t="shared" si="20"/>
        <v>0.90901865746030774</v>
      </c>
      <c r="R41" s="308"/>
      <c r="S41" s="46">
        <v>0.28611111111111115</v>
      </c>
      <c r="T41" s="47">
        <v>0.29481481481481486</v>
      </c>
      <c r="U41" s="109">
        <v>13.649999999999975</v>
      </c>
      <c r="V41" s="110">
        <v>12.540996718208483</v>
      </c>
      <c r="W41" s="111"/>
      <c r="X41" s="114"/>
      <c r="Y41" s="299"/>
      <c r="Z41" s="300"/>
      <c r="AA41" s="115">
        <f t="shared" si="21"/>
        <v>-327.53283314289229</v>
      </c>
      <c r="AB41" s="108">
        <f t="shared" si="22"/>
        <v>0.90901865746030774</v>
      </c>
      <c r="AC41" s="313"/>
    </row>
    <row r="42" spans="1:29" ht="15.75" customHeight="1">
      <c r="A42" s="316"/>
      <c r="B42" s="98" t="s">
        <v>118</v>
      </c>
      <c r="C42" s="297" t="s">
        <v>207</v>
      </c>
      <c r="D42" s="298"/>
      <c r="E42" s="99">
        <v>30</v>
      </c>
      <c r="F42" s="100">
        <v>640</v>
      </c>
      <c r="G42" s="101">
        <f t="shared" si="23"/>
        <v>19200</v>
      </c>
      <c r="H42" s="26"/>
      <c r="I42" s="102">
        <v>4</v>
      </c>
      <c r="J42" s="103">
        <v>3300</v>
      </c>
      <c r="K42" s="104">
        <f t="shared" si="25"/>
        <v>825</v>
      </c>
      <c r="L42" s="105">
        <v>4</v>
      </c>
      <c r="M42" s="103">
        <f t="shared" si="24"/>
        <v>3073.7112781355454</v>
      </c>
      <c r="N42" s="104">
        <f t="shared" si="17"/>
        <v>768.42781953388635</v>
      </c>
      <c r="O42" s="106">
        <f t="shared" si="18"/>
        <v>0</v>
      </c>
      <c r="P42" s="107">
        <f t="shared" si="19"/>
        <v>-56.57218046611365</v>
      </c>
      <c r="Q42" s="108">
        <f t="shared" si="20"/>
        <v>0.93142766004107436</v>
      </c>
      <c r="R42" s="308"/>
      <c r="S42" s="46">
        <v>0.30416666666666675</v>
      </c>
      <c r="T42" s="47">
        <v>0.31283564814814824</v>
      </c>
      <c r="U42" s="109">
        <v>13.46666666666672</v>
      </c>
      <c r="V42" s="110">
        <v>12.493040668182962</v>
      </c>
      <c r="W42" s="111"/>
      <c r="X42" s="114"/>
      <c r="Y42" s="299"/>
      <c r="Z42" s="300"/>
      <c r="AA42" s="115">
        <f t="shared" si="21"/>
        <v>-226.2887218644546</v>
      </c>
      <c r="AB42" s="108">
        <f t="shared" si="22"/>
        <v>0.93142766004107436</v>
      </c>
      <c r="AC42" s="313"/>
    </row>
    <row r="43" spans="1:29" ht="15.75" customHeight="1">
      <c r="A43" s="316"/>
      <c r="B43" s="98" t="s">
        <v>118</v>
      </c>
      <c r="C43" s="297" t="s">
        <v>124</v>
      </c>
      <c r="D43" s="298"/>
      <c r="E43" s="99">
        <v>18.18</v>
      </c>
      <c r="F43" s="100">
        <v>829</v>
      </c>
      <c r="G43" s="101">
        <f t="shared" si="23"/>
        <v>15071.22</v>
      </c>
      <c r="H43" s="13"/>
      <c r="I43" s="102">
        <v>3</v>
      </c>
      <c r="J43" s="103">
        <v>3600</v>
      </c>
      <c r="K43" s="104">
        <f t="shared" si="25"/>
        <v>1200</v>
      </c>
      <c r="L43" s="105">
        <v>3</v>
      </c>
      <c r="M43" s="103">
        <f t="shared" si="24"/>
        <v>3274.516683889623</v>
      </c>
      <c r="N43" s="104">
        <f t="shared" si="17"/>
        <v>1091.5055612965409</v>
      </c>
      <c r="O43" s="106">
        <f t="shared" si="18"/>
        <v>0</v>
      </c>
      <c r="P43" s="107">
        <f t="shared" si="19"/>
        <v>-108.49443870345908</v>
      </c>
      <c r="Q43" s="108">
        <f t="shared" si="20"/>
        <v>0.90958796774711748</v>
      </c>
      <c r="R43" s="308"/>
      <c r="S43" s="46">
        <v>0.32222222222222235</v>
      </c>
      <c r="T43" s="47">
        <v>0.33276620370370386</v>
      </c>
      <c r="U43" s="109">
        <v>13.516666666666728</v>
      </c>
      <c r="V43" s="110">
        <v>15.190027964956499</v>
      </c>
      <c r="W43" s="111"/>
      <c r="X43" s="114"/>
      <c r="Y43" s="299"/>
      <c r="Z43" s="300"/>
      <c r="AA43" s="115">
        <f t="shared" si="21"/>
        <v>-325.48331611037702</v>
      </c>
      <c r="AB43" s="108">
        <f t="shared" si="22"/>
        <v>0.90958796774711748</v>
      </c>
      <c r="AC43" s="313"/>
    </row>
    <row r="44" spans="1:29" ht="15.75" customHeight="1">
      <c r="A44" s="316"/>
      <c r="B44" s="98" t="s">
        <v>118</v>
      </c>
      <c r="C44" s="297" t="s">
        <v>199</v>
      </c>
      <c r="D44" s="298"/>
      <c r="E44" s="99">
        <v>17.07</v>
      </c>
      <c r="F44" s="100">
        <v>1179</v>
      </c>
      <c r="G44" s="119">
        <f t="shared" si="23"/>
        <v>20125.53</v>
      </c>
      <c r="H44" s="120"/>
      <c r="I44" s="102">
        <v>3</v>
      </c>
      <c r="J44" s="103">
        <v>3300</v>
      </c>
      <c r="K44" s="104">
        <f t="shared" si="25"/>
        <v>1100</v>
      </c>
      <c r="L44" s="105">
        <v>3</v>
      </c>
      <c r="M44" s="103">
        <f t="shared" si="24"/>
        <v>3072.8625808972679</v>
      </c>
      <c r="N44" s="104">
        <f t="shared" si="17"/>
        <v>1024.2875269657559</v>
      </c>
      <c r="O44" s="106">
        <f t="shared" si="18"/>
        <v>0</v>
      </c>
      <c r="P44" s="107">
        <f t="shared" si="19"/>
        <v>-75.712473034244113</v>
      </c>
      <c r="Q44" s="108">
        <f t="shared" si="20"/>
        <v>0.93117047905977812</v>
      </c>
      <c r="R44" s="308"/>
      <c r="S44" s="46">
        <v>0.34236111111111128</v>
      </c>
      <c r="T44" s="118">
        <v>0.3583449074074076</v>
      </c>
      <c r="U44" s="109">
        <v>13.816666666666695</v>
      </c>
      <c r="V44" s="110">
        <v>23.020879762004881</v>
      </c>
      <c r="W44" s="111"/>
      <c r="X44" s="114"/>
      <c r="Y44" s="299"/>
      <c r="Z44" s="300"/>
      <c r="AA44" s="115">
        <f t="shared" si="21"/>
        <v>-227.13741910273211</v>
      </c>
      <c r="AB44" s="108">
        <f t="shared" si="22"/>
        <v>0.93117047905977812</v>
      </c>
      <c r="AC44" s="313"/>
    </row>
    <row r="45" spans="1:29" ht="15.75" customHeight="1">
      <c r="A45" s="316"/>
      <c r="B45" s="98" t="s">
        <v>118</v>
      </c>
      <c r="C45" s="297" t="s">
        <v>125</v>
      </c>
      <c r="D45" s="298"/>
      <c r="E45" s="99">
        <v>14.03</v>
      </c>
      <c r="F45" s="100">
        <v>3095</v>
      </c>
      <c r="G45" s="119">
        <f t="shared" si="23"/>
        <v>43422.85</v>
      </c>
      <c r="H45" s="60"/>
      <c r="I45" s="102">
        <v>3</v>
      </c>
      <c r="J45" s="103">
        <v>3000</v>
      </c>
      <c r="K45" s="104">
        <f t="shared" si="25"/>
        <v>1000</v>
      </c>
      <c r="L45" s="105">
        <v>3</v>
      </c>
      <c r="M45" s="103">
        <f t="shared" si="24"/>
        <v>2795.9555878084175</v>
      </c>
      <c r="N45" s="104">
        <f t="shared" si="17"/>
        <v>931.98519593613912</v>
      </c>
      <c r="O45" s="121">
        <f t="shared" si="18"/>
        <v>0</v>
      </c>
      <c r="P45" s="122">
        <f t="shared" si="19"/>
        <v>-68.014804063860879</v>
      </c>
      <c r="Q45" s="123">
        <f t="shared" si="20"/>
        <v>0.93198519593613915</v>
      </c>
      <c r="R45" s="308"/>
      <c r="S45" s="46">
        <v>0.36805555555555575</v>
      </c>
      <c r="T45" s="118">
        <v>0.41417824074074094</v>
      </c>
      <c r="U45" s="109">
        <v>13.983333333333334</v>
      </c>
      <c r="V45" s="110">
        <v>66.417363998817706</v>
      </c>
      <c r="W45" s="111"/>
      <c r="X45" s="114"/>
      <c r="Y45" s="299"/>
      <c r="Z45" s="300"/>
      <c r="AA45" s="115">
        <f t="shared" si="21"/>
        <v>-204.04441219158252</v>
      </c>
      <c r="AB45" s="108">
        <f t="shared" si="22"/>
        <v>0.93198519593613915</v>
      </c>
      <c r="AC45" s="313"/>
    </row>
    <row r="46" spans="1:29" ht="15.75" customHeight="1">
      <c r="A46" s="316"/>
      <c r="B46" s="98" t="s">
        <v>118</v>
      </c>
      <c r="C46" s="297" t="s">
        <v>127</v>
      </c>
      <c r="D46" s="298"/>
      <c r="E46" s="99">
        <v>14.28</v>
      </c>
      <c r="F46" s="100">
        <v>4504</v>
      </c>
      <c r="G46" s="119">
        <f t="shared" si="23"/>
        <v>64317.119999999995</v>
      </c>
      <c r="H46" s="60"/>
      <c r="I46" s="102">
        <v>3</v>
      </c>
      <c r="J46" s="103">
        <v>3600</v>
      </c>
      <c r="K46" s="104">
        <f t="shared" si="25"/>
        <v>1200</v>
      </c>
      <c r="L46" s="116">
        <v>3</v>
      </c>
      <c r="M46" s="103">
        <f t="shared" si="24"/>
        <v>3275.3216596611887</v>
      </c>
      <c r="N46" s="104">
        <f t="shared" si="17"/>
        <v>1091.7738865537297</v>
      </c>
      <c r="O46" s="121">
        <f t="shared" si="18"/>
        <v>0</v>
      </c>
      <c r="P46" s="122">
        <f t="shared" si="19"/>
        <v>-108.22611344627035</v>
      </c>
      <c r="Q46" s="123">
        <f t="shared" si="20"/>
        <v>0.90981157212810804</v>
      </c>
      <c r="R46" s="308"/>
      <c r="S46" s="46">
        <v>0.42361111111111133</v>
      </c>
      <c r="T46" s="118">
        <v>0.48090277777777801</v>
      </c>
      <c r="U46" s="109">
        <v>13.583333333333352</v>
      </c>
      <c r="V46" s="110">
        <v>82.507926878838106</v>
      </c>
      <c r="W46" s="111"/>
      <c r="X46" s="114"/>
      <c r="Y46" s="299"/>
      <c r="Z46" s="300"/>
      <c r="AA46" s="115">
        <f t="shared" si="21"/>
        <v>-324.67834033881127</v>
      </c>
      <c r="AB46" s="108">
        <f t="shared" si="22"/>
        <v>0.90981157212810793</v>
      </c>
      <c r="AC46" s="313"/>
    </row>
    <row r="47" spans="1:29" ht="15.75" customHeight="1">
      <c r="A47" s="316"/>
      <c r="B47" s="98"/>
      <c r="C47" s="297"/>
      <c r="D47" s="298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8"/>
      <c r="S47" s="46"/>
      <c r="T47" s="118"/>
      <c r="U47" s="109"/>
      <c r="V47" s="110"/>
      <c r="W47" s="111"/>
      <c r="X47" s="114"/>
      <c r="Y47" s="299"/>
      <c r="Z47" s="300"/>
      <c r="AA47" s="115"/>
      <c r="AB47" s="108"/>
      <c r="AC47" s="313"/>
    </row>
    <row r="48" spans="1:29" ht="15.75" customHeight="1">
      <c r="A48" s="316"/>
      <c r="B48" s="98"/>
      <c r="C48" s="297"/>
      <c r="D48" s="298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8"/>
      <c r="S48" s="46"/>
      <c r="T48" s="118"/>
      <c r="U48" s="109"/>
      <c r="V48" s="110"/>
      <c r="W48" s="111"/>
      <c r="X48" s="114"/>
      <c r="Y48" s="299"/>
      <c r="Z48" s="300"/>
      <c r="AA48" s="115"/>
      <c r="AB48" s="108"/>
      <c r="AC48" s="313"/>
    </row>
    <row r="49" spans="1:29" ht="15.75" customHeight="1">
      <c r="A49" s="316"/>
      <c r="B49" s="98"/>
      <c r="C49" s="297"/>
      <c r="D49" s="298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8"/>
      <c r="S49" s="46"/>
      <c r="T49" s="118"/>
      <c r="U49" s="109"/>
      <c r="V49" s="110"/>
      <c r="W49" s="124"/>
      <c r="X49" s="125"/>
      <c r="Y49" s="299"/>
      <c r="Z49" s="300"/>
      <c r="AA49" s="115"/>
      <c r="AB49" s="108"/>
      <c r="AC49" s="313"/>
    </row>
    <row r="50" spans="1:29" ht="15.75" customHeight="1">
      <c r="A50" s="316"/>
      <c r="B50" s="98"/>
      <c r="C50" s="297"/>
      <c r="D50" s="298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8"/>
      <c r="S50" s="46"/>
      <c r="T50" s="118"/>
      <c r="U50" s="109"/>
      <c r="V50" s="110"/>
      <c r="W50" s="124"/>
      <c r="X50" s="125"/>
      <c r="Y50" s="299"/>
      <c r="Z50" s="300"/>
      <c r="AA50" s="115"/>
      <c r="AB50" s="108"/>
      <c r="AC50" s="313"/>
    </row>
    <row r="51" spans="1:29" ht="15.75" customHeight="1">
      <c r="A51" s="316"/>
      <c r="B51" s="98"/>
      <c r="C51" s="297"/>
      <c r="D51" s="298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8"/>
      <c r="S51" s="46"/>
      <c r="T51" s="118"/>
      <c r="U51" s="109"/>
      <c r="V51" s="110"/>
      <c r="W51" s="124"/>
      <c r="X51" s="125"/>
      <c r="Y51" s="299"/>
      <c r="Z51" s="300"/>
      <c r="AA51" s="115"/>
      <c r="AB51" s="108"/>
      <c r="AC51" s="313"/>
    </row>
    <row r="52" spans="1:29" ht="15.75" customHeight="1">
      <c r="A52" s="316"/>
      <c r="B52" s="98"/>
      <c r="C52" s="297"/>
      <c r="D52" s="298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8"/>
      <c r="S52" s="46"/>
      <c r="T52" s="118"/>
      <c r="U52" s="109"/>
      <c r="V52" s="110"/>
      <c r="W52" s="124"/>
      <c r="X52" s="125"/>
      <c r="Y52" s="299"/>
      <c r="Z52" s="300"/>
      <c r="AA52" s="115"/>
      <c r="AB52" s="108"/>
      <c r="AC52" s="313"/>
    </row>
    <row r="53" spans="1:29" ht="15.75" customHeight="1">
      <c r="A53" s="316"/>
      <c r="B53" s="98"/>
      <c r="C53" s="297"/>
      <c r="D53" s="298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8"/>
      <c r="S53" s="46"/>
      <c r="T53" s="118"/>
      <c r="U53" s="109"/>
      <c r="V53" s="110"/>
      <c r="W53" s="124"/>
      <c r="X53" s="125"/>
      <c r="Y53" s="299"/>
      <c r="Z53" s="300"/>
      <c r="AA53" s="115"/>
      <c r="AB53" s="108"/>
      <c r="AC53" s="313"/>
    </row>
    <row r="54" spans="1:29" ht="15.75" customHeight="1">
      <c r="A54" s="316"/>
      <c r="B54" s="98"/>
      <c r="C54" s="297"/>
      <c r="D54" s="298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8"/>
      <c r="S54" s="117"/>
      <c r="T54" s="118"/>
      <c r="U54" s="128"/>
      <c r="V54" s="129"/>
      <c r="W54" s="124"/>
      <c r="X54" s="125"/>
      <c r="Y54" s="299"/>
      <c r="Z54" s="300"/>
      <c r="AA54" s="163"/>
      <c r="AB54" s="123"/>
      <c r="AC54" s="313"/>
    </row>
    <row r="55" spans="1:29" ht="15.75" customHeight="1" thickBot="1">
      <c r="A55" s="317"/>
      <c r="B55" s="131" t="s">
        <v>115</v>
      </c>
      <c r="C55" s="294"/>
      <c r="D55" s="294"/>
      <c r="E55" s="132"/>
      <c r="F55" s="97"/>
      <c r="G55" s="133"/>
      <c r="H55" s="67"/>
      <c r="I55" s="134">
        <f t="shared" ref="I55:J55" si="26">AVERAGE(I39:I54)</f>
        <v>3.75</v>
      </c>
      <c r="J55" s="135">
        <f t="shared" si="26"/>
        <v>3450</v>
      </c>
      <c r="K55" s="136">
        <f t="shared" ref="K55" si="27">J55/I55</f>
        <v>920</v>
      </c>
      <c r="L55" s="134">
        <f t="shared" ref="L55:M55" si="28">AVERAGE(L39:L54)</f>
        <v>3.75</v>
      </c>
      <c r="M55" s="135">
        <f t="shared" si="28"/>
        <v>3165.0582335215231</v>
      </c>
      <c r="N55" s="136">
        <f t="shared" ref="N55:N63" si="29">M55/L55</f>
        <v>844.01552893907285</v>
      </c>
      <c r="O55" s="137">
        <f t="shared" ref="O55:O63" si="30">L55-I55</f>
        <v>0</v>
      </c>
      <c r="P55" s="138">
        <f t="shared" ref="P55:P63" si="31">N55-K55</f>
        <v>-75.984471060927149</v>
      </c>
      <c r="Q55" s="139">
        <f t="shared" ref="Q55:Q63" si="32">N55/K55</f>
        <v>0.917408183629427</v>
      </c>
      <c r="R55" s="309"/>
      <c r="S55" s="140">
        <v>0.25</v>
      </c>
      <c r="T55" s="141">
        <v>0.48090277777777801</v>
      </c>
      <c r="U55" s="142"/>
      <c r="V55" s="164"/>
      <c r="W55" s="97"/>
      <c r="X55" s="67"/>
      <c r="Y55" s="295"/>
      <c r="Z55" s="296"/>
      <c r="AA55" s="166">
        <f t="shared" ref="AA55:AA63" si="33">M55-J55</f>
        <v>-284.94176647847689</v>
      </c>
      <c r="AB55" s="139">
        <f t="shared" ref="AB55:AB63" si="34">M55/J55</f>
        <v>0.917408183629427</v>
      </c>
      <c r="AC55" s="314"/>
    </row>
    <row r="56" spans="1:29" ht="15.75" customHeight="1">
      <c r="A56" s="301" t="s">
        <v>78</v>
      </c>
      <c r="B56" s="112" t="s">
        <v>118</v>
      </c>
      <c r="C56" s="305" t="s">
        <v>126</v>
      </c>
      <c r="D56" s="306"/>
      <c r="E56" s="145">
        <v>18.18</v>
      </c>
      <c r="F56" s="95">
        <v>1322</v>
      </c>
      <c r="G56" s="146">
        <f t="shared" ref="G56:G63" si="35">E56*F56</f>
        <v>24033.96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36">F56/V56*60</f>
        <v>3276.2963420882702</v>
      </c>
      <c r="N56" s="150">
        <f t="shared" si="29"/>
        <v>1092.09878069609</v>
      </c>
      <c r="O56" s="152">
        <f t="shared" si="30"/>
        <v>0</v>
      </c>
      <c r="P56" s="153">
        <f t="shared" si="31"/>
        <v>-107.90121930391001</v>
      </c>
      <c r="Q56" s="154">
        <f t="shared" si="32"/>
        <v>0.91008231724674171</v>
      </c>
      <c r="R56" s="307">
        <f>Q72</f>
        <v>0.91016346857090646</v>
      </c>
      <c r="S56" s="155">
        <v>0.25</v>
      </c>
      <c r="T56" s="156">
        <v>0.26680555555555557</v>
      </c>
      <c r="U56" s="157"/>
      <c r="V56" s="158">
        <v>24.210264187958781</v>
      </c>
      <c r="W56" s="156"/>
      <c r="X56" s="167"/>
      <c r="Y56" s="310"/>
      <c r="Z56" s="311"/>
      <c r="AA56" s="113">
        <f t="shared" si="33"/>
        <v>-323.70365791172981</v>
      </c>
      <c r="AB56" s="154">
        <f t="shared" si="34"/>
        <v>0.91008231724674171</v>
      </c>
      <c r="AC56" s="312">
        <f>AB72</f>
        <v>0.91016346857090646</v>
      </c>
    </row>
    <row r="57" spans="1:29" ht="15.75" customHeight="1">
      <c r="A57" s="302"/>
      <c r="B57" s="98" t="s">
        <v>118</v>
      </c>
      <c r="C57" s="297" t="s">
        <v>203</v>
      </c>
      <c r="D57" s="298"/>
      <c r="E57" s="99">
        <v>20.72</v>
      </c>
      <c r="F57" s="100">
        <v>680</v>
      </c>
      <c r="G57" s="101">
        <f t="shared" si="35"/>
        <v>14089.599999999999</v>
      </c>
      <c r="H57" s="26"/>
      <c r="I57" s="102">
        <v>3</v>
      </c>
      <c r="J57" s="103">
        <v>3600</v>
      </c>
      <c r="K57" s="104">
        <f t="shared" si="25"/>
        <v>1200</v>
      </c>
      <c r="L57" s="105">
        <v>3</v>
      </c>
      <c r="M57" s="103">
        <f t="shared" si="36"/>
        <v>3277.0371385718595</v>
      </c>
      <c r="N57" s="104">
        <f t="shared" si="29"/>
        <v>1092.3457128572866</v>
      </c>
      <c r="O57" s="106">
        <f t="shared" si="30"/>
        <v>0</v>
      </c>
      <c r="P57" s="107">
        <f t="shared" si="31"/>
        <v>-107.65428714271343</v>
      </c>
      <c r="Q57" s="108">
        <f t="shared" si="32"/>
        <v>0.9102880940477388</v>
      </c>
      <c r="R57" s="308"/>
      <c r="S57" s="46">
        <v>0.27638888888888891</v>
      </c>
      <c r="T57" s="47">
        <v>0.28503472222222226</v>
      </c>
      <c r="U57" s="109">
        <v>13.799999999999999</v>
      </c>
      <c r="V57" s="110">
        <v>12.450270861983803</v>
      </c>
      <c r="W57" s="111"/>
      <c r="X57" s="13"/>
      <c r="Y57" s="299"/>
      <c r="Z57" s="300"/>
      <c r="AA57" s="115">
        <f t="shared" si="33"/>
        <v>-322.96286142814051</v>
      </c>
      <c r="AB57" s="108">
        <f t="shared" si="34"/>
        <v>0.91028809404773869</v>
      </c>
      <c r="AC57" s="313"/>
    </row>
    <row r="58" spans="1:29" ht="15.75" customHeight="1">
      <c r="A58" s="302"/>
      <c r="B58" s="98" t="s">
        <v>118</v>
      </c>
      <c r="C58" s="297" t="s">
        <v>130</v>
      </c>
      <c r="D58" s="298"/>
      <c r="E58" s="99">
        <v>30</v>
      </c>
      <c r="F58" s="100">
        <v>992</v>
      </c>
      <c r="G58" s="101">
        <f t="shared" si="35"/>
        <v>29760</v>
      </c>
      <c r="H58" s="26"/>
      <c r="I58" s="102">
        <v>4</v>
      </c>
      <c r="J58" s="103">
        <v>3600</v>
      </c>
      <c r="K58" s="104">
        <f t="shared" si="25"/>
        <v>900</v>
      </c>
      <c r="L58" s="105">
        <v>4</v>
      </c>
      <c r="M58" s="103">
        <f t="shared" si="36"/>
        <v>3279.1818628225633</v>
      </c>
      <c r="N58" s="104">
        <f t="shared" si="29"/>
        <v>819.79546570564082</v>
      </c>
      <c r="O58" s="106">
        <f t="shared" si="30"/>
        <v>0</v>
      </c>
      <c r="P58" s="107">
        <f t="shared" si="31"/>
        <v>-80.204534294359178</v>
      </c>
      <c r="Q58" s="108">
        <f t="shared" si="32"/>
        <v>0.91088385078404532</v>
      </c>
      <c r="R58" s="308"/>
      <c r="S58" s="46">
        <v>0.29444444444444451</v>
      </c>
      <c r="T58" s="47">
        <v>0.30704861111111115</v>
      </c>
      <c r="U58" s="109">
        <v>13.55000000000004</v>
      </c>
      <c r="V58" s="110">
        <v>18.1508688721424</v>
      </c>
      <c r="W58" s="111"/>
      <c r="X58" s="13"/>
      <c r="Y58" s="299"/>
      <c r="Z58" s="300"/>
      <c r="AA58" s="115">
        <f t="shared" si="33"/>
        <v>-320.81813717743671</v>
      </c>
      <c r="AB58" s="108">
        <f t="shared" si="34"/>
        <v>0.91088385078404532</v>
      </c>
      <c r="AC58" s="313"/>
    </row>
    <row r="59" spans="1:29" ht="15.75" customHeight="1">
      <c r="A59" s="302"/>
      <c r="B59" s="98" t="s">
        <v>118</v>
      </c>
      <c r="C59" s="297" t="s">
        <v>218</v>
      </c>
      <c r="D59" s="298"/>
      <c r="E59" s="99">
        <v>24.76</v>
      </c>
      <c r="F59" s="100">
        <v>1131</v>
      </c>
      <c r="G59" s="101">
        <f t="shared" si="35"/>
        <v>28003.56</v>
      </c>
      <c r="H59" s="26"/>
      <c r="I59" s="102">
        <v>4</v>
      </c>
      <c r="J59" s="103">
        <v>3600</v>
      </c>
      <c r="K59" s="104">
        <f t="shared" si="25"/>
        <v>900</v>
      </c>
      <c r="L59" s="105">
        <v>4</v>
      </c>
      <c r="M59" s="103">
        <f t="shared" si="36"/>
        <v>3275.7433810557864</v>
      </c>
      <c r="N59" s="104">
        <f t="shared" si="29"/>
        <v>818.93584526394659</v>
      </c>
      <c r="O59" s="106">
        <f t="shared" si="30"/>
        <v>0</v>
      </c>
      <c r="P59" s="107">
        <f t="shared" si="31"/>
        <v>-81.06415473605341</v>
      </c>
      <c r="Q59" s="108">
        <f t="shared" si="32"/>
        <v>0.90992871695994071</v>
      </c>
      <c r="R59" s="308"/>
      <c r="S59" s="46">
        <v>0.31666666666666676</v>
      </c>
      <c r="T59" s="47">
        <v>0.33104166666666679</v>
      </c>
      <c r="U59" s="109">
        <v>13.850000000000087</v>
      </c>
      <c r="V59" s="110">
        <v>20.715908453771622</v>
      </c>
      <c r="W59" s="111"/>
      <c r="X59" s="114"/>
      <c r="Y59" s="299"/>
      <c r="Z59" s="300"/>
      <c r="AA59" s="115">
        <f t="shared" si="33"/>
        <v>-324.25661894421364</v>
      </c>
      <c r="AB59" s="108">
        <f t="shared" si="34"/>
        <v>0.90992871695994071</v>
      </c>
      <c r="AC59" s="313"/>
    </row>
    <row r="60" spans="1:29" ht="15.75" customHeight="1">
      <c r="A60" s="303"/>
      <c r="B60" s="98" t="s">
        <v>118</v>
      </c>
      <c r="C60" s="297" t="s">
        <v>122</v>
      </c>
      <c r="D60" s="298"/>
      <c r="E60" s="99">
        <v>17.89</v>
      </c>
      <c r="F60" s="100">
        <v>1990</v>
      </c>
      <c r="G60" s="101">
        <f t="shared" si="35"/>
        <v>35601.1</v>
      </c>
      <c r="H60" s="13"/>
      <c r="I60" s="102">
        <v>4</v>
      </c>
      <c r="J60" s="103">
        <v>3600</v>
      </c>
      <c r="K60" s="104">
        <f t="shared" si="25"/>
        <v>900</v>
      </c>
      <c r="L60" s="105">
        <v>4</v>
      </c>
      <c r="M60" s="103">
        <f t="shared" si="36"/>
        <v>3274.8826418975373</v>
      </c>
      <c r="N60" s="104">
        <f t="shared" si="29"/>
        <v>818.72066047438432</v>
      </c>
      <c r="O60" s="106">
        <f t="shared" si="30"/>
        <v>0</v>
      </c>
      <c r="P60" s="107">
        <f t="shared" si="31"/>
        <v>-81.279339525615683</v>
      </c>
      <c r="Q60" s="108">
        <f t="shared" si="32"/>
        <v>0.90968962274931586</v>
      </c>
      <c r="R60" s="308"/>
      <c r="S60" s="46">
        <v>0.3402777777777779</v>
      </c>
      <c r="T60" s="47">
        <v>0.36559027777777792</v>
      </c>
      <c r="U60" s="109">
        <v>13.3</v>
      </c>
      <c r="V60" s="110">
        <v>36.459321770021376</v>
      </c>
      <c r="W60" s="111"/>
      <c r="X60" s="114"/>
      <c r="Y60" s="299"/>
      <c r="Z60" s="300"/>
      <c r="AA60" s="115">
        <f t="shared" si="33"/>
        <v>-325.11735810246273</v>
      </c>
      <c r="AB60" s="108">
        <f t="shared" si="34"/>
        <v>0.90968962274931586</v>
      </c>
      <c r="AC60" s="313"/>
    </row>
    <row r="61" spans="1:29" ht="15.75" customHeight="1">
      <c r="A61" s="303"/>
      <c r="B61" s="98" t="s">
        <v>118</v>
      </c>
      <c r="C61" s="297" t="s">
        <v>213</v>
      </c>
      <c r="D61" s="298"/>
      <c r="E61" s="99">
        <v>22.32</v>
      </c>
      <c r="F61" s="100">
        <v>1454</v>
      </c>
      <c r="G61" s="119">
        <f t="shared" si="35"/>
        <v>32453.279999999999</v>
      </c>
      <c r="H61" s="120"/>
      <c r="I61" s="102">
        <v>5</v>
      </c>
      <c r="J61" s="103">
        <v>3600</v>
      </c>
      <c r="K61" s="104">
        <f t="shared" si="25"/>
        <v>720</v>
      </c>
      <c r="L61" s="105">
        <v>5</v>
      </c>
      <c r="M61" s="103">
        <f t="shared" si="36"/>
        <v>3278.5140562004258</v>
      </c>
      <c r="N61" s="104">
        <f t="shared" si="29"/>
        <v>655.70281124008511</v>
      </c>
      <c r="O61" s="106">
        <f t="shared" si="30"/>
        <v>0</v>
      </c>
      <c r="P61" s="107">
        <f t="shared" si="31"/>
        <v>-64.297188759914889</v>
      </c>
      <c r="Q61" s="108">
        <f t="shared" si="32"/>
        <v>0.9106983489445627</v>
      </c>
      <c r="R61" s="308"/>
      <c r="S61" s="46">
        <v>0.37500000000000017</v>
      </c>
      <c r="T61" s="118">
        <v>0.39347222222222239</v>
      </c>
      <c r="U61" s="109">
        <v>13.55000000000004</v>
      </c>
      <c r="V61" s="110">
        <v>26.609615973739398</v>
      </c>
      <c r="W61" s="111"/>
      <c r="X61" s="49"/>
      <c r="Y61" s="299"/>
      <c r="Z61" s="300"/>
      <c r="AA61" s="115">
        <f t="shared" si="33"/>
        <v>-321.48594379957422</v>
      </c>
      <c r="AB61" s="108">
        <f t="shared" si="34"/>
        <v>0.9106983489445627</v>
      </c>
      <c r="AC61" s="313"/>
    </row>
    <row r="62" spans="1:29" ht="15.75" customHeight="1">
      <c r="A62" s="303"/>
      <c r="B62" s="98" t="s">
        <v>118</v>
      </c>
      <c r="C62" s="297" t="s">
        <v>209</v>
      </c>
      <c r="D62" s="298"/>
      <c r="E62" s="99">
        <v>27.48</v>
      </c>
      <c r="F62" s="100">
        <v>1140</v>
      </c>
      <c r="G62" s="119">
        <f t="shared" si="35"/>
        <v>31327.200000000001</v>
      </c>
      <c r="H62" s="60"/>
      <c r="I62" s="102">
        <v>5</v>
      </c>
      <c r="J62" s="103">
        <v>3600</v>
      </c>
      <c r="K62" s="104">
        <f t="shared" si="25"/>
        <v>720</v>
      </c>
      <c r="L62" s="105">
        <v>5</v>
      </c>
      <c r="M62" s="103">
        <f t="shared" si="36"/>
        <v>3275.9464229689802</v>
      </c>
      <c r="N62" s="104">
        <f t="shared" si="29"/>
        <v>655.18928459379606</v>
      </c>
      <c r="O62" s="121">
        <f t="shared" si="30"/>
        <v>0</v>
      </c>
      <c r="P62" s="122">
        <f t="shared" si="31"/>
        <v>-64.81071540620394</v>
      </c>
      <c r="Q62" s="123">
        <f t="shared" si="32"/>
        <v>0.90998511749138344</v>
      </c>
      <c r="R62" s="308"/>
      <c r="S62" s="46">
        <v>0.40277777777777796</v>
      </c>
      <c r="T62" s="118">
        <v>0.41726851851851871</v>
      </c>
      <c r="U62" s="109">
        <v>13.400000000000016</v>
      </c>
      <c r="V62" s="110">
        <v>20.879462350305868</v>
      </c>
      <c r="W62" s="111"/>
      <c r="X62" s="114"/>
      <c r="Y62" s="299"/>
      <c r="Z62" s="300"/>
      <c r="AA62" s="115">
        <f t="shared" si="33"/>
        <v>-324.05357703101981</v>
      </c>
      <c r="AB62" s="108">
        <f t="shared" si="34"/>
        <v>0.90998511749138333</v>
      </c>
      <c r="AC62" s="313"/>
    </row>
    <row r="63" spans="1:29" ht="15.75" customHeight="1">
      <c r="A63" s="303"/>
      <c r="B63" s="98" t="s">
        <v>118</v>
      </c>
      <c r="C63" s="297" t="s">
        <v>123</v>
      </c>
      <c r="D63" s="298"/>
      <c r="E63" s="99">
        <v>16.66</v>
      </c>
      <c r="F63" s="100">
        <v>3695</v>
      </c>
      <c r="G63" s="119">
        <f t="shared" si="35"/>
        <v>61558.7</v>
      </c>
      <c r="H63" s="60"/>
      <c r="I63" s="102">
        <v>5</v>
      </c>
      <c r="J63" s="103">
        <v>3600</v>
      </c>
      <c r="K63" s="104">
        <f t="shared" si="25"/>
        <v>720</v>
      </c>
      <c r="L63" s="116">
        <v>5</v>
      </c>
      <c r="M63" s="103">
        <f t="shared" si="36"/>
        <v>3275.1060492366842</v>
      </c>
      <c r="N63" s="104">
        <f t="shared" si="29"/>
        <v>655.02120984733688</v>
      </c>
      <c r="O63" s="121">
        <f t="shared" si="30"/>
        <v>0</v>
      </c>
      <c r="P63" s="122">
        <f t="shared" si="31"/>
        <v>-64.978790152663123</v>
      </c>
      <c r="Q63" s="123">
        <f t="shared" si="32"/>
        <v>0.90975168034352349</v>
      </c>
      <c r="R63" s="308"/>
      <c r="S63" s="46">
        <v>0.42638888888888909</v>
      </c>
      <c r="T63" s="118">
        <v>0.47339120370370391</v>
      </c>
      <c r="U63" s="109">
        <v>13.133333333333361</v>
      </c>
      <c r="V63" s="110">
        <v>67.69246450864415</v>
      </c>
      <c r="W63" s="111"/>
      <c r="X63" s="114"/>
      <c r="Y63" s="299"/>
      <c r="Z63" s="300"/>
      <c r="AA63" s="115">
        <f t="shared" si="33"/>
        <v>-324.89395076331584</v>
      </c>
      <c r="AB63" s="108">
        <f t="shared" si="34"/>
        <v>0.90975168034352338</v>
      </c>
      <c r="AC63" s="313"/>
    </row>
    <row r="64" spans="1:29" ht="15.75" customHeight="1">
      <c r="A64" s="303"/>
      <c r="B64" s="98"/>
      <c r="C64" s="297"/>
      <c r="D64" s="298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8"/>
      <c r="S64" s="46"/>
      <c r="T64" s="118"/>
      <c r="U64" s="109"/>
      <c r="V64" s="110"/>
      <c r="W64" s="124"/>
      <c r="X64" s="125"/>
      <c r="Y64" s="299"/>
      <c r="Z64" s="300"/>
      <c r="AA64" s="115"/>
      <c r="AB64" s="108"/>
      <c r="AC64" s="313"/>
    </row>
    <row r="65" spans="1:29" ht="15.75" customHeight="1">
      <c r="A65" s="303"/>
      <c r="B65" s="98"/>
      <c r="C65" s="297"/>
      <c r="D65" s="298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8"/>
      <c r="S65" s="46"/>
      <c r="T65" s="118"/>
      <c r="U65" s="109"/>
      <c r="V65" s="110"/>
      <c r="W65" s="124"/>
      <c r="X65" s="125"/>
      <c r="Y65" s="299"/>
      <c r="Z65" s="300"/>
      <c r="AA65" s="115"/>
      <c r="AB65" s="108"/>
      <c r="AC65" s="313"/>
    </row>
    <row r="66" spans="1:29" ht="15.75" customHeight="1">
      <c r="A66" s="303"/>
      <c r="B66" s="98"/>
      <c r="C66" s="297"/>
      <c r="D66" s="298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8"/>
      <c r="S66" s="46"/>
      <c r="T66" s="118"/>
      <c r="U66" s="109"/>
      <c r="V66" s="110"/>
      <c r="W66" s="124"/>
      <c r="X66" s="125"/>
      <c r="Y66" s="299"/>
      <c r="Z66" s="300"/>
      <c r="AA66" s="115"/>
      <c r="AB66" s="108"/>
      <c r="AC66" s="313"/>
    </row>
    <row r="67" spans="1:29" ht="15.75" customHeight="1">
      <c r="A67" s="303"/>
      <c r="B67" s="98"/>
      <c r="C67" s="297"/>
      <c r="D67" s="298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8"/>
      <c r="S67" s="46"/>
      <c r="T67" s="118"/>
      <c r="U67" s="109"/>
      <c r="V67" s="110"/>
      <c r="W67" s="124"/>
      <c r="X67" s="125"/>
      <c r="Y67" s="299"/>
      <c r="Z67" s="300"/>
      <c r="AA67" s="115"/>
      <c r="AB67" s="108"/>
      <c r="AC67" s="313"/>
    </row>
    <row r="68" spans="1:29" ht="15.75" customHeight="1">
      <c r="A68" s="303"/>
      <c r="B68" s="98"/>
      <c r="C68" s="297"/>
      <c r="D68" s="298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8"/>
      <c r="S68" s="46"/>
      <c r="T68" s="118"/>
      <c r="U68" s="109"/>
      <c r="V68" s="110"/>
      <c r="W68" s="124"/>
      <c r="X68" s="125"/>
      <c r="Y68" s="299"/>
      <c r="Z68" s="300"/>
      <c r="AA68" s="115"/>
      <c r="AB68" s="108"/>
      <c r="AC68" s="313"/>
    </row>
    <row r="69" spans="1:29" ht="15.75" customHeight="1">
      <c r="A69" s="303"/>
      <c r="B69" s="98"/>
      <c r="C69" s="297"/>
      <c r="D69" s="298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8"/>
      <c r="S69" s="46"/>
      <c r="T69" s="118"/>
      <c r="U69" s="109"/>
      <c r="V69" s="110"/>
      <c r="W69" s="124"/>
      <c r="X69" s="125"/>
      <c r="Y69" s="299"/>
      <c r="Z69" s="300"/>
      <c r="AA69" s="115"/>
      <c r="AB69" s="108"/>
      <c r="AC69" s="313"/>
    </row>
    <row r="70" spans="1:29" ht="15.75" customHeight="1">
      <c r="A70" s="303"/>
      <c r="B70" s="98"/>
      <c r="C70" s="297"/>
      <c r="D70" s="298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8"/>
      <c r="S70" s="46"/>
      <c r="T70" s="118"/>
      <c r="U70" s="109"/>
      <c r="V70" s="110"/>
      <c r="W70" s="124"/>
      <c r="X70" s="125"/>
      <c r="Y70" s="299"/>
      <c r="Z70" s="300"/>
      <c r="AA70" s="115"/>
      <c r="AB70" s="108"/>
      <c r="AC70" s="313"/>
    </row>
    <row r="71" spans="1:29" ht="15.75" customHeight="1">
      <c r="A71" s="303"/>
      <c r="B71" s="98"/>
      <c r="C71" s="297"/>
      <c r="D71" s="298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8"/>
      <c r="S71" s="117"/>
      <c r="T71" s="118"/>
      <c r="U71" s="128"/>
      <c r="V71" s="129"/>
      <c r="W71" s="124"/>
      <c r="X71" s="125"/>
      <c r="Y71" s="299"/>
      <c r="Z71" s="300"/>
      <c r="AA71" s="163"/>
      <c r="AB71" s="123"/>
      <c r="AC71" s="313"/>
    </row>
    <row r="72" spans="1:29" ht="15.75" customHeight="1" thickBot="1">
      <c r="A72" s="304"/>
      <c r="B72" s="131" t="s">
        <v>115</v>
      </c>
      <c r="C72" s="294"/>
      <c r="D72" s="294"/>
      <c r="E72" s="132"/>
      <c r="F72" s="165"/>
      <c r="G72" s="133"/>
      <c r="H72" s="67"/>
      <c r="I72" s="134">
        <f t="shared" ref="I72:J72" si="37">AVERAGE(I56:I71)</f>
        <v>4.125</v>
      </c>
      <c r="J72" s="135">
        <f t="shared" si="37"/>
        <v>3600</v>
      </c>
      <c r="K72" s="136">
        <f t="shared" ref="K72" si="38">J72/I72</f>
        <v>872.72727272727275</v>
      </c>
      <c r="L72" s="134">
        <f t="shared" ref="L72:M72" si="39">AVERAGE(L56:L71)</f>
        <v>4.125</v>
      </c>
      <c r="M72" s="135">
        <f t="shared" si="39"/>
        <v>3276.5884868552635</v>
      </c>
      <c r="N72" s="136">
        <f>M72/L72</f>
        <v>794.32448166188203</v>
      </c>
      <c r="O72" s="137">
        <f>L72-I72</f>
        <v>0</v>
      </c>
      <c r="P72" s="138">
        <f>N72-K72</f>
        <v>-78.402791065390716</v>
      </c>
      <c r="Q72" s="139">
        <f>N72/K72</f>
        <v>0.91016346857090646</v>
      </c>
      <c r="R72" s="309"/>
      <c r="S72" s="140">
        <v>0.25</v>
      </c>
      <c r="T72" s="141">
        <v>0.47339120370370391</v>
      </c>
      <c r="U72" s="142"/>
      <c r="V72" s="164"/>
      <c r="W72" s="165"/>
      <c r="X72" s="136"/>
      <c r="Y72" s="295"/>
      <c r="Z72" s="296"/>
      <c r="AA72" s="166">
        <f>M72-J72</f>
        <v>-323.41151314473655</v>
      </c>
      <c r="AB72" s="139">
        <f>M72/J72</f>
        <v>0.91016346857090646</v>
      </c>
      <c r="AC72" s="314"/>
    </row>
    <row r="73" spans="1:29" ht="15.75" customHeight="1">
      <c r="A73" s="315" t="s">
        <v>131</v>
      </c>
      <c r="B73" s="112" t="s">
        <v>118</v>
      </c>
      <c r="C73" s="305" t="s">
        <v>132</v>
      </c>
      <c r="D73" s="306"/>
      <c r="E73" s="145">
        <v>28.57</v>
      </c>
      <c r="F73" s="95">
        <v>938</v>
      </c>
      <c r="G73" s="146">
        <f t="shared" ref="G73" si="40">E73*F73</f>
        <v>26798.66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3121.9412590235538</v>
      </c>
      <c r="N73" s="150">
        <f>M73/L73</f>
        <v>260.16177158529615</v>
      </c>
      <c r="O73" s="152">
        <f>L73-I73</f>
        <v>0</v>
      </c>
      <c r="P73" s="153">
        <f>N73-K73</f>
        <v>-39.838228414703849</v>
      </c>
      <c r="Q73" s="154">
        <f>N73/K73</f>
        <v>0.86720590528432051</v>
      </c>
      <c r="R73" s="307">
        <f>Q89</f>
        <v>0.86720590528432051</v>
      </c>
      <c r="S73" s="155">
        <v>0.73819444444444438</v>
      </c>
      <c r="T73" s="156">
        <v>0.75070601851851848</v>
      </c>
      <c r="U73" s="157"/>
      <c r="V73" s="158">
        <v>18.027245015366699</v>
      </c>
      <c r="W73" s="156"/>
      <c r="X73" s="167"/>
      <c r="Y73" s="310"/>
      <c r="Z73" s="311"/>
      <c r="AA73" s="113">
        <f>M73-J73</f>
        <v>-478.05874097644619</v>
      </c>
      <c r="AB73" s="154">
        <f>M73/J73</f>
        <v>0.86720590528432051</v>
      </c>
      <c r="AC73" s="312">
        <f>AB89</f>
        <v>0.86720590528432051</v>
      </c>
    </row>
    <row r="74" spans="1:29" ht="15.75" customHeight="1">
      <c r="A74" s="316"/>
      <c r="B74" s="98"/>
      <c r="C74" s="297"/>
      <c r="D74" s="298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8"/>
      <c r="S74" s="46"/>
      <c r="T74" s="47"/>
      <c r="U74" s="109"/>
      <c r="V74" s="110"/>
      <c r="W74" s="111"/>
      <c r="X74" s="13"/>
      <c r="Y74" s="299"/>
      <c r="Z74" s="300"/>
      <c r="AA74" s="115"/>
      <c r="AB74" s="108"/>
      <c r="AC74" s="313"/>
    </row>
    <row r="75" spans="1:29" ht="15.75" customHeight="1">
      <c r="A75" s="316"/>
      <c r="B75" s="98"/>
      <c r="C75" s="297"/>
      <c r="D75" s="298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8"/>
      <c r="S75" s="46"/>
      <c r="T75" s="47"/>
      <c r="U75" s="109"/>
      <c r="V75" s="110"/>
      <c r="W75" s="111"/>
      <c r="X75" s="13"/>
      <c r="Y75" s="299"/>
      <c r="Z75" s="300"/>
      <c r="AA75" s="115"/>
      <c r="AB75" s="108"/>
      <c r="AC75" s="313"/>
    </row>
    <row r="76" spans="1:29" ht="15.75" customHeight="1">
      <c r="A76" s="316"/>
      <c r="B76" s="98"/>
      <c r="C76" s="297"/>
      <c r="D76" s="298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8"/>
      <c r="S76" s="46"/>
      <c r="T76" s="47"/>
      <c r="U76" s="109"/>
      <c r="V76" s="110"/>
      <c r="W76" s="111"/>
      <c r="X76" s="114"/>
      <c r="Y76" s="299"/>
      <c r="Z76" s="300"/>
      <c r="AA76" s="115"/>
      <c r="AB76" s="108"/>
      <c r="AC76" s="313"/>
    </row>
    <row r="77" spans="1:29" ht="15.75" customHeight="1">
      <c r="A77" s="316"/>
      <c r="B77" s="98"/>
      <c r="C77" s="297"/>
      <c r="D77" s="298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8"/>
      <c r="S77" s="46"/>
      <c r="T77" s="47"/>
      <c r="U77" s="109"/>
      <c r="V77" s="110"/>
      <c r="W77" s="111"/>
      <c r="X77" s="114"/>
      <c r="Y77" s="299"/>
      <c r="Z77" s="300"/>
      <c r="AA77" s="115"/>
      <c r="AB77" s="108"/>
      <c r="AC77" s="313"/>
    </row>
    <row r="78" spans="1:29" ht="15.75" customHeight="1">
      <c r="A78" s="316"/>
      <c r="B78" s="98"/>
      <c r="C78" s="297"/>
      <c r="D78" s="298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8"/>
      <c r="S78" s="46"/>
      <c r="T78" s="118"/>
      <c r="U78" s="109"/>
      <c r="V78" s="110"/>
      <c r="W78" s="111"/>
      <c r="X78" s="49"/>
      <c r="Y78" s="299"/>
      <c r="Z78" s="300"/>
      <c r="AA78" s="115"/>
      <c r="AB78" s="108"/>
      <c r="AC78" s="313"/>
    </row>
    <row r="79" spans="1:29" ht="15.75" customHeight="1">
      <c r="A79" s="316"/>
      <c r="B79" s="98"/>
      <c r="C79" s="297"/>
      <c r="D79" s="298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8"/>
      <c r="S79" s="46"/>
      <c r="T79" s="118"/>
      <c r="U79" s="109"/>
      <c r="V79" s="110"/>
      <c r="W79" s="111"/>
      <c r="X79" s="114"/>
      <c r="Y79" s="299"/>
      <c r="Z79" s="300"/>
      <c r="AA79" s="115"/>
      <c r="AB79" s="108"/>
      <c r="AC79" s="313"/>
    </row>
    <row r="80" spans="1:29" ht="15.75" customHeight="1">
      <c r="A80" s="316"/>
      <c r="B80" s="98"/>
      <c r="C80" s="297"/>
      <c r="D80" s="298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8"/>
      <c r="S80" s="46"/>
      <c r="T80" s="118"/>
      <c r="U80" s="109"/>
      <c r="V80" s="110"/>
      <c r="W80" s="111"/>
      <c r="X80" s="114"/>
      <c r="Y80" s="299"/>
      <c r="Z80" s="300"/>
      <c r="AA80" s="115"/>
      <c r="AB80" s="108"/>
      <c r="AC80" s="313"/>
    </row>
    <row r="81" spans="1:29" ht="15.75" customHeight="1">
      <c r="A81" s="316"/>
      <c r="B81" s="98"/>
      <c r="C81" s="297"/>
      <c r="D81" s="298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8"/>
      <c r="S81" s="46"/>
      <c r="T81" s="118"/>
      <c r="U81" s="109"/>
      <c r="V81" s="110"/>
      <c r="W81" s="124"/>
      <c r="X81" s="125"/>
      <c r="Y81" s="299"/>
      <c r="Z81" s="300"/>
      <c r="AA81" s="115"/>
      <c r="AB81" s="108"/>
      <c r="AC81" s="313"/>
    </row>
    <row r="82" spans="1:29" ht="15.75" customHeight="1">
      <c r="A82" s="316"/>
      <c r="B82" s="98"/>
      <c r="C82" s="297"/>
      <c r="D82" s="298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8"/>
      <c r="S82" s="46"/>
      <c r="T82" s="118"/>
      <c r="U82" s="109"/>
      <c r="V82" s="110"/>
      <c r="W82" s="124"/>
      <c r="X82" s="125"/>
      <c r="Y82" s="299"/>
      <c r="Z82" s="300"/>
      <c r="AA82" s="115"/>
      <c r="AB82" s="108"/>
      <c r="AC82" s="313"/>
    </row>
    <row r="83" spans="1:29" ht="15.75" customHeight="1">
      <c r="A83" s="316"/>
      <c r="B83" s="98"/>
      <c r="C83" s="297"/>
      <c r="D83" s="298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8"/>
      <c r="S83" s="46"/>
      <c r="T83" s="118"/>
      <c r="U83" s="109"/>
      <c r="V83" s="110"/>
      <c r="W83" s="124"/>
      <c r="X83" s="125"/>
      <c r="Y83" s="299"/>
      <c r="Z83" s="300"/>
      <c r="AA83" s="115"/>
      <c r="AB83" s="108"/>
      <c r="AC83" s="313"/>
    </row>
    <row r="84" spans="1:29" ht="15.75" customHeight="1">
      <c r="A84" s="316"/>
      <c r="B84" s="98"/>
      <c r="C84" s="297"/>
      <c r="D84" s="298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8"/>
      <c r="S84" s="46"/>
      <c r="T84" s="118"/>
      <c r="U84" s="109"/>
      <c r="V84" s="110"/>
      <c r="W84" s="124"/>
      <c r="X84" s="125"/>
      <c r="Y84" s="299"/>
      <c r="Z84" s="300"/>
      <c r="AA84" s="115"/>
      <c r="AB84" s="108"/>
      <c r="AC84" s="313"/>
    </row>
    <row r="85" spans="1:29" ht="15.75" customHeight="1">
      <c r="A85" s="316"/>
      <c r="B85" s="98"/>
      <c r="C85" s="297"/>
      <c r="D85" s="298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8"/>
      <c r="S85" s="46"/>
      <c r="T85" s="118"/>
      <c r="U85" s="109"/>
      <c r="V85" s="110"/>
      <c r="W85" s="124"/>
      <c r="X85" s="125"/>
      <c r="Y85" s="299"/>
      <c r="Z85" s="300"/>
      <c r="AA85" s="115"/>
      <c r="AB85" s="108"/>
      <c r="AC85" s="313"/>
    </row>
    <row r="86" spans="1:29" ht="15.75" customHeight="1">
      <c r="A86" s="316"/>
      <c r="B86" s="98"/>
      <c r="C86" s="297"/>
      <c r="D86" s="298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8"/>
      <c r="S86" s="46"/>
      <c r="T86" s="118"/>
      <c r="U86" s="109"/>
      <c r="V86" s="110"/>
      <c r="W86" s="124"/>
      <c r="X86" s="125"/>
      <c r="Y86" s="299"/>
      <c r="Z86" s="300"/>
      <c r="AA86" s="115"/>
      <c r="AB86" s="108"/>
      <c r="AC86" s="313"/>
    </row>
    <row r="87" spans="1:29" ht="15.75" customHeight="1">
      <c r="A87" s="316"/>
      <c r="B87" s="98"/>
      <c r="C87" s="297"/>
      <c r="D87" s="298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8"/>
      <c r="S87" s="46"/>
      <c r="T87" s="118"/>
      <c r="U87" s="109"/>
      <c r="V87" s="110"/>
      <c r="W87" s="124"/>
      <c r="X87" s="125"/>
      <c r="Y87" s="299"/>
      <c r="Z87" s="300"/>
      <c r="AA87" s="115"/>
      <c r="AB87" s="108"/>
      <c r="AC87" s="313"/>
    </row>
    <row r="88" spans="1:29" ht="15.75" customHeight="1">
      <c r="A88" s="316"/>
      <c r="B88" s="98"/>
      <c r="C88" s="297"/>
      <c r="D88" s="298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8"/>
      <c r="S88" s="117"/>
      <c r="T88" s="118"/>
      <c r="U88" s="128"/>
      <c r="V88" s="129"/>
      <c r="W88" s="124"/>
      <c r="X88" s="125"/>
      <c r="Y88" s="299"/>
      <c r="Z88" s="300"/>
      <c r="AA88" s="163"/>
      <c r="AB88" s="123"/>
      <c r="AC88" s="313"/>
    </row>
    <row r="89" spans="1:29" ht="15.75" customHeight="1" thickBot="1">
      <c r="A89" s="317"/>
      <c r="B89" s="131" t="s">
        <v>115</v>
      </c>
      <c r="C89" s="294"/>
      <c r="D89" s="294"/>
      <c r="E89" s="132"/>
      <c r="F89" s="165"/>
      <c r="G89" s="133"/>
      <c r="H89" s="67"/>
      <c r="I89" s="134">
        <f t="shared" ref="I89:J89" si="41">AVERAGE(I73:I88)</f>
        <v>12</v>
      </c>
      <c r="J89" s="135">
        <f t="shared" si="41"/>
        <v>3600</v>
      </c>
      <c r="K89" s="136">
        <f t="shared" ref="K89" si="42">J89/I89</f>
        <v>300</v>
      </c>
      <c r="L89" s="134">
        <f t="shared" ref="L89:M89" si="43">AVERAGE(L73:L88)</f>
        <v>12</v>
      </c>
      <c r="M89" s="135">
        <f t="shared" si="43"/>
        <v>3121.9412590235538</v>
      </c>
      <c r="N89" s="136">
        <f>M89/L89</f>
        <v>260.16177158529615</v>
      </c>
      <c r="O89" s="137">
        <f>L89-I89</f>
        <v>0</v>
      </c>
      <c r="P89" s="138">
        <f>N89-K89</f>
        <v>-39.838228414703849</v>
      </c>
      <c r="Q89" s="139">
        <f>N89/K89</f>
        <v>0.86720590528432051</v>
      </c>
      <c r="R89" s="309"/>
      <c r="S89" s="140">
        <v>0.73819444444444438</v>
      </c>
      <c r="T89" s="141">
        <v>0.75070601851851848</v>
      </c>
      <c r="U89" s="142"/>
      <c r="V89" s="164"/>
      <c r="W89" s="165"/>
      <c r="X89" s="136"/>
      <c r="Y89" s="295"/>
      <c r="Z89" s="296"/>
      <c r="AA89" s="166">
        <f>M89-J89</f>
        <v>-478.05874097644619</v>
      </c>
      <c r="AB89" s="139">
        <f>M89/J89</f>
        <v>0.86720590528432051</v>
      </c>
      <c r="AC89" s="314"/>
    </row>
    <row r="90" spans="1:29" ht="15.75" customHeight="1">
      <c r="A90" s="301" t="s">
        <v>135</v>
      </c>
      <c r="B90" s="112" t="s">
        <v>118</v>
      </c>
      <c r="C90" s="305" t="s">
        <v>134</v>
      </c>
      <c r="D90" s="306"/>
      <c r="E90" s="145">
        <v>24.54</v>
      </c>
      <c r="F90" s="95">
        <v>820</v>
      </c>
      <c r="G90" s="146">
        <f t="shared" ref="G90" si="44">E90*F90</f>
        <v>20122.8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2789.4525899103442</v>
      </c>
      <c r="N90" s="150">
        <f>M90/L90</f>
        <v>697.36314747758604</v>
      </c>
      <c r="O90" s="152">
        <f>L90-I90</f>
        <v>0</v>
      </c>
      <c r="P90" s="153">
        <f>N90-K90</f>
        <v>-52.63685252241396</v>
      </c>
      <c r="Q90" s="154">
        <f>N90/K90</f>
        <v>0.92981752997011469</v>
      </c>
      <c r="R90" s="307">
        <f>Q106</f>
        <v>0.92981752997011469</v>
      </c>
      <c r="S90" s="155">
        <v>0.70833333333333337</v>
      </c>
      <c r="T90" s="156">
        <v>0.72057870370370369</v>
      </c>
      <c r="U90" s="157"/>
      <c r="V90" s="158">
        <v>17.637869228521765</v>
      </c>
      <c r="W90" s="159"/>
      <c r="X90" s="160"/>
      <c r="Y90" s="310"/>
      <c r="Z90" s="311"/>
      <c r="AA90" s="113">
        <f>M90-J90</f>
        <v>-210.54741008965584</v>
      </c>
      <c r="AB90" s="154">
        <f>M90/J90</f>
        <v>0.92981752997011469</v>
      </c>
      <c r="AC90" s="312">
        <f>AB106</f>
        <v>0.92981752997011469</v>
      </c>
    </row>
    <row r="91" spans="1:29" ht="15.75" customHeight="1">
      <c r="A91" s="302"/>
      <c r="B91" s="98"/>
      <c r="C91" s="297"/>
      <c r="D91" s="298"/>
      <c r="E91" s="99"/>
      <c r="F91" s="100"/>
      <c r="G91" s="101"/>
      <c r="H91" s="26"/>
      <c r="I91" s="102"/>
      <c r="J91" s="103"/>
      <c r="K91" s="104"/>
      <c r="L91" s="105"/>
      <c r="M91" s="103"/>
      <c r="N91" s="104"/>
      <c r="O91" s="106"/>
      <c r="P91" s="107"/>
      <c r="Q91" s="108"/>
      <c r="R91" s="308"/>
      <c r="S91" s="46"/>
      <c r="T91" s="47"/>
      <c r="U91" s="109"/>
      <c r="V91" s="110"/>
      <c r="W91" s="111"/>
      <c r="X91" s="114"/>
      <c r="Y91" s="299"/>
      <c r="Z91" s="300"/>
      <c r="AA91" s="115"/>
      <c r="AB91" s="108"/>
      <c r="AC91" s="313"/>
    </row>
    <row r="92" spans="1:29" ht="15.75" customHeight="1">
      <c r="A92" s="302"/>
      <c r="B92" s="98"/>
      <c r="C92" s="297"/>
      <c r="D92" s="298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8"/>
      <c r="S92" s="46"/>
      <c r="T92" s="47"/>
      <c r="U92" s="109"/>
      <c r="V92" s="110"/>
      <c r="W92" s="111"/>
      <c r="X92" s="114"/>
      <c r="Y92" s="299"/>
      <c r="Z92" s="300"/>
      <c r="AA92" s="115"/>
      <c r="AB92" s="108"/>
      <c r="AC92" s="313"/>
    </row>
    <row r="93" spans="1:29" ht="15.75" customHeight="1">
      <c r="A93" s="302"/>
      <c r="B93" s="98"/>
      <c r="C93" s="297"/>
      <c r="D93" s="298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8"/>
      <c r="S93" s="46"/>
      <c r="T93" s="47"/>
      <c r="U93" s="109"/>
      <c r="V93" s="110"/>
      <c r="W93" s="111"/>
      <c r="X93" s="114"/>
      <c r="Y93" s="299"/>
      <c r="Z93" s="300"/>
      <c r="AA93" s="115"/>
      <c r="AB93" s="108"/>
      <c r="AC93" s="313"/>
    </row>
    <row r="94" spans="1:29" ht="15.75" customHeight="1">
      <c r="A94" s="303"/>
      <c r="B94" s="98"/>
      <c r="C94" s="297"/>
      <c r="D94" s="298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8"/>
      <c r="S94" s="46"/>
      <c r="T94" s="47"/>
      <c r="U94" s="109"/>
      <c r="V94" s="110"/>
      <c r="W94" s="111"/>
      <c r="X94" s="114"/>
      <c r="Y94" s="299"/>
      <c r="Z94" s="300"/>
      <c r="AA94" s="115"/>
      <c r="AB94" s="108"/>
      <c r="AC94" s="313"/>
    </row>
    <row r="95" spans="1:29" ht="15.75" customHeight="1">
      <c r="A95" s="303"/>
      <c r="B95" s="98"/>
      <c r="C95" s="297"/>
      <c r="D95" s="298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8"/>
      <c r="S95" s="46"/>
      <c r="T95" s="118"/>
      <c r="U95" s="109"/>
      <c r="V95" s="110"/>
      <c r="W95" s="111"/>
      <c r="X95" s="114"/>
      <c r="Y95" s="299"/>
      <c r="Z95" s="300"/>
      <c r="AA95" s="115"/>
      <c r="AB95" s="108"/>
      <c r="AC95" s="313"/>
    </row>
    <row r="96" spans="1:29" ht="15.75" customHeight="1">
      <c r="A96" s="303"/>
      <c r="B96" s="98"/>
      <c r="C96" s="297"/>
      <c r="D96" s="298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8"/>
      <c r="S96" s="46"/>
      <c r="T96" s="118"/>
      <c r="U96" s="109"/>
      <c r="V96" s="110"/>
      <c r="W96" s="111"/>
      <c r="X96" s="114"/>
      <c r="Y96" s="299"/>
      <c r="Z96" s="300"/>
      <c r="AA96" s="115"/>
      <c r="AB96" s="108"/>
      <c r="AC96" s="313"/>
    </row>
    <row r="97" spans="1:29" ht="15.75" customHeight="1">
      <c r="A97" s="303"/>
      <c r="B97" s="98"/>
      <c r="C97" s="297"/>
      <c r="D97" s="298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8"/>
      <c r="S97" s="46"/>
      <c r="T97" s="118"/>
      <c r="U97" s="109"/>
      <c r="V97" s="110"/>
      <c r="W97" s="111"/>
      <c r="X97" s="114"/>
      <c r="Y97" s="299"/>
      <c r="Z97" s="300"/>
      <c r="AA97" s="115"/>
      <c r="AB97" s="108"/>
      <c r="AC97" s="313"/>
    </row>
    <row r="98" spans="1:29" ht="15.75" customHeight="1">
      <c r="A98" s="303"/>
      <c r="B98" s="98"/>
      <c r="C98" s="297"/>
      <c r="D98" s="298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8"/>
      <c r="S98" s="46"/>
      <c r="T98" s="118"/>
      <c r="U98" s="109"/>
      <c r="V98" s="110"/>
      <c r="W98" s="111"/>
      <c r="X98" s="114"/>
      <c r="Y98" s="299"/>
      <c r="Z98" s="300"/>
      <c r="AA98" s="115"/>
      <c r="AB98" s="108"/>
      <c r="AC98" s="313"/>
    </row>
    <row r="99" spans="1:29" ht="15.75" customHeight="1">
      <c r="A99" s="303"/>
      <c r="B99" s="98"/>
      <c r="C99" s="297"/>
      <c r="D99" s="298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8"/>
      <c r="S99" s="46"/>
      <c r="T99" s="118"/>
      <c r="U99" s="109"/>
      <c r="V99" s="110"/>
      <c r="W99" s="111"/>
      <c r="X99" s="114"/>
      <c r="Y99" s="299"/>
      <c r="Z99" s="300"/>
      <c r="AA99" s="115"/>
      <c r="AB99" s="108"/>
      <c r="AC99" s="313"/>
    </row>
    <row r="100" spans="1:29" ht="15.75" customHeight="1">
      <c r="A100" s="303"/>
      <c r="B100" s="98"/>
      <c r="C100" s="297"/>
      <c r="D100" s="298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8"/>
      <c r="S100" s="46"/>
      <c r="T100" s="118"/>
      <c r="U100" s="109"/>
      <c r="V100" s="110"/>
      <c r="W100" s="124"/>
      <c r="X100" s="125"/>
      <c r="Y100" s="299"/>
      <c r="Z100" s="300"/>
      <c r="AA100" s="115"/>
      <c r="AB100" s="108"/>
      <c r="AC100" s="313"/>
    </row>
    <row r="101" spans="1:29" ht="15.75" customHeight="1">
      <c r="A101" s="303"/>
      <c r="B101" s="98"/>
      <c r="C101" s="297"/>
      <c r="D101" s="298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8"/>
      <c r="S101" s="46"/>
      <c r="T101" s="118"/>
      <c r="U101" s="109"/>
      <c r="V101" s="110"/>
      <c r="W101" s="124"/>
      <c r="X101" s="125"/>
      <c r="Y101" s="299"/>
      <c r="Z101" s="300"/>
      <c r="AA101" s="115"/>
      <c r="AB101" s="108"/>
      <c r="AC101" s="313"/>
    </row>
    <row r="102" spans="1:29" ht="15.75" customHeight="1">
      <c r="A102" s="303"/>
      <c r="B102" s="98"/>
      <c r="C102" s="297"/>
      <c r="D102" s="298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8"/>
      <c r="S102" s="46"/>
      <c r="T102" s="118"/>
      <c r="U102" s="109"/>
      <c r="V102" s="110"/>
      <c r="W102" s="124"/>
      <c r="X102" s="125"/>
      <c r="Y102" s="299"/>
      <c r="Z102" s="300"/>
      <c r="AA102" s="115"/>
      <c r="AB102" s="108"/>
      <c r="AC102" s="313"/>
    </row>
    <row r="103" spans="1:29" ht="15.75" customHeight="1">
      <c r="A103" s="303"/>
      <c r="B103" s="98"/>
      <c r="C103" s="297"/>
      <c r="D103" s="298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8"/>
      <c r="S103" s="46"/>
      <c r="T103" s="118"/>
      <c r="U103" s="109"/>
      <c r="V103" s="110"/>
      <c r="W103" s="124"/>
      <c r="X103" s="125"/>
      <c r="Y103" s="299"/>
      <c r="Z103" s="300"/>
      <c r="AA103" s="115"/>
      <c r="AB103" s="108"/>
      <c r="AC103" s="313"/>
    </row>
    <row r="104" spans="1:29" ht="15.75" customHeight="1">
      <c r="A104" s="303"/>
      <c r="B104" s="98"/>
      <c r="C104" s="297"/>
      <c r="D104" s="298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8"/>
      <c r="S104" s="46"/>
      <c r="T104" s="118"/>
      <c r="U104" s="109"/>
      <c r="V104" s="110"/>
      <c r="W104" s="124"/>
      <c r="X104" s="125"/>
      <c r="Y104" s="299"/>
      <c r="Z104" s="300"/>
      <c r="AA104" s="115"/>
      <c r="AB104" s="108"/>
      <c r="AC104" s="313"/>
    </row>
    <row r="105" spans="1:29" ht="15.75" customHeight="1">
      <c r="A105" s="303"/>
      <c r="B105" s="98"/>
      <c r="C105" s="297"/>
      <c r="D105" s="298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8"/>
      <c r="S105" s="117"/>
      <c r="T105" s="118"/>
      <c r="U105" s="128"/>
      <c r="V105" s="129"/>
      <c r="W105" s="124"/>
      <c r="X105" s="125"/>
      <c r="Y105" s="299"/>
      <c r="Z105" s="300"/>
      <c r="AA105" s="163"/>
      <c r="AB105" s="123"/>
      <c r="AC105" s="313"/>
    </row>
    <row r="106" spans="1:29" ht="15.75" customHeight="1" thickBot="1">
      <c r="A106" s="304"/>
      <c r="B106" s="131" t="s">
        <v>115</v>
      </c>
      <c r="C106" s="294"/>
      <c r="D106" s="294"/>
      <c r="E106" s="132"/>
      <c r="F106" s="97"/>
      <c r="G106" s="133"/>
      <c r="H106" s="67"/>
      <c r="I106" s="134">
        <f t="shared" ref="I106:J106" si="45">AVERAGE(I90:I105)</f>
        <v>4</v>
      </c>
      <c r="J106" s="135">
        <f t="shared" si="45"/>
        <v>3000</v>
      </c>
      <c r="K106" s="136">
        <f t="shared" ref="K106" si="46">J106/I106</f>
        <v>750</v>
      </c>
      <c r="L106" s="134">
        <f t="shared" ref="L106:M106" si="47">AVERAGE(L90:L105)</f>
        <v>4</v>
      </c>
      <c r="M106" s="135">
        <f t="shared" si="47"/>
        <v>2789.4525899103442</v>
      </c>
      <c r="N106" s="136">
        <f t="shared" ref="N106:N120" si="48">M106/L106</f>
        <v>697.36314747758604</v>
      </c>
      <c r="O106" s="137">
        <f t="shared" ref="O106:O120" si="49">L106-I106</f>
        <v>0</v>
      </c>
      <c r="P106" s="138">
        <f t="shared" ref="P106:P120" si="50">N106-K106</f>
        <v>-52.63685252241396</v>
      </c>
      <c r="Q106" s="139">
        <f t="shared" ref="Q106:Q120" si="51">N106/K106</f>
        <v>0.92981752997011469</v>
      </c>
      <c r="R106" s="309"/>
      <c r="S106" s="140">
        <v>0.70833333333333337</v>
      </c>
      <c r="T106" s="141">
        <v>0.72057870370370369</v>
      </c>
      <c r="U106" s="142"/>
      <c r="V106" s="164"/>
      <c r="W106" s="97"/>
      <c r="X106" s="67"/>
      <c r="Y106" s="295"/>
      <c r="Z106" s="296"/>
      <c r="AA106" s="166">
        <f t="shared" ref="AA106:AA120" si="52">M106-J106</f>
        <v>-210.54741008965584</v>
      </c>
      <c r="AB106" s="139">
        <f t="shared" ref="AB106:AB120" si="53">M106/J106</f>
        <v>0.92981752997011469</v>
      </c>
      <c r="AC106" s="314"/>
    </row>
    <row r="107" spans="1:29" ht="15.75" customHeight="1">
      <c r="A107" s="315" t="s">
        <v>138</v>
      </c>
      <c r="B107" s="112" t="s">
        <v>118</v>
      </c>
      <c r="C107" s="305" t="s">
        <v>139</v>
      </c>
      <c r="D107" s="306"/>
      <c r="E107" s="145">
        <v>14.03</v>
      </c>
      <c r="F107" s="95">
        <v>295</v>
      </c>
      <c r="G107" s="146">
        <f t="shared" ref="G107:G120" si="54">E107*F107</f>
        <v>4138.8499999999995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55">F107/V107*60</f>
        <v>2794.1930972203972</v>
      </c>
      <c r="N107" s="150">
        <f t="shared" si="48"/>
        <v>931.39769907346579</v>
      </c>
      <c r="O107" s="152">
        <f t="shared" si="49"/>
        <v>0</v>
      </c>
      <c r="P107" s="153">
        <f t="shared" si="50"/>
        <v>-68.602300926534213</v>
      </c>
      <c r="Q107" s="154">
        <f t="shared" si="51"/>
        <v>0.93139769907346581</v>
      </c>
      <c r="R107" s="307">
        <f>Q123</f>
        <v>0.91515029448749385</v>
      </c>
      <c r="S107" s="155">
        <v>0.7319444444444444</v>
      </c>
      <c r="T107" s="156">
        <v>0.73634259259259249</v>
      </c>
      <c r="U107" s="157"/>
      <c r="V107" s="158">
        <v>6.3345657884587778</v>
      </c>
      <c r="W107" s="159"/>
      <c r="X107" s="160"/>
      <c r="Y107" s="310"/>
      <c r="Z107" s="311"/>
      <c r="AA107" s="113">
        <f t="shared" si="52"/>
        <v>-205.80690277960275</v>
      </c>
      <c r="AB107" s="154">
        <f t="shared" si="53"/>
        <v>0.9313976990734657</v>
      </c>
      <c r="AC107" s="312">
        <f>AB123</f>
        <v>0.91515029448749385</v>
      </c>
    </row>
    <row r="108" spans="1:29" ht="15.75" customHeight="1">
      <c r="A108" s="316"/>
      <c r="B108" s="98" t="s">
        <v>118</v>
      </c>
      <c r="C108" s="297" t="s">
        <v>140</v>
      </c>
      <c r="D108" s="298"/>
      <c r="E108" s="99">
        <v>18.18</v>
      </c>
      <c r="F108" s="100">
        <v>564</v>
      </c>
      <c r="G108" s="101">
        <f t="shared" si="54"/>
        <v>10253.52</v>
      </c>
      <c r="H108" s="26">
        <v>2</v>
      </c>
      <c r="I108" s="102">
        <v>3</v>
      </c>
      <c r="J108" s="103">
        <v>3000</v>
      </c>
      <c r="K108" s="104">
        <f t="shared" ref="K108:K137" si="56">J108/I108</f>
        <v>1000</v>
      </c>
      <c r="L108" s="105">
        <v>3</v>
      </c>
      <c r="M108" s="103">
        <f t="shared" si="55"/>
        <v>2789.7538193692012</v>
      </c>
      <c r="N108" s="104">
        <f t="shared" si="48"/>
        <v>929.91793978973374</v>
      </c>
      <c r="O108" s="106">
        <f t="shared" si="49"/>
        <v>0</v>
      </c>
      <c r="P108" s="107">
        <f t="shared" si="50"/>
        <v>-70.082060210266263</v>
      </c>
      <c r="Q108" s="108">
        <f t="shared" si="51"/>
        <v>0.92991793978973369</v>
      </c>
      <c r="R108" s="308"/>
      <c r="S108" s="46">
        <v>0.74583333333333324</v>
      </c>
      <c r="T108" s="47">
        <v>0.75424768518518504</v>
      </c>
      <c r="U108" s="109">
        <v>13.666666666666671</v>
      </c>
      <c r="V108" s="110">
        <v>12.130102579320656</v>
      </c>
      <c r="W108" s="111"/>
      <c r="X108" s="114"/>
      <c r="Y108" s="299"/>
      <c r="Z108" s="300"/>
      <c r="AA108" s="115">
        <f t="shared" si="52"/>
        <v>-210.24618063079879</v>
      </c>
      <c r="AB108" s="108">
        <f t="shared" si="53"/>
        <v>0.92991793978973369</v>
      </c>
      <c r="AC108" s="313"/>
    </row>
    <row r="109" spans="1:29" ht="15.75" customHeight="1">
      <c r="A109" s="316"/>
      <c r="B109" s="98" t="s">
        <v>118</v>
      </c>
      <c r="C109" s="297" t="s">
        <v>144</v>
      </c>
      <c r="D109" s="298"/>
      <c r="E109" s="99">
        <v>18.18</v>
      </c>
      <c r="F109" s="100">
        <v>342</v>
      </c>
      <c r="G109" s="101">
        <f t="shared" si="54"/>
        <v>6217.5599999999995</v>
      </c>
      <c r="H109" s="26">
        <v>2</v>
      </c>
      <c r="I109" s="102">
        <v>3</v>
      </c>
      <c r="J109" s="103">
        <v>3600</v>
      </c>
      <c r="K109" s="104">
        <f t="shared" si="56"/>
        <v>1200</v>
      </c>
      <c r="L109" s="105">
        <v>3</v>
      </c>
      <c r="M109" s="103">
        <f t="shared" si="55"/>
        <v>3275.1967457470273</v>
      </c>
      <c r="N109" s="104">
        <f t="shared" si="48"/>
        <v>1091.7322485823424</v>
      </c>
      <c r="O109" s="106">
        <f t="shared" si="49"/>
        <v>0</v>
      </c>
      <c r="P109" s="107">
        <f t="shared" si="50"/>
        <v>-108.26775141765756</v>
      </c>
      <c r="Q109" s="108">
        <f t="shared" si="51"/>
        <v>0.90977687381861871</v>
      </c>
      <c r="R109" s="308"/>
      <c r="S109" s="46">
        <v>0.76388888888888873</v>
      </c>
      <c r="T109" s="47">
        <v>0.76822916666666652</v>
      </c>
      <c r="U109" s="109">
        <v>13.883333333333319</v>
      </c>
      <c r="V109" s="110">
        <v>6.2652724684848415</v>
      </c>
      <c r="W109" s="111"/>
      <c r="X109" s="114"/>
      <c r="Y109" s="299"/>
      <c r="Z109" s="300"/>
      <c r="AA109" s="115">
        <f t="shared" si="52"/>
        <v>-324.80325425297269</v>
      </c>
      <c r="AB109" s="108">
        <f t="shared" si="53"/>
        <v>0.90977687381861871</v>
      </c>
      <c r="AC109" s="313"/>
    </row>
    <row r="110" spans="1:29" ht="15.75" customHeight="1">
      <c r="A110" s="316"/>
      <c r="B110" s="98" t="s">
        <v>118</v>
      </c>
      <c r="C110" s="297" t="s">
        <v>133</v>
      </c>
      <c r="D110" s="298"/>
      <c r="E110" s="99">
        <v>16.7</v>
      </c>
      <c r="F110" s="100">
        <v>558</v>
      </c>
      <c r="G110" s="101">
        <f t="shared" si="54"/>
        <v>9318.6</v>
      </c>
      <c r="H110" s="26">
        <v>2</v>
      </c>
      <c r="I110" s="102">
        <v>3</v>
      </c>
      <c r="J110" s="103">
        <v>3600</v>
      </c>
      <c r="K110" s="104">
        <f t="shared" si="56"/>
        <v>1200</v>
      </c>
      <c r="L110" s="105">
        <v>3</v>
      </c>
      <c r="M110" s="103">
        <f t="shared" si="55"/>
        <v>3275.8688599768593</v>
      </c>
      <c r="N110" s="104">
        <f t="shared" si="48"/>
        <v>1091.9562866589531</v>
      </c>
      <c r="O110" s="106">
        <f t="shared" si="49"/>
        <v>0</v>
      </c>
      <c r="P110" s="107">
        <f t="shared" si="50"/>
        <v>-108.0437133410469</v>
      </c>
      <c r="Q110" s="108">
        <f t="shared" si="51"/>
        <v>0.90996357221579427</v>
      </c>
      <c r="R110" s="308"/>
      <c r="S110" s="46">
        <v>0.77777777777777757</v>
      </c>
      <c r="T110" s="47">
        <v>0.78487268518518494</v>
      </c>
      <c r="U110" s="109">
        <v>13.749999999999911</v>
      </c>
      <c r="V110" s="110">
        <v>10.22018933939758</v>
      </c>
      <c r="W110" s="111"/>
      <c r="X110" s="114"/>
      <c r="Y110" s="299"/>
      <c r="Z110" s="300"/>
      <c r="AA110" s="115">
        <f t="shared" si="52"/>
        <v>-324.13114002314069</v>
      </c>
      <c r="AB110" s="108">
        <f t="shared" si="53"/>
        <v>0.90996357221579427</v>
      </c>
      <c r="AC110" s="313"/>
    </row>
    <row r="111" spans="1:29" ht="15.75" customHeight="1">
      <c r="A111" s="316"/>
      <c r="B111" s="98" t="s">
        <v>118</v>
      </c>
      <c r="C111" s="297" t="s">
        <v>193</v>
      </c>
      <c r="D111" s="298"/>
      <c r="E111" s="99">
        <v>30</v>
      </c>
      <c r="F111" s="100">
        <v>623</v>
      </c>
      <c r="G111" s="101">
        <f t="shared" si="54"/>
        <v>18690</v>
      </c>
      <c r="H111" s="26">
        <v>2</v>
      </c>
      <c r="I111" s="102">
        <v>4</v>
      </c>
      <c r="J111" s="103">
        <v>3600</v>
      </c>
      <c r="K111" s="104">
        <f t="shared" si="56"/>
        <v>900</v>
      </c>
      <c r="L111" s="105">
        <v>4</v>
      </c>
      <c r="M111" s="103">
        <f t="shared" si="55"/>
        <v>3276.6078088416293</v>
      </c>
      <c r="N111" s="104">
        <f t="shared" si="48"/>
        <v>819.15195221040733</v>
      </c>
      <c r="O111" s="106">
        <f t="shared" si="49"/>
        <v>0</v>
      </c>
      <c r="P111" s="107">
        <f t="shared" si="50"/>
        <v>-80.84804778959267</v>
      </c>
      <c r="Q111" s="108">
        <f t="shared" si="51"/>
        <v>0.91016883578934149</v>
      </c>
      <c r="R111" s="308"/>
      <c r="S111" s="46">
        <v>0.79444444444444418</v>
      </c>
      <c r="T111" s="47">
        <v>0.80236111111111086</v>
      </c>
      <c r="U111" s="109">
        <v>13.783333333333303</v>
      </c>
      <c r="V111" s="110">
        <v>11.408139814332817</v>
      </c>
      <c r="W111" s="111"/>
      <c r="X111" s="114"/>
      <c r="Y111" s="299"/>
      <c r="Z111" s="300"/>
      <c r="AA111" s="115">
        <f t="shared" si="52"/>
        <v>-323.39219115837068</v>
      </c>
      <c r="AB111" s="108">
        <f t="shared" si="53"/>
        <v>0.91016883578934149</v>
      </c>
      <c r="AC111" s="313"/>
    </row>
    <row r="112" spans="1:29" ht="15.75" customHeight="1">
      <c r="A112" s="316"/>
      <c r="B112" s="98" t="s">
        <v>118</v>
      </c>
      <c r="C112" s="297" t="s">
        <v>146</v>
      </c>
      <c r="D112" s="298"/>
      <c r="E112" s="99">
        <v>25.03</v>
      </c>
      <c r="F112" s="100">
        <v>399</v>
      </c>
      <c r="G112" s="119">
        <f t="shared" si="54"/>
        <v>9986.9700000000012</v>
      </c>
      <c r="H112" s="26">
        <v>2</v>
      </c>
      <c r="I112" s="102">
        <v>5</v>
      </c>
      <c r="J112" s="103">
        <v>3600</v>
      </c>
      <c r="K112" s="104">
        <f t="shared" si="56"/>
        <v>720</v>
      </c>
      <c r="L112" s="105">
        <v>5</v>
      </c>
      <c r="M112" s="103">
        <f t="shared" si="55"/>
        <v>3274.7127196544702</v>
      </c>
      <c r="N112" s="104">
        <f t="shared" si="48"/>
        <v>654.94254393089409</v>
      </c>
      <c r="O112" s="106">
        <f t="shared" si="49"/>
        <v>0</v>
      </c>
      <c r="P112" s="107">
        <f t="shared" si="50"/>
        <v>-65.057456069105911</v>
      </c>
      <c r="Q112" s="108">
        <f t="shared" si="51"/>
        <v>0.9096424221262418</v>
      </c>
      <c r="R112" s="308"/>
      <c r="S112" s="46">
        <v>0.81180555555555522</v>
      </c>
      <c r="T112" s="118">
        <v>0.81687499999999968</v>
      </c>
      <c r="U112" s="109">
        <v>13.599999999999888</v>
      </c>
      <c r="V112" s="110">
        <v>7.31056494095336</v>
      </c>
      <c r="W112" s="111"/>
      <c r="X112" s="114"/>
      <c r="Y112" s="299"/>
      <c r="Z112" s="300"/>
      <c r="AA112" s="115">
        <f t="shared" si="52"/>
        <v>-325.28728034552978</v>
      </c>
      <c r="AB112" s="108">
        <f t="shared" si="53"/>
        <v>0.90964242212624169</v>
      </c>
      <c r="AC112" s="313"/>
    </row>
    <row r="113" spans="1:29" ht="15.75" customHeight="1">
      <c r="A113" s="316"/>
      <c r="B113" s="98" t="s">
        <v>118</v>
      </c>
      <c r="C113" s="297" t="s">
        <v>137</v>
      </c>
      <c r="D113" s="298"/>
      <c r="E113" s="99">
        <v>16.66</v>
      </c>
      <c r="F113" s="100">
        <v>2035</v>
      </c>
      <c r="G113" s="119">
        <f t="shared" si="54"/>
        <v>33903.1</v>
      </c>
      <c r="H113" s="26">
        <v>2</v>
      </c>
      <c r="I113" s="102">
        <v>5</v>
      </c>
      <c r="J113" s="103">
        <v>3600</v>
      </c>
      <c r="K113" s="104">
        <f t="shared" si="56"/>
        <v>720</v>
      </c>
      <c r="L113" s="105">
        <v>5</v>
      </c>
      <c r="M113" s="103">
        <f t="shared" si="55"/>
        <v>3278.3228830803109</v>
      </c>
      <c r="N113" s="104">
        <f t="shared" si="48"/>
        <v>655.66457661606216</v>
      </c>
      <c r="O113" s="121">
        <f t="shared" si="49"/>
        <v>0</v>
      </c>
      <c r="P113" s="122">
        <f t="shared" si="50"/>
        <v>-64.335423383937837</v>
      </c>
      <c r="Q113" s="123">
        <f t="shared" si="51"/>
        <v>0.91064524530008639</v>
      </c>
      <c r="R113" s="308"/>
      <c r="S113" s="46">
        <v>0.82638888888888851</v>
      </c>
      <c r="T113" s="118">
        <v>0.85224537037036996</v>
      </c>
      <c r="U113" s="109">
        <v>13.699999999999903</v>
      </c>
      <c r="V113" s="110">
        <v>37.244653548363999</v>
      </c>
      <c r="W113" s="111"/>
      <c r="X113" s="114"/>
      <c r="Y113" s="299"/>
      <c r="Z113" s="300"/>
      <c r="AA113" s="115">
        <f t="shared" si="52"/>
        <v>-321.67711691968907</v>
      </c>
      <c r="AB113" s="108">
        <f t="shared" si="53"/>
        <v>0.91064524530008639</v>
      </c>
      <c r="AC113" s="313"/>
    </row>
    <row r="114" spans="1:29" ht="15.75" customHeight="1">
      <c r="A114" s="316"/>
      <c r="B114" s="98" t="s">
        <v>118</v>
      </c>
      <c r="C114" s="297" t="s">
        <v>140</v>
      </c>
      <c r="D114" s="298"/>
      <c r="E114" s="99">
        <v>18.18</v>
      </c>
      <c r="F114" s="100">
        <v>735</v>
      </c>
      <c r="G114" s="119">
        <f t="shared" si="54"/>
        <v>13362.3</v>
      </c>
      <c r="H114" s="26"/>
      <c r="I114" s="102">
        <v>3</v>
      </c>
      <c r="J114" s="103">
        <v>3000</v>
      </c>
      <c r="K114" s="104">
        <f t="shared" si="56"/>
        <v>1000</v>
      </c>
      <c r="L114" s="116">
        <v>3</v>
      </c>
      <c r="M114" s="103">
        <f t="shared" si="55"/>
        <v>2790.1068221430592</v>
      </c>
      <c r="N114" s="104">
        <f t="shared" si="48"/>
        <v>930.03560738101976</v>
      </c>
      <c r="O114" s="121">
        <f t="shared" si="49"/>
        <v>0</v>
      </c>
      <c r="P114" s="122">
        <f t="shared" si="50"/>
        <v>-69.964392618980241</v>
      </c>
      <c r="Q114" s="123">
        <f t="shared" si="51"/>
        <v>0.93003560738101976</v>
      </c>
      <c r="R114" s="308"/>
      <c r="S114" s="46">
        <v>0.86180555555555516</v>
      </c>
      <c r="T114" s="118">
        <v>0.87277777777777743</v>
      </c>
      <c r="U114" s="109">
        <v>13.766666666666687</v>
      </c>
      <c r="V114" s="110">
        <v>15.805846446455099</v>
      </c>
      <c r="W114" s="111"/>
      <c r="X114" s="114"/>
      <c r="Y114" s="299"/>
      <c r="Z114" s="300"/>
      <c r="AA114" s="115">
        <f t="shared" si="52"/>
        <v>-209.89317785694084</v>
      </c>
      <c r="AB114" s="108">
        <f t="shared" si="53"/>
        <v>0.93003560738101976</v>
      </c>
      <c r="AC114" s="313"/>
    </row>
    <row r="115" spans="1:29" ht="15.75" customHeight="1">
      <c r="A115" s="316"/>
      <c r="B115" s="98" t="s">
        <v>118</v>
      </c>
      <c r="C115" s="297" t="s">
        <v>144</v>
      </c>
      <c r="D115" s="298"/>
      <c r="E115" s="99">
        <v>18.18</v>
      </c>
      <c r="F115" s="100">
        <v>436</v>
      </c>
      <c r="G115" s="119">
        <f t="shared" si="54"/>
        <v>7926.48</v>
      </c>
      <c r="H115" s="26"/>
      <c r="I115" s="102">
        <v>3</v>
      </c>
      <c r="J115" s="103">
        <v>3600</v>
      </c>
      <c r="K115" s="104">
        <f t="shared" si="56"/>
        <v>1200</v>
      </c>
      <c r="L115" s="116">
        <v>3</v>
      </c>
      <c r="M115" s="103">
        <f t="shared" si="55"/>
        <v>3275.1967457470278</v>
      </c>
      <c r="N115" s="104">
        <f t="shared" si="48"/>
        <v>1091.7322485823427</v>
      </c>
      <c r="O115" s="121">
        <f t="shared" si="49"/>
        <v>0</v>
      </c>
      <c r="P115" s="122">
        <f t="shared" si="50"/>
        <v>-108.26775141765734</v>
      </c>
      <c r="Q115" s="123">
        <f t="shared" si="51"/>
        <v>0.90977687381861894</v>
      </c>
      <c r="R115" s="308"/>
      <c r="S115" s="46">
        <v>0.88194444444444398</v>
      </c>
      <c r="T115" s="118">
        <v>0.88748842592592547</v>
      </c>
      <c r="U115" s="109">
        <v>13.199999999999825</v>
      </c>
      <c r="V115" s="110">
        <v>7.9873064218110841</v>
      </c>
      <c r="W115" s="111"/>
      <c r="X115" s="114"/>
      <c r="Y115" s="299"/>
      <c r="Z115" s="300"/>
      <c r="AA115" s="115">
        <f t="shared" si="52"/>
        <v>-324.80325425297224</v>
      </c>
      <c r="AB115" s="108">
        <f t="shared" si="53"/>
        <v>0.90977687381861883</v>
      </c>
      <c r="AC115" s="313"/>
    </row>
    <row r="116" spans="1:29" ht="15.75" customHeight="1">
      <c r="A116" s="316"/>
      <c r="B116" s="98" t="s">
        <v>118</v>
      </c>
      <c r="C116" s="297" t="s">
        <v>133</v>
      </c>
      <c r="D116" s="298"/>
      <c r="E116" s="99">
        <v>16.7</v>
      </c>
      <c r="F116" s="100">
        <v>775</v>
      </c>
      <c r="G116" s="119">
        <f t="shared" si="54"/>
        <v>12942.5</v>
      </c>
      <c r="H116" s="26"/>
      <c r="I116" s="102">
        <v>3</v>
      </c>
      <c r="J116" s="103">
        <v>3600</v>
      </c>
      <c r="K116" s="104">
        <f t="shared" si="56"/>
        <v>1200</v>
      </c>
      <c r="L116" s="116">
        <v>3</v>
      </c>
      <c r="M116" s="103">
        <f t="shared" si="55"/>
        <v>3278.1782970092454</v>
      </c>
      <c r="N116" s="104">
        <f t="shared" si="48"/>
        <v>1092.7260990030818</v>
      </c>
      <c r="O116" s="121">
        <f t="shared" si="49"/>
        <v>0</v>
      </c>
      <c r="P116" s="122">
        <f t="shared" si="50"/>
        <v>-107.2739009969182</v>
      </c>
      <c r="Q116" s="123">
        <f t="shared" si="51"/>
        <v>0.91060508250256822</v>
      </c>
      <c r="R116" s="308"/>
      <c r="S116" s="46">
        <v>0.89652777777777726</v>
      </c>
      <c r="T116" s="118">
        <v>0.90637731481481432</v>
      </c>
      <c r="U116" s="109">
        <v>13.01666666666657</v>
      </c>
      <c r="V116" s="110">
        <v>14.184707415829999</v>
      </c>
      <c r="W116" s="111"/>
      <c r="X116" s="114"/>
      <c r="Y116" s="299"/>
      <c r="Z116" s="300"/>
      <c r="AA116" s="115">
        <f t="shared" si="52"/>
        <v>-321.8217029907546</v>
      </c>
      <c r="AB116" s="108">
        <f t="shared" si="53"/>
        <v>0.91060508250256822</v>
      </c>
      <c r="AC116" s="313"/>
    </row>
    <row r="117" spans="1:29" ht="15.75" customHeight="1">
      <c r="A117" s="316"/>
      <c r="B117" s="98" t="s">
        <v>118</v>
      </c>
      <c r="C117" s="297" t="s">
        <v>193</v>
      </c>
      <c r="D117" s="298"/>
      <c r="E117" s="99">
        <v>30</v>
      </c>
      <c r="F117" s="100">
        <v>799</v>
      </c>
      <c r="G117" s="119">
        <f t="shared" si="54"/>
        <v>23970</v>
      </c>
      <c r="H117" s="60"/>
      <c r="I117" s="102">
        <v>4</v>
      </c>
      <c r="J117" s="103">
        <v>3600</v>
      </c>
      <c r="K117" s="104">
        <f t="shared" si="56"/>
        <v>900</v>
      </c>
      <c r="L117" s="116">
        <v>4</v>
      </c>
      <c r="M117" s="103">
        <f t="shared" si="55"/>
        <v>3276.6078088416289</v>
      </c>
      <c r="N117" s="104">
        <f t="shared" si="48"/>
        <v>819.15195221040722</v>
      </c>
      <c r="O117" s="121">
        <f t="shared" si="49"/>
        <v>0</v>
      </c>
      <c r="P117" s="122">
        <f t="shared" si="50"/>
        <v>-80.848047789592783</v>
      </c>
      <c r="Q117" s="123">
        <f t="shared" si="51"/>
        <v>0.91016883578934138</v>
      </c>
      <c r="R117" s="308"/>
      <c r="S117" s="46">
        <v>0.91597222222222163</v>
      </c>
      <c r="T117" s="118">
        <v>0.92612268518518459</v>
      </c>
      <c r="U117" s="109">
        <v>13.816666666666535</v>
      </c>
      <c r="V117" s="110">
        <v>14.630985090934063</v>
      </c>
      <c r="W117" s="124"/>
      <c r="X117" s="125"/>
      <c r="Y117" s="299"/>
      <c r="Z117" s="300"/>
      <c r="AA117" s="115">
        <f t="shared" si="52"/>
        <v>-323.39219115837113</v>
      </c>
      <c r="AB117" s="108">
        <f t="shared" si="53"/>
        <v>0.91016883578934138</v>
      </c>
      <c r="AC117" s="313"/>
    </row>
    <row r="118" spans="1:29" ht="15.75" customHeight="1">
      <c r="A118" s="316"/>
      <c r="B118" s="98" t="s">
        <v>118</v>
      </c>
      <c r="C118" s="297" t="s">
        <v>146</v>
      </c>
      <c r="D118" s="298"/>
      <c r="E118" s="99">
        <v>25.03</v>
      </c>
      <c r="F118" s="100">
        <v>430</v>
      </c>
      <c r="G118" s="119">
        <f t="shared" si="54"/>
        <v>10762.9</v>
      </c>
      <c r="H118" s="60"/>
      <c r="I118" s="102">
        <v>5</v>
      </c>
      <c r="J118" s="103">
        <v>3600</v>
      </c>
      <c r="K118" s="104">
        <f t="shared" si="56"/>
        <v>720</v>
      </c>
      <c r="L118" s="116">
        <v>5</v>
      </c>
      <c r="M118" s="103">
        <f t="shared" si="55"/>
        <v>3272.0272686981125</v>
      </c>
      <c r="N118" s="104">
        <f t="shared" si="48"/>
        <v>654.40545373962254</v>
      </c>
      <c r="O118" s="121">
        <f t="shared" si="49"/>
        <v>0</v>
      </c>
      <c r="P118" s="122">
        <f t="shared" si="50"/>
        <v>-65.594546260377456</v>
      </c>
      <c r="Q118" s="123">
        <f t="shared" si="51"/>
        <v>0.90889646352725351</v>
      </c>
      <c r="R118" s="308"/>
      <c r="S118" s="46">
        <v>0.93541666666666601</v>
      </c>
      <c r="T118" s="118">
        <v>0.94089120370370305</v>
      </c>
      <c r="U118" s="109">
        <v>13.38333333333324</v>
      </c>
      <c r="V118" s="110">
        <v>7.8850198611778097</v>
      </c>
      <c r="W118" s="124"/>
      <c r="X118" s="125"/>
      <c r="Y118" s="299"/>
      <c r="Z118" s="300"/>
      <c r="AA118" s="115">
        <f t="shared" si="52"/>
        <v>-327.97273130188751</v>
      </c>
      <c r="AB118" s="108">
        <f t="shared" si="53"/>
        <v>0.90889646352725351</v>
      </c>
      <c r="AC118" s="313"/>
    </row>
    <row r="119" spans="1:29" ht="15.75" customHeight="1">
      <c r="A119" s="316"/>
      <c r="B119" s="98" t="s">
        <v>118</v>
      </c>
      <c r="C119" s="297" t="s">
        <v>139</v>
      </c>
      <c r="D119" s="298"/>
      <c r="E119" s="99">
        <v>14.03</v>
      </c>
      <c r="F119" s="100">
        <v>4617</v>
      </c>
      <c r="G119" s="119">
        <f t="shared" si="54"/>
        <v>64776.509999999995</v>
      </c>
      <c r="H119" s="60"/>
      <c r="I119" s="102">
        <v>3</v>
      </c>
      <c r="J119" s="103">
        <v>3000</v>
      </c>
      <c r="K119" s="104">
        <f t="shared" si="56"/>
        <v>1000</v>
      </c>
      <c r="L119" s="116">
        <v>3</v>
      </c>
      <c r="M119" s="103">
        <f t="shared" si="55"/>
        <v>2794.7568897559372</v>
      </c>
      <c r="N119" s="104">
        <f t="shared" si="48"/>
        <v>931.58562991864574</v>
      </c>
      <c r="O119" s="121">
        <f t="shared" si="49"/>
        <v>0</v>
      </c>
      <c r="P119" s="122">
        <f t="shared" si="50"/>
        <v>-68.414370081354264</v>
      </c>
      <c r="Q119" s="123">
        <f t="shared" si="51"/>
        <v>0.93158562991864569</v>
      </c>
      <c r="R119" s="308"/>
      <c r="S119" s="46">
        <v>0.94999999999999929</v>
      </c>
      <c r="T119" s="118">
        <v>1.0188310185185179</v>
      </c>
      <c r="U119" s="109">
        <v>13.116666666666585</v>
      </c>
      <c r="V119" s="110">
        <v>99.121322865471797</v>
      </c>
      <c r="W119" s="124"/>
      <c r="X119" s="125"/>
      <c r="Y119" s="299"/>
      <c r="Z119" s="300"/>
      <c r="AA119" s="115">
        <f t="shared" si="52"/>
        <v>-205.24311024406279</v>
      </c>
      <c r="AB119" s="108">
        <f t="shared" si="53"/>
        <v>0.93158562991864569</v>
      </c>
      <c r="AC119" s="313"/>
    </row>
    <row r="120" spans="1:29" ht="15.75" customHeight="1">
      <c r="A120" s="316"/>
      <c r="B120" s="98" t="s">
        <v>118</v>
      </c>
      <c r="C120" s="297" t="s">
        <v>137</v>
      </c>
      <c r="D120" s="298"/>
      <c r="E120" s="99">
        <v>16.66</v>
      </c>
      <c r="F120" s="100">
        <v>3122</v>
      </c>
      <c r="G120" s="119">
        <f t="shared" si="54"/>
        <v>52012.520000000004</v>
      </c>
      <c r="H120" s="60"/>
      <c r="I120" s="102">
        <v>5</v>
      </c>
      <c r="J120" s="103">
        <v>3600</v>
      </c>
      <c r="K120" s="104">
        <f t="shared" si="56"/>
        <v>720</v>
      </c>
      <c r="L120" s="116">
        <v>5</v>
      </c>
      <c r="M120" s="103">
        <f t="shared" si="55"/>
        <v>3275.6843693147912</v>
      </c>
      <c r="N120" s="104">
        <f t="shared" si="48"/>
        <v>655.13687386295828</v>
      </c>
      <c r="O120" s="121">
        <f t="shared" si="49"/>
        <v>0</v>
      </c>
      <c r="P120" s="122">
        <f t="shared" si="50"/>
        <v>-64.863126137041718</v>
      </c>
      <c r="Q120" s="123">
        <f t="shared" si="51"/>
        <v>0.90991232480966433</v>
      </c>
      <c r="R120" s="308"/>
      <c r="S120" s="46">
        <v>1.0284722222222216</v>
      </c>
      <c r="T120" s="118">
        <v>1.0681828703703697</v>
      </c>
      <c r="U120" s="109">
        <v>13.883333333333319</v>
      </c>
      <c r="V120" s="110">
        <v>57.184996745942179</v>
      </c>
      <c r="W120" s="124"/>
      <c r="X120" s="125"/>
      <c r="Y120" s="299"/>
      <c r="Z120" s="300"/>
      <c r="AA120" s="115">
        <f t="shared" si="52"/>
        <v>-324.31563068520882</v>
      </c>
      <c r="AB120" s="108">
        <f t="shared" si="53"/>
        <v>0.90991232480966422</v>
      </c>
      <c r="AC120" s="313"/>
    </row>
    <row r="121" spans="1:29" ht="15.75" customHeight="1">
      <c r="A121" s="316"/>
      <c r="B121" s="98"/>
      <c r="C121" s="297"/>
      <c r="D121" s="298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8"/>
      <c r="S121" s="46"/>
      <c r="T121" s="118"/>
      <c r="U121" s="109"/>
      <c r="V121" s="110"/>
      <c r="W121" s="124"/>
      <c r="X121" s="125"/>
      <c r="Y121" s="299"/>
      <c r="Z121" s="300"/>
      <c r="AA121" s="115"/>
      <c r="AB121" s="108"/>
      <c r="AC121" s="313"/>
    </row>
    <row r="122" spans="1:29" ht="15.75" customHeight="1">
      <c r="A122" s="316"/>
      <c r="B122" s="98"/>
      <c r="C122" s="297"/>
      <c r="D122" s="298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8"/>
      <c r="S122" s="117"/>
      <c r="T122" s="118"/>
      <c r="U122" s="128"/>
      <c r="V122" s="129"/>
      <c r="W122" s="124"/>
      <c r="X122" s="125"/>
      <c r="Y122" s="299"/>
      <c r="Z122" s="300"/>
      <c r="AA122" s="163"/>
      <c r="AB122" s="123"/>
      <c r="AC122" s="313"/>
    </row>
    <row r="123" spans="1:29" ht="15.75" customHeight="1" thickBot="1">
      <c r="A123" s="317"/>
      <c r="B123" s="131" t="s">
        <v>115</v>
      </c>
      <c r="C123" s="294"/>
      <c r="D123" s="294"/>
      <c r="E123" s="132"/>
      <c r="F123" s="97"/>
      <c r="G123" s="133"/>
      <c r="H123" s="67"/>
      <c r="I123" s="134">
        <f t="shared" ref="I123:J123" si="57">AVERAGE(I107:I122)</f>
        <v>3.7142857142857144</v>
      </c>
      <c r="J123" s="135">
        <f t="shared" si="57"/>
        <v>3428.5714285714284</v>
      </c>
      <c r="K123" s="136">
        <f t="shared" ref="K123" si="58">J123/I123</f>
        <v>923.07692307692298</v>
      </c>
      <c r="L123" s="134">
        <f t="shared" ref="L123:M123" si="59">AVERAGE(L107:L122)</f>
        <v>3.7142857142857144</v>
      </c>
      <c r="M123" s="135">
        <f t="shared" si="59"/>
        <v>3137.6581525285501</v>
      </c>
      <c r="N123" s="136">
        <f t="shared" ref="N123:N137" si="60">M123/L123</f>
        <v>844.75411798845573</v>
      </c>
      <c r="O123" s="137">
        <f t="shared" ref="O123:O137" si="61">L123-I123</f>
        <v>0</v>
      </c>
      <c r="P123" s="138">
        <f t="shared" ref="P123:P137" si="62">N123-K123</f>
        <v>-78.322805088467248</v>
      </c>
      <c r="Q123" s="139">
        <f t="shared" ref="Q123:Q137" si="63">N123/K123</f>
        <v>0.91515029448749385</v>
      </c>
      <c r="R123" s="309"/>
      <c r="S123" s="140">
        <v>0.7319444444444444</v>
      </c>
      <c r="T123" s="141">
        <v>1.0681828703703697</v>
      </c>
      <c r="U123" s="142"/>
      <c r="V123" s="164"/>
      <c r="W123" s="97"/>
      <c r="X123" s="67"/>
      <c r="Y123" s="295"/>
      <c r="Z123" s="296"/>
      <c r="AA123" s="166">
        <f t="shared" ref="AA123:AA137" si="64">M123-J123</f>
        <v>-290.91327604287835</v>
      </c>
      <c r="AB123" s="139">
        <f t="shared" ref="AB123:AB137" si="65">M123/J123</f>
        <v>0.91515029448749385</v>
      </c>
      <c r="AC123" s="314"/>
    </row>
    <row r="124" spans="1:29" ht="15.75" customHeight="1">
      <c r="A124" s="301" t="s">
        <v>142</v>
      </c>
      <c r="B124" s="112" t="s">
        <v>118</v>
      </c>
      <c r="C124" s="305" t="s">
        <v>141</v>
      </c>
      <c r="D124" s="306"/>
      <c r="E124" s="145">
        <v>14.28</v>
      </c>
      <c r="F124" s="95">
        <v>338</v>
      </c>
      <c r="G124" s="146">
        <f t="shared" ref="G124:G137" si="66">E124*F124</f>
        <v>4826.6399999999994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7" si="67">F124/V124*60</f>
        <v>3277.1523054077929</v>
      </c>
      <c r="N124" s="150">
        <f t="shared" si="60"/>
        <v>1092.3841018025976</v>
      </c>
      <c r="O124" s="152">
        <f t="shared" si="61"/>
        <v>0</v>
      </c>
      <c r="P124" s="153">
        <f t="shared" si="62"/>
        <v>-107.61589819740243</v>
      </c>
      <c r="Q124" s="154">
        <f t="shared" si="63"/>
        <v>0.91032008483549798</v>
      </c>
      <c r="R124" s="307">
        <f>Q140</f>
        <v>0.91014318736598021</v>
      </c>
      <c r="S124" s="155">
        <v>0.7319444444444444</v>
      </c>
      <c r="T124" s="156">
        <v>0.73623842592592592</v>
      </c>
      <c r="U124" s="157"/>
      <c r="V124" s="158">
        <v>6.1882995082453016</v>
      </c>
      <c r="W124" s="156"/>
      <c r="X124" s="167"/>
      <c r="Y124" s="310"/>
      <c r="Z124" s="311"/>
      <c r="AA124" s="169">
        <f t="shared" si="64"/>
        <v>-322.84769459220706</v>
      </c>
      <c r="AB124" s="154">
        <f t="shared" si="65"/>
        <v>0.91032008483549809</v>
      </c>
      <c r="AC124" s="312">
        <f>AB140</f>
        <v>0.91014318736598021</v>
      </c>
    </row>
    <row r="125" spans="1:29" ht="15.75" customHeight="1">
      <c r="A125" s="302"/>
      <c r="B125" s="98" t="s">
        <v>118</v>
      </c>
      <c r="C125" s="297" t="s">
        <v>217</v>
      </c>
      <c r="D125" s="298"/>
      <c r="E125" s="99">
        <v>23.8</v>
      </c>
      <c r="F125" s="100">
        <v>334</v>
      </c>
      <c r="G125" s="101">
        <f t="shared" si="66"/>
        <v>7949.2</v>
      </c>
      <c r="H125" s="26">
        <v>2</v>
      </c>
      <c r="I125" s="102">
        <v>4</v>
      </c>
      <c r="J125" s="103">
        <v>3600</v>
      </c>
      <c r="K125" s="104">
        <f t="shared" si="56"/>
        <v>900</v>
      </c>
      <c r="L125" s="105">
        <v>4</v>
      </c>
      <c r="M125" s="103">
        <f t="shared" si="67"/>
        <v>3279.3584763995436</v>
      </c>
      <c r="N125" s="104">
        <f t="shared" si="60"/>
        <v>819.83961909988591</v>
      </c>
      <c r="O125" s="106">
        <f t="shared" si="61"/>
        <v>0</v>
      </c>
      <c r="P125" s="107">
        <f t="shared" si="62"/>
        <v>-80.160380900114092</v>
      </c>
      <c r="Q125" s="108">
        <f t="shared" si="63"/>
        <v>0.91093291011098432</v>
      </c>
      <c r="R125" s="308"/>
      <c r="S125" s="46">
        <v>0.74583333333333324</v>
      </c>
      <c r="T125" s="47">
        <v>0.75006944444444434</v>
      </c>
      <c r="U125" s="109">
        <v>13.816666666666535</v>
      </c>
      <c r="V125" s="110">
        <v>6.1109513169180012</v>
      </c>
      <c r="W125" s="111"/>
      <c r="X125" s="13"/>
      <c r="Y125" s="299"/>
      <c r="Z125" s="300"/>
      <c r="AA125" s="170">
        <f t="shared" si="64"/>
        <v>-320.64152360045637</v>
      </c>
      <c r="AB125" s="108">
        <f t="shared" si="65"/>
        <v>0.91093291011098432</v>
      </c>
      <c r="AC125" s="313"/>
    </row>
    <row r="126" spans="1:29" ht="15.75" customHeight="1">
      <c r="A126" s="302"/>
      <c r="B126" s="98" t="s">
        <v>118</v>
      </c>
      <c r="C126" s="297" t="s">
        <v>145</v>
      </c>
      <c r="D126" s="298"/>
      <c r="E126" s="99">
        <v>24.82</v>
      </c>
      <c r="F126" s="100">
        <v>616</v>
      </c>
      <c r="G126" s="101">
        <f t="shared" si="66"/>
        <v>15289.12</v>
      </c>
      <c r="H126" s="26">
        <v>2</v>
      </c>
      <c r="I126" s="102">
        <v>5</v>
      </c>
      <c r="J126" s="103">
        <v>3600</v>
      </c>
      <c r="K126" s="104">
        <f t="shared" si="56"/>
        <v>720</v>
      </c>
      <c r="L126" s="105">
        <v>5</v>
      </c>
      <c r="M126" s="103">
        <f t="shared" si="67"/>
        <v>3274.0861021013102</v>
      </c>
      <c r="N126" s="104">
        <f t="shared" si="60"/>
        <v>654.81722042026206</v>
      </c>
      <c r="O126" s="106">
        <f t="shared" si="61"/>
        <v>0</v>
      </c>
      <c r="P126" s="107">
        <f t="shared" si="62"/>
        <v>-65.182779579737939</v>
      </c>
      <c r="Q126" s="108">
        <f t="shared" si="63"/>
        <v>0.90946836169480838</v>
      </c>
      <c r="R126" s="308"/>
      <c r="S126" s="46">
        <v>0.75972222222222208</v>
      </c>
      <c r="T126" s="47">
        <v>0.76755787037037027</v>
      </c>
      <c r="U126" s="109">
        <v>13.899999999999935</v>
      </c>
      <c r="V126" s="110">
        <v>11.288646311494084</v>
      </c>
      <c r="W126" s="111"/>
      <c r="X126" s="13"/>
      <c r="Y126" s="299"/>
      <c r="Z126" s="300"/>
      <c r="AA126" s="170">
        <f t="shared" si="64"/>
        <v>-325.91389789868981</v>
      </c>
      <c r="AB126" s="108">
        <f t="shared" si="65"/>
        <v>0.90946836169480838</v>
      </c>
      <c r="AC126" s="313"/>
    </row>
    <row r="127" spans="1:29" ht="15.75" customHeight="1">
      <c r="A127" s="302"/>
      <c r="B127" s="98" t="s">
        <v>118</v>
      </c>
      <c r="C127" s="297" t="s">
        <v>216</v>
      </c>
      <c r="D127" s="298"/>
      <c r="E127" s="99">
        <v>24.76</v>
      </c>
      <c r="F127" s="100">
        <v>509</v>
      </c>
      <c r="G127" s="101">
        <f t="shared" si="66"/>
        <v>12602.84</v>
      </c>
      <c r="H127" s="26">
        <v>2</v>
      </c>
      <c r="I127" s="102">
        <v>4</v>
      </c>
      <c r="J127" s="103">
        <v>3600</v>
      </c>
      <c r="K127" s="104">
        <f t="shared" si="56"/>
        <v>900</v>
      </c>
      <c r="L127" s="105">
        <v>4</v>
      </c>
      <c r="M127" s="103">
        <f t="shared" si="67"/>
        <v>3277.8198108928909</v>
      </c>
      <c r="N127" s="104">
        <f t="shared" si="60"/>
        <v>819.45495272322273</v>
      </c>
      <c r="O127" s="106">
        <f t="shared" si="61"/>
        <v>0</v>
      </c>
      <c r="P127" s="107">
        <f t="shared" si="62"/>
        <v>-80.545047276777268</v>
      </c>
      <c r="Q127" s="108">
        <f t="shared" si="63"/>
        <v>0.91050550302580302</v>
      </c>
      <c r="R127" s="308"/>
      <c r="S127" s="46">
        <v>0.77777777777777757</v>
      </c>
      <c r="T127" s="47">
        <v>0.78424768518518495</v>
      </c>
      <c r="U127" s="109">
        <v>14.716666666666516</v>
      </c>
      <c r="V127" s="110">
        <v>9.31716865536937</v>
      </c>
      <c r="W127" s="111"/>
      <c r="X127" s="13"/>
      <c r="Y127" s="299"/>
      <c r="Z127" s="300"/>
      <c r="AA127" s="170">
        <f t="shared" si="64"/>
        <v>-322.18018910710907</v>
      </c>
      <c r="AB127" s="108">
        <f t="shared" si="65"/>
        <v>0.91050550302580302</v>
      </c>
      <c r="AC127" s="313"/>
    </row>
    <row r="128" spans="1:29" ht="15.75" customHeight="1">
      <c r="A128" s="303"/>
      <c r="B128" s="98" t="s">
        <v>118</v>
      </c>
      <c r="C128" s="297" t="s">
        <v>212</v>
      </c>
      <c r="D128" s="298"/>
      <c r="E128" s="99">
        <v>22.32</v>
      </c>
      <c r="F128" s="100">
        <v>662</v>
      </c>
      <c r="G128" s="101">
        <f t="shared" si="66"/>
        <v>14775.84</v>
      </c>
      <c r="H128" s="26">
        <v>2</v>
      </c>
      <c r="I128" s="102">
        <v>5</v>
      </c>
      <c r="J128" s="103">
        <v>3600</v>
      </c>
      <c r="K128" s="104">
        <f t="shared" si="56"/>
        <v>720</v>
      </c>
      <c r="L128" s="105">
        <v>5</v>
      </c>
      <c r="M128" s="103">
        <f t="shared" si="67"/>
        <v>3275.2285658518945</v>
      </c>
      <c r="N128" s="104">
        <f t="shared" si="60"/>
        <v>655.04571317037892</v>
      </c>
      <c r="O128" s="106">
        <f t="shared" si="61"/>
        <v>0</v>
      </c>
      <c r="P128" s="107">
        <f t="shared" si="62"/>
        <v>-64.954286829621083</v>
      </c>
      <c r="Q128" s="108">
        <f t="shared" si="63"/>
        <v>0.90978571273663733</v>
      </c>
      <c r="R128" s="308"/>
      <c r="S128" s="46">
        <v>0.79374999999999973</v>
      </c>
      <c r="T128" s="47">
        <v>0.80216435185185153</v>
      </c>
      <c r="U128" s="109">
        <v>13.683333333333287</v>
      </c>
      <c r="V128" s="110">
        <v>12.127397890372496</v>
      </c>
      <c r="W128" s="111"/>
      <c r="X128" s="114"/>
      <c r="Y128" s="299"/>
      <c r="Z128" s="300"/>
      <c r="AA128" s="170">
        <f t="shared" si="64"/>
        <v>-324.77143414810553</v>
      </c>
      <c r="AB128" s="108">
        <f t="shared" si="65"/>
        <v>0.90978571273663733</v>
      </c>
      <c r="AC128" s="313"/>
    </row>
    <row r="129" spans="1:29" ht="15.75" customHeight="1">
      <c r="A129" s="303"/>
      <c r="B129" s="98" t="s">
        <v>118</v>
      </c>
      <c r="C129" s="297" t="s">
        <v>143</v>
      </c>
      <c r="D129" s="298"/>
      <c r="E129" s="99">
        <v>18.18</v>
      </c>
      <c r="F129" s="100">
        <v>883</v>
      </c>
      <c r="G129" s="119">
        <f t="shared" si="66"/>
        <v>16052.94</v>
      </c>
      <c r="H129" s="26">
        <v>2</v>
      </c>
      <c r="I129" s="102">
        <v>3</v>
      </c>
      <c r="J129" s="103">
        <v>3600</v>
      </c>
      <c r="K129" s="104">
        <f t="shared" si="56"/>
        <v>1200</v>
      </c>
      <c r="L129" s="105">
        <v>3</v>
      </c>
      <c r="M129" s="103">
        <f t="shared" si="67"/>
        <v>3274.2936360116937</v>
      </c>
      <c r="N129" s="104">
        <f t="shared" si="60"/>
        <v>1091.4312120038978</v>
      </c>
      <c r="O129" s="106">
        <f t="shared" si="61"/>
        <v>0</v>
      </c>
      <c r="P129" s="107">
        <f t="shared" si="62"/>
        <v>-108.56878799610217</v>
      </c>
      <c r="Q129" s="108">
        <f t="shared" si="63"/>
        <v>0.90952601000324818</v>
      </c>
      <c r="R129" s="308"/>
      <c r="S129" s="46">
        <v>0.81180555555555522</v>
      </c>
      <c r="T129" s="118">
        <v>0.82303240740740713</v>
      </c>
      <c r="U129" s="109">
        <v>13.883333333333319</v>
      </c>
      <c r="V129" s="110">
        <v>16.180589125333654</v>
      </c>
      <c r="W129" s="111"/>
      <c r="X129" s="49"/>
      <c r="Y129" s="299"/>
      <c r="Z129" s="300"/>
      <c r="AA129" s="170">
        <f t="shared" si="64"/>
        <v>-325.70636398830629</v>
      </c>
      <c r="AB129" s="108">
        <f t="shared" si="65"/>
        <v>0.90952601000324829</v>
      </c>
      <c r="AC129" s="313"/>
    </row>
    <row r="130" spans="1:29" ht="15.75" customHeight="1">
      <c r="A130" s="303"/>
      <c r="B130" s="98" t="s">
        <v>118</v>
      </c>
      <c r="C130" s="297" t="s">
        <v>136</v>
      </c>
      <c r="D130" s="298"/>
      <c r="E130" s="99">
        <v>17.89</v>
      </c>
      <c r="F130" s="100">
        <v>1357</v>
      </c>
      <c r="G130" s="119">
        <f t="shared" si="66"/>
        <v>24276.73</v>
      </c>
      <c r="H130" s="26">
        <v>2</v>
      </c>
      <c r="I130" s="102">
        <v>4</v>
      </c>
      <c r="J130" s="103">
        <v>3600</v>
      </c>
      <c r="K130" s="104">
        <f t="shared" si="56"/>
        <v>900</v>
      </c>
      <c r="L130" s="105">
        <v>4</v>
      </c>
      <c r="M130" s="103">
        <f t="shared" si="67"/>
        <v>3277.8790421508515</v>
      </c>
      <c r="N130" s="104">
        <f t="shared" si="60"/>
        <v>819.46976053771289</v>
      </c>
      <c r="O130" s="121">
        <f t="shared" si="61"/>
        <v>0</v>
      </c>
      <c r="P130" s="122">
        <f t="shared" si="62"/>
        <v>-80.530239462287113</v>
      </c>
      <c r="Q130" s="123">
        <f t="shared" si="63"/>
        <v>0.91052195615301434</v>
      </c>
      <c r="R130" s="308"/>
      <c r="S130" s="46">
        <v>0.83333333333333293</v>
      </c>
      <c r="T130" s="118">
        <v>0.85057870370370325</v>
      </c>
      <c r="U130" s="109">
        <v>14.833333333333147</v>
      </c>
      <c r="V130" s="110">
        <v>24.8392326113945</v>
      </c>
      <c r="W130" s="111"/>
      <c r="X130" s="114"/>
      <c r="Y130" s="299"/>
      <c r="Z130" s="300"/>
      <c r="AA130" s="170">
        <f t="shared" si="64"/>
        <v>-322.12095784914845</v>
      </c>
      <c r="AB130" s="108">
        <f t="shared" si="65"/>
        <v>0.91052195615301434</v>
      </c>
      <c r="AC130" s="313"/>
    </row>
    <row r="131" spans="1:29" ht="15.75" customHeight="1">
      <c r="A131" s="303"/>
      <c r="B131" s="98" t="s">
        <v>118</v>
      </c>
      <c r="C131" s="297" t="s">
        <v>217</v>
      </c>
      <c r="D131" s="298"/>
      <c r="E131" s="99">
        <v>23.8</v>
      </c>
      <c r="F131" s="100">
        <v>345</v>
      </c>
      <c r="G131" s="119">
        <f t="shared" si="66"/>
        <v>8211</v>
      </c>
      <c r="H131" s="26"/>
      <c r="I131" s="102">
        <v>4</v>
      </c>
      <c r="J131" s="103">
        <v>3600</v>
      </c>
      <c r="K131" s="104">
        <f t="shared" si="56"/>
        <v>900</v>
      </c>
      <c r="L131" s="116">
        <v>4</v>
      </c>
      <c r="M131" s="103">
        <f t="shared" si="67"/>
        <v>3279.3584763995432</v>
      </c>
      <c r="N131" s="104">
        <f t="shared" si="60"/>
        <v>819.83961909988579</v>
      </c>
      <c r="O131" s="121">
        <f t="shared" si="61"/>
        <v>0</v>
      </c>
      <c r="P131" s="122">
        <f t="shared" si="62"/>
        <v>-80.160380900114205</v>
      </c>
      <c r="Q131" s="123">
        <f t="shared" si="63"/>
        <v>0.91093291011098421</v>
      </c>
      <c r="R131" s="308"/>
      <c r="S131" s="46">
        <v>0.85972222222222183</v>
      </c>
      <c r="T131" s="118">
        <v>0.86409722222222185</v>
      </c>
      <c r="U131" s="109">
        <v>13.166666666666753</v>
      </c>
      <c r="V131" s="110">
        <v>6.3122101926248826</v>
      </c>
      <c r="W131" s="111"/>
      <c r="X131" s="114"/>
      <c r="Y131" s="299"/>
      <c r="Z131" s="300"/>
      <c r="AA131" s="170">
        <f t="shared" si="64"/>
        <v>-320.64152360045682</v>
      </c>
      <c r="AB131" s="108">
        <f t="shared" si="65"/>
        <v>0.91093291011098421</v>
      </c>
      <c r="AC131" s="313"/>
    </row>
    <row r="132" spans="1:29" ht="15.75" customHeight="1">
      <c r="A132" s="303"/>
      <c r="B132" s="98" t="s">
        <v>118</v>
      </c>
      <c r="C132" s="297" t="s">
        <v>145</v>
      </c>
      <c r="D132" s="298"/>
      <c r="E132" s="99">
        <v>24.82</v>
      </c>
      <c r="F132" s="100">
        <v>742</v>
      </c>
      <c r="G132" s="119">
        <f t="shared" si="66"/>
        <v>18416.439999999999</v>
      </c>
      <c r="H132" s="26"/>
      <c r="I132" s="102">
        <v>5</v>
      </c>
      <c r="J132" s="103">
        <v>3600</v>
      </c>
      <c r="K132" s="104">
        <f t="shared" si="56"/>
        <v>720</v>
      </c>
      <c r="L132" s="116">
        <v>5</v>
      </c>
      <c r="M132" s="103">
        <f t="shared" si="67"/>
        <v>3274.0861021013102</v>
      </c>
      <c r="N132" s="104">
        <f t="shared" si="60"/>
        <v>654.81722042026206</v>
      </c>
      <c r="O132" s="121">
        <f t="shared" si="61"/>
        <v>0</v>
      </c>
      <c r="P132" s="122">
        <f t="shared" si="62"/>
        <v>-65.182779579737939</v>
      </c>
      <c r="Q132" s="123">
        <f t="shared" si="63"/>
        <v>0.90946836169480838</v>
      </c>
      <c r="R132" s="308"/>
      <c r="S132" s="46">
        <v>0.87361111111111067</v>
      </c>
      <c r="T132" s="118">
        <v>0.883043981481481</v>
      </c>
      <c r="U132" s="109">
        <v>13.699999999999903</v>
      </c>
      <c r="V132" s="110">
        <v>13.597687602481511</v>
      </c>
      <c r="W132" s="124"/>
      <c r="X132" s="125"/>
      <c r="Y132" s="299"/>
      <c r="Z132" s="300"/>
      <c r="AA132" s="170">
        <f t="shared" si="64"/>
        <v>-325.91389789868981</v>
      </c>
      <c r="AB132" s="108">
        <f t="shared" si="65"/>
        <v>0.90946836169480838</v>
      </c>
      <c r="AC132" s="313"/>
    </row>
    <row r="133" spans="1:29" ht="15.75" customHeight="1">
      <c r="A133" s="303"/>
      <c r="B133" s="98" t="s">
        <v>118</v>
      </c>
      <c r="C133" s="297" t="s">
        <v>216</v>
      </c>
      <c r="D133" s="298"/>
      <c r="E133" s="99">
        <v>24.76</v>
      </c>
      <c r="F133" s="100">
        <v>640</v>
      </c>
      <c r="G133" s="119">
        <f t="shared" si="66"/>
        <v>15846.400000000001</v>
      </c>
      <c r="H133" s="26"/>
      <c r="I133" s="102">
        <v>4</v>
      </c>
      <c r="J133" s="103">
        <v>3600</v>
      </c>
      <c r="K133" s="104">
        <f t="shared" si="56"/>
        <v>900</v>
      </c>
      <c r="L133" s="116">
        <v>4</v>
      </c>
      <c r="M133" s="103">
        <f t="shared" si="67"/>
        <v>3277.8198108928909</v>
      </c>
      <c r="N133" s="104">
        <f t="shared" si="60"/>
        <v>819.45495272322273</v>
      </c>
      <c r="O133" s="121">
        <f t="shared" si="61"/>
        <v>0</v>
      </c>
      <c r="P133" s="122">
        <f t="shared" si="62"/>
        <v>-80.545047276777268</v>
      </c>
      <c r="Q133" s="123">
        <f t="shared" si="63"/>
        <v>0.91050550302580302</v>
      </c>
      <c r="R133" s="308"/>
      <c r="S133" s="46">
        <v>0.89236111111111061</v>
      </c>
      <c r="T133" s="118">
        <v>0.90048611111111065</v>
      </c>
      <c r="U133" s="109">
        <v>13.416666666666632</v>
      </c>
      <c r="V133" s="110">
        <v>11.715104006751272</v>
      </c>
      <c r="W133" s="124"/>
      <c r="X133" s="125"/>
      <c r="Y133" s="299"/>
      <c r="Z133" s="300"/>
      <c r="AA133" s="170">
        <f t="shared" si="64"/>
        <v>-322.18018910710907</v>
      </c>
      <c r="AB133" s="108">
        <f t="shared" si="65"/>
        <v>0.91050550302580302</v>
      </c>
      <c r="AC133" s="313"/>
    </row>
    <row r="134" spans="1:29" ht="15.75" customHeight="1">
      <c r="A134" s="303"/>
      <c r="B134" s="98" t="s">
        <v>118</v>
      </c>
      <c r="C134" s="297" t="s">
        <v>212</v>
      </c>
      <c r="D134" s="298"/>
      <c r="E134" s="99">
        <v>22.32</v>
      </c>
      <c r="F134" s="100">
        <v>1031</v>
      </c>
      <c r="G134" s="119">
        <f t="shared" si="66"/>
        <v>23011.920000000002</v>
      </c>
      <c r="H134" s="60"/>
      <c r="I134" s="102">
        <v>5</v>
      </c>
      <c r="J134" s="103">
        <v>3600</v>
      </c>
      <c r="K134" s="104">
        <f t="shared" si="56"/>
        <v>720</v>
      </c>
      <c r="L134" s="116">
        <v>5</v>
      </c>
      <c r="M134" s="103">
        <f t="shared" si="67"/>
        <v>3275.2285658518945</v>
      </c>
      <c r="N134" s="104">
        <f t="shared" si="60"/>
        <v>655.04571317037892</v>
      </c>
      <c r="O134" s="121">
        <f t="shared" si="61"/>
        <v>0</v>
      </c>
      <c r="P134" s="122">
        <f t="shared" si="62"/>
        <v>-64.954286829621083</v>
      </c>
      <c r="Q134" s="123">
        <f t="shared" si="63"/>
        <v>0.90978571273663733</v>
      </c>
      <c r="R134" s="308"/>
      <c r="S134" s="46">
        <v>0.90972222222222165</v>
      </c>
      <c r="T134" s="118">
        <v>0.92283564814814756</v>
      </c>
      <c r="U134" s="109">
        <v>13.299999999999841</v>
      </c>
      <c r="V134" s="110">
        <v>18.887231457664718</v>
      </c>
      <c r="W134" s="124"/>
      <c r="X134" s="125"/>
      <c r="Y134" s="299"/>
      <c r="Z134" s="300"/>
      <c r="AA134" s="170">
        <f t="shared" si="64"/>
        <v>-324.77143414810553</v>
      </c>
      <c r="AB134" s="108">
        <f t="shared" si="65"/>
        <v>0.90978571273663733</v>
      </c>
      <c r="AC134" s="313"/>
    </row>
    <row r="135" spans="1:29" ht="15.75" customHeight="1">
      <c r="A135" s="303"/>
      <c r="B135" s="98" t="s">
        <v>118</v>
      </c>
      <c r="C135" s="297" t="s">
        <v>143</v>
      </c>
      <c r="D135" s="298"/>
      <c r="E135" s="99">
        <v>18.18</v>
      </c>
      <c r="F135" s="100">
        <v>1392</v>
      </c>
      <c r="G135" s="119">
        <f t="shared" si="66"/>
        <v>25306.560000000001</v>
      </c>
      <c r="H135" s="60"/>
      <c r="I135" s="102">
        <v>3</v>
      </c>
      <c r="J135" s="103">
        <v>3600</v>
      </c>
      <c r="K135" s="104">
        <f t="shared" si="56"/>
        <v>1200</v>
      </c>
      <c r="L135" s="116">
        <v>3</v>
      </c>
      <c r="M135" s="103">
        <f t="shared" si="67"/>
        <v>3274.2936360116942</v>
      </c>
      <c r="N135" s="104">
        <f t="shared" si="60"/>
        <v>1091.4312120038981</v>
      </c>
      <c r="O135" s="121">
        <f t="shared" si="61"/>
        <v>0</v>
      </c>
      <c r="P135" s="122">
        <f t="shared" si="62"/>
        <v>-108.56878799610195</v>
      </c>
      <c r="Q135" s="123">
        <f t="shared" si="63"/>
        <v>0.9095260100032484</v>
      </c>
      <c r="R135" s="308"/>
      <c r="S135" s="46">
        <v>0.9319444444444438</v>
      </c>
      <c r="T135" s="118">
        <v>0.94965277777777712</v>
      </c>
      <c r="U135" s="109">
        <v>13.116666666666585</v>
      </c>
      <c r="V135" s="110">
        <v>25.507791690220209</v>
      </c>
      <c r="W135" s="124"/>
      <c r="X135" s="125"/>
      <c r="Y135" s="299"/>
      <c r="Z135" s="300"/>
      <c r="AA135" s="170">
        <f t="shared" si="64"/>
        <v>-325.70636398830584</v>
      </c>
      <c r="AB135" s="108">
        <f t="shared" si="65"/>
        <v>0.9095260100032484</v>
      </c>
      <c r="AC135" s="313"/>
    </row>
    <row r="136" spans="1:29" ht="15.75" customHeight="1">
      <c r="A136" s="303"/>
      <c r="B136" s="98" t="s">
        <v>118</v>
      </c>
      <c r="C136" s="297" t="s">
        <v>136</v>
      </c>
      <c r="D136" s="298"/>
      <c r="E136" s="99">
        <v>17.89</v>
      </c>
      <c r="F136" s="100">
        <v>2055</v>
      </c>
      <c r="G136" s="119">
        <f t="shared" si="66"/>
        <v>36763.950000000004</v>
      </c>
      <c r="H136" s="60"/>
      <c r="I136" s="102">
        <v>4</v>
      </c>
      <c r="J136" s="103">
        <v>3600</v>
      </c>
      <c r="K136" s="104">
        <f t="shared" si="56"/>
        <v>900</v>
      </c>
      <c r="L136" s="116">
        <v>4</v>
      </c>
      <c r="M136" s="103">
        <f t="shared" si="67"/>
        <v>3276.5599354028013</v>
      </c>
      <c r="N136" s="104">
        <f t="shared" si="60"/>
        <v>819.13998385070033</v>
      </c>
      <c r="O136" s="121">
        <f t="shared" si="61"/>
        <v>0</v>
      </c>
      <c r="P136" s="122">
        <f t="shared" si="62"/>
        <v>-80.860016149299668</v>
      </c>
      <c r="Q136" s="123">
        <f t="shared" si="63"/>
        <v>0.91015553761188928</v>
      </c>
      <c r="R136" s="308"/>
      <c r="S136" s="46">
        <v>0.95902777777777715</v>
      </c>
      <c r="T136" s="118">
        <v>0.98515046296296238</v>
      </c>
      <c r="U136" s="109">
        <v>13.500000000000032</v>
      </c>
      <c r="V136" s="110">
        <v>37.630930741647553</v>
      </c>
      <c r="W136" s="124"/>
      <c r="X136" s="125"/>
      <c r="Y136" s="299"/>
      <c r="Z136" s="300"/>
      <c r="AA136" s="170">
        <f t="shared" si="64"/>
        <v>-323.44006459719867</v>
      </c>
      <c r="AB136" s="108">
        <f t="shared" si="65"/>
        <v>0.91015553761188928</v>
      </c>
      <c r="AC136" s="313"/>
    </row>
    <row r="137" spans="1:29" ht="15.75" customHeight="1">
      <c r="A137" s="303"/>
      <c r="B137" s="98" t="s">
        <v>118</v>
      </c>
      <c r="C137" s="297" t="s">
        <v>141</v>
      </c>
      <c r="D137" s="298"/>
      <c r="E137" s="99">
        <v>14.28</v>
      </c>
      <c r="F137" s="100">
        <v>5969</v>
      </c>
      <c r="G137" s="119">
        <f t="shared" si="66"/>
        <v>85237.319999999992</v>
      </c>
      <c r="H137" s="60"/>
      <c r="I137" s="102">
        <v>3</v>
      </c>
      <c r="J137" s="103">
        <v>3600</v>
      </c>
      <c r="K137" s="104">
        <f t="shared" si="56"/>
        <v>1200</v>
      </c>
      <c r="L137" s="116">
        <v>3</v>
      </c>
      <c r="M137" s="103">
        <f t="shared" si="67"/>
        <v>3278.0521777692925</v>
      </c>
      <c r="N137" s="104">
        <f t="shared" si="60"/>
        <v>1092.6840592564308</v>
      </c>
      <c r="O137" s="121">
        <f t="shared" si="61"/>
        <v>0</v>
      </c>
      <c r="P137" s="122">
        <f t="shared" si="62"/>
        <v>-107.31594074356917</v>
      </c>
      <c r="Q137" s="123">
        <f t="shared" si="63"/>
        <v>0.91057004938035901</v>
      </c>
      <c r="R137" s="308"/>
      <c r="S137" s="46">
        <v>0.99513888888888824</v>
      </c>
      <c r="T137" s="118">
        <v>1.0710069444444439</v>
      </c>
      <c r="U137" s="109">
        <v>14.383333333333237</v>
      </c>
      <c r="V137" s="110">
        <v>109.253904629338</v>
      </c>
      <c r="W137" s="111"/>
      <c r="X137" s="114"/>
      <c r="Y137" s="299"/>
      <c r="Z137" s="300"/>
      <c r="AA137" s="170">
        <f t="shared" si="64"/>
        <v>-321.94782223070752</v>
      </c>
      <c r="AB137" s="108">
        <f t="shared" si="65"/>
        <v>0.91057004938035901</v>
      </c>
      <c r="AC137" s="313"/>
    </row>
    <row r="138" spans="1:29" ht="15.75" customHeight="1">
      <c r="A138" s="303"/>
      <c r="B138" s="98"/>
      <c r="C138" s="297"/>
      <c r="D138" s="298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8"/>
      <c r="S138" s="46"/>
      <c r="T138" s="118"/>
      <c r="U138" s="109"/>
      <c r="V138" s="110"/>
      <c r="W138" s="124"/>
      <c r="X138" s="125"/>
      <c r="Y138" s="299"/>
      <c r="Z138" s="300"/>
      <c r="AA138" s="170"/>
      <c r="AB138" s="108"/>
      <c r="AC138" s="313"/>
    </row>
    <row r="139" spans="1:29" ht="15.75" customHeight="1">
      <c r="A139" s="303"/>
      <c r="B139" s="98"/>
      <c r="C139" s="297"/>
      <c r="D139" s="298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8"/>
      <c r="S139" s="117"/>
      <c r="T139" s="118"/>
      <c r="U139" s="128"/>
      <c r="V139" s="129"/>
      <c r="W139" s="124"/>
      <c r="X139" s="125"/>
      <c r="Y139" s="299"/>
      <c r="Z139" s="300"/>
      <c r="AA139" s="171"/>
      <c r="AB139" s="123"/>
      <c r="AC139" s="313"/>
    </row>
    <row r="140" spans="1:29" ht="15.75" customHeight="1" thickBot="1">
      <c r="A140" s="304"/>
      <c r="B140" s="131" t="s">
        <v>115</v>
      </c>
      <c r="C140" s="294"/>
      <c r="D140" s="294"/>
      <c r="E140" s="132"/>
      <c r="F140" s="165"/>
      <c r="G140" s="133"/>
      <c r="H140" s="67"/>
      <c r="I140" s="134">
        <f t="shared" ref="I140:J140" si="68">AVERAGE(I124:I139)</f>
        <v>4</v>
      </c>
      <c r="J140" s="135">
        <f t="shared" si="68"/>
        <v>3600</v>
      </c>
      <c r="K140" s="136">
        <f t="shared" ref="K140" si="69">J140/I140</f>
        <v>900</v>
      </c>
      <c r="L140" s="134">
        <f t="shared" ref="L140:M140" si="70">AVERAGE(L124:L139)</f>
        <v>4</v>
      </c>
      <c r="M140" s="135">
        <f t="shared" si="70"/>
        <v>3276.5154745175287</v>
      </c>
      <c r="N140" s="136">
        <f>M140/L140</f>
        <v>819.12886862938217</v>
      </c>
      <c r="O140" s="137">
        <f>L140-I140</f>
        <v>0</v>
      </c>
      <c r="P140" s="138">
        <f>N140-K140</f>
        <v>-80.871131370617832</v>
      </c>
      <c r="Q140" s="139">
        <f>N140/K140</f>
        <v>0.91014318736598021</v>
      </c>
      <c r="R140" s="309"/>
      <c r="S140" s="140">
        <v>0.7319444444444444</v>
      </c>
      <c r="T140" s="141">
        <v>1.0710069444444439</v>
      </c>
      <c r="U140" s="142"/>
      <c r="V140" s="164"/>
      <c r="W140" s="165"/>
      <c r="X140" s="136"/>
      <c r="Y140" s="295"/>
      <c r="Z140" s="296"/>
      <c r="AA140" s="172">
        <f>M140-J140</f>
        <v>-323.48452548247133</v>
      </c>
      <c r="AB140" s="139">
        <f>M140/J140</f>
        <v>0.91014318736598021</v>
      </c>
      <c r="AC140" s="314"/>
    </row>
    <row r="142" spans="1:29">
      <c r="Y142" s="293" t="s">
        <v>147</v>
      </c>
      <c r="Z142" s="293"/>
    </row>
    <row r="143" spans="1:29">
      <c r="Y143" s="293" t="s">
        <v>148</v>
      </c>
      <c r="Z143" s="293"/>
    </row>
    <row r="144" spans="1:29">
      <c r="Y144" s="293" t="s">
        <v>149</v>
      </c>
      <c r="Z144" s="293"/>
    </row>
    <row r="145" spans="25:26">
      <c r="Y145" s="293" t="s">
        <v>150</v>
      </c>
      <c r="Z145" s="293"/>
    </row>
    <row r="146" spans="25:26">
      <c r="Y146" s="293" t="s">
        <v>151</v>
      </c>
      <c r="Z146" s="293"/>
    </row>
    <row r="147" spans="25:26">
      <c r="Y147" s="293" t="s">
        <v>152</v>
      </c>
      <c r="Z147" s="293"/>
    </row>
    <row r="148" spans="25:26">
      <c r="Y148" s="293" t="s">
        <v>153</v>
      </c>
      <c r="Z148" s="293"/>
    </row>
    <row r="149" spans="25:26">
      <c r="Y149" s="293" t="s">
        <v>154</v>
      </c>
      <c r="Z149" s="293"/>
    </row>
    <row r="150" spans="25:26">
      <c r="Y150" s="293" t="s">
        <v>155</v>
      </c>
      <c r="Z150" s="293"/>
    </row>
    <row r="151" spans="25:26">
      <c r="Y151" s="293" t="s">
        <v>156</v>
      </c>
      <c r="Z151" s="293"/>
    </row>
    <row r="152" spans="25:26">
      <c r="Y152" s="293" t="s">
        <v>157</v>
      </c>
      <c r="Z152" s="293"/>
    </row>
    <row r="153" spans="25:26">
      <c r="Y153" s="293" t="s">
        <v>158</v>
      </c>
      <c r="Z153" s="293"/>
    </row>
    <row r="154" spans="25:26">
      <c r="Y154" s="293" t="s">
        <v>159</v>
      </c>
      <c r="Z154" s="293"/>
    </row>
  </sheetData>
  <dataConsolidate/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22" priority="1" operator="greaterThan">
      <formula>0</formula>
    </cfRule>
  </conditionalFormatting>
  <conditionalFormatting sqref="P5:P140 AA5:AA140">
    <cfRule type="cellIs" dxfId="21" priority="4" operator="lessThan">
      <formula>0</formula>
    </cfRule>
  </conditionalFormatting>
  <conditionalFormatting sqref="Q5:Q140 AB5:AB140">
    <cfRule type="cellIs" dxfId="20" priority="2" operator="greaterThan">
      <formula>1</formula>
    </cfRule>
    <cfRule type="cellIs" dxfId="19" priority="3" operator="lessThan">
      <formula>0.8</formula>
    </cfRule>
  </conditionalFormatting>
  <conditionalFormatting sqref="AC5:AC6 R5:R140 AC73:AC78">
    <cfRule type="cellIs" dxfId="18" priority="5" operator="lessThan">
      <formula>0.8</formula>
    </cfRule>
  </conditionalFormatting>
  <conditionalFormatting sqref="AC12:AC20">
    <cfRule type="cellIs" dxfId="17" priority="12" operator="lessThan">
      <formula>0.8</formula>
    </cfRule>
  </conditionalFormatting>
  <conditionalFormatting sqref="AC22">
    <cfRule type="cellIs" dxfId="16" priority="11" operator="lessThan">
      <formula>0.8</formula>
    </cfRule>
  </conditionalFormatting>
  <conditionalFormatting sqref="AC39">
    <cfRule type="cellIs" dxfId="15" priority="7" operator="lessThan">
      <formula>0.8</formula>
    </cfRule>
  </conditionalFormatting>
  <conditionalFormatting sqref="AC56:AC61">
    <cfRule type="cellIs" dxfId="14" priority="6" operator="lessThan">
      <formula>0.8</formula>
    </cfRule>
  </conditionalFormatting>
  <conditionalFormatting sqref="AC90">
    <cfRule type="cellIs" dxfId="13" priority="10" operator="lessThan">
      <formula>0.8</formula>
    </cfRule>
  </conditionalFormatting>
  <conditionalFormatting sqref="AC107">
    <cfRule type="cellIs" dxfId="12" priority="9" operator="lessThan">
      <formula>0.8</formula>
    </cfRule>
  </conditionalFormatting>
  <conditionalFormatting sqref="AC124:AC129">
    <cfRule type="cellIs" dxfId="11" priority="8" operator="lessThan">
      <formula>0.8</formula>
    </cfRule>
  </conditionalFormatting>
  <dataValidations count="1">
    <dataValidation type="list" allowBlank="1" showInputMessage="1" showErrorMessage="1" sqref="Y5:Z140" xr:uid="{4551BBA1-C1D7-4F78-9353-5F57C5B15DFB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2CCAC-BE60-416E-AEA4-6F756396A04D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M42" sqref="M42"/>
      <selection pane="bottomLeft" activeCell="M42" sqref="M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66604</v>
      </c>
      <c r="E1" s="86" t="s">
        <v>3</v>
      </c>
      <c r="F1" s="87">
        <f>SUM(G5:G140)</f>
        <v>2846126.6200000006</v>
      </c>
      <c r="G1" s="88" t="s">
        <v>84</v>
      </c>
      <c r="H1" s="89">
        <f>L21+L38+L55+L72+L89+L106+L123+L140</f>
        <v>137.03333333333336</v>
      </c>
      <c r="I1" s="359" t="s">
        <v>85</v>
      </c>
      <c r="J1" s="360"/>
      <c r="K1" s="361"/>
      <c r="L1" s="365" t="s">
        <v>86</v>
      </c>
      <c r="M1" s="366"/>
      <c r="N1" s="367"/>
      <c r="O1" s="360" t="s">
        <v>87</v>
      </c>
      <c r="P1" s="360"/>
      <c r="Q1" s="360"/>
      <c r="R1" s="371"/>
      <c r="S1" s="359" t="s">
        <v>88</v>
      </c>
      <c r="T1" s="360"/>
      <c r="U1" s="360"/>
      <c r="V1" s="360"/>
      <c r="W1" s="360"/>
      <c r="X1" s="371"/>
      <c r="Y1" s="190" t="s">
        <v>183</v>
      </c>
      <c r="Z1" s="190" t="s">
        <v>184</v>
      </c>
      <c r="AA1" s="391" t="s">
        <v>161</v>
      </c>
      <c r="AB1" s="392"/>
      <c r="AC1" s="174" t="s">
        <v>19</v>
      </c>
      <c r="AD1" s="175" t="s">
        <v>160</v>
      </c>
      <c r="AE1" s="359" t="s">
        <v>90</v>
      </c>
      <c r="AF1" s="374"/>
      <c r="AG1" s="375"/>
    </row>
    <row r="2" spans="1:33" ht="26.25" customHeight="1" thickBot="1">
      <c r="A2" s="352">
        <v>46296</v>
      </c>
      <c r="B2" s="353"/>
      <c r="C2" s="90" t="s">
        <v>40</v>
      </c>
      <c r="D2" s="91">
        <f>AVERAGE(N21,N38,N55,N72,N89,N106,N123,N140)</f>
        <v>210.10969293632638</v>
      </c>
      <c r="E2" s="91" t="s">
        <v>91</v>
      </c>
      <c r="F2" s="92">
        <f>F1/D1</f>
        <v>42.732067443396801</v>
      </c>
      <c r="G2" s="93" t="s">
        <v>92</v>
      </c>
      <c r="H2" s="94">
        <f>COUNT(H5:H140)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1">
        <f>SUM(Y21,Y38,Y55,Y72,Y89,Y106,Y123,Y140)</f>
        <v>0</v>
      </c>
      <c r="Z2" s="191">
        <f>SUM(Z21,Z38,Z55,Z72,Z89,Z106,Z123,Z140)</f>
        <v>0</v>
      </c>
      <c r="AA2" s="393"/>
      <c r="AB2" s="394"/>
      <c r="AC2" s="199">
        <f>SUM(AC21,AC38,AC55,AC72,AC89,AC106,AC123,AC140)</f>
        <v>0</v>
      </c>
      <c r="AD2" s="200">
        <f>SUM(AD21,AD38,AD55,AD72,AD89,AD106,AD123,AD140)</f>
        <v>0</v>
      </c>
      <c r="AE2" s="376"/>
      <c r="AF2" s="377"/>
      <c r="AG2" s="378"/>
    </row>
    <row r="3" spans="1:33" ht="23.25" customHeight="1">
      <c r="A3" s="354" t="s">
        <v>93</v>
      </c>
      <c r="B3" s="356" t="s">
        <v>94</v>
      </c>
      <c r="C3" s="326" t="s">
        <v>95</v>
      </c>
      <c r="D3" s="326"/>
      <c r="E3" s="346" t="s">
        <v>96</v>
      </c>
      <c r="F3" s="326" t="s">
        <v>97</v>
      </c>
      <c r="G3" s="346" t="s">
        <v>98</v>
      </c>
      <c r="H3" s="348" t="s">
        <v>99</v>
      </c>
      <c r="I3" s="338" t="s">
        <v>100</v>
      </c>
      <c r="J3" s="334" t="s">
        <v>101</v>
      </c>
      <c r="K3" s="336" t="s">
        <v>40</v>
      </c>
      <c r="L3" s="350" t="s">
        <v>100</v>
      </c>
      <c r="M3" s="334" t="s">
        <v>101</v>
      </c>
      <c r="N3" s="336" t="s">
        <v>40</v>
      </c>
      <c r="O3" s="338" t="s">
        <v>100</v>
      </c>
      <c r="P3" s="340" t="s">
        <v>40</v>
      </c>
      <c r="Q3" s="342" t="s">
        <v>102</v>
      </c>
      <c r="R3" s="344" t="s">
        <v>103</v>
      </c>
      <c r="S3" s="322" t="s">
        <v>104</v>
      </c>
      <c r="T3" s="323"/>
      <c r="U3" s="324" t="s">
        <v>105</v>
      </c>
      <c r="V3" s="324" t="s">
        <v>106</v>
      </c>
      <c r="W3" s="326" t="s">
        <v>107</v>
      </c>
      <c r="X3" s="327"/>
      <c r="Y3" s="383" t="s">
        <v>185</v>
      </c>
      <c r="Z3" s="384"/>
      <c r="AA3" s="387" t="s">
        <v>108</v>
      </c>
      <c r="AB3" s="388"/>
      <c r="AC3" s="383" t="s">
        <v>186</v>
      </c>
      <c r="AD3" s="384"/>
      <c r="AE3" s="332" t="s">
        <v>101</v>
      </c>
      <c r="AF3" s="318" t="s">
        <v>102</v>
      </c>
      <c r="AG3" s="320" t="s">
        <v>109</v>
      </c>
    </row>
    <row r="4" spans="1:33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201" t="s">
        <v>110</v>
      </c>
      <c r="T4" s="202" t="s">
        <v>111</v>
      </c>
      <c r="U4" s="325"/>
      <c r="V4" s="325"/>
      <c r="W4" s="97" t="s">
        <v>112</v>
      </c>
      <c r="X4" s="67" t="s">
        <v>113</v>
      </c>
      <c r="Y4" s="192" t="s">
        <v>49</v>
      </c>
      <c r="Z4" s="193" t="s">
        <v>50</v>
      </c>
      <c r="AA4" s="389"/>
      <c r="AB4" s="390"/>
      <c r="AC4" s="192" t="s">
        <v>162</v>
      </c>
      <c r="AD4" s="193" t="s">
        <v>163</v>
      </c>
      <c r="AE4" s="333"/>
      <c r="AF4" s="319"/>
      <c r="AG4" s="321"/>
    </row>
    <row r="5" spans="1:33" ht="15.75" customHeight="1">
      <c r="A5" s="315" t="s">
        <v>168</v>
      </c>
      <c r="B5" s="112" t="s">
        <v>164</v>
      </c>
      <c r="C5" s="385" t="s">
        <v>165</v>
      </c>
      <c r="D5" s="385"/>
      <c r="E5" s="145">
        <v>19.7</v>
      </c>
      <c r="F5" s="149">
        <v>4194</v>
      </c>
      <c r="G5" s="146">
        <f t="shared" ref="G5:G7" si="0">E5*F5</f>
        <v>82621.8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1087.047288176849</v>
      </c>
      <c r="N5" s="150">
        <f>M5/L5</f>
        <v>83.619022167449913</v>
      </c>
      <c r="O5" s="152">
        <f>L5-I5</f>
        <v>0</v>
      </c>
      <c r="P5" s="153">
        <f>N5-K5</f>
        <v>-8.6886701402423938</v>
      </c>
      <c r="Q5" s="154">
        <f>N5/K5</f>
        <v>0.90587274014737407</v>
      </c>
      <c r="R5" s="307">
        <f>Q21</f>
        <v>0.90331390360389496</v>
      </c>
      <c r="S5" s="155">
        <v>0.20833333333333334</v>
      </c>
      <c r="T5" s="156">
        <v>0.36908564814814815</v>
      </c>
      <c r="U5" s="157"/>
      <c r="V5" s="158">
        <v>231.48946944345013</v>
      </c>
      <c r="W5" s="179"/>
      <c r="X5" s="150"/>
      <c r="Y5" s="12"/>
      <c r="Z5" s="196"/>
      <c r="AA5" s="310"/>
      <c r="AB5" s="311"/>
      <c r="AC5" s="12"/>
      <c r="AD5" s="196"/>
      <c r="AE5" s="176">
        <f>M5-J5</f>
        <v>-112.95271182315105</v>
      </c>
      <c r="AF5" s="130">
        <f>M5/J5</f>
        <v>0.90587274014737418</v>
      </c>
      <c r="AG5" s="386">
        <f>AF21</f>
        <v>0.90331390360389496</v>
      </c>
    </row>
    <row r="6" spans="1:33" ht="15.75" customHeight="1">
      <c r="A6" s="316"/>
      <c r="B6" s="98" t="s">
        <v>169</v>
      </c>
      <c r="C6" s="382" t="s">
        <v>170</v>
      </c>
      <c r="D6" s="382"/>
      <c r="E6" s="99">
        <v>56.43</v>
      </c>
      <c r="F6" s="100">
        <v>4290</v>
      </c>
      <c r="G6" s="101">
        <f t="shared" si="0"/>
        <v>242084.7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1804.5548219448426</v>
      </c>
      <c r="N6" s="104">
        <f>M6/L6</f>
        <v>75.18978424770178</v>
      </c>
      <c r="O6" s="106">
        <f>L6-I6</f>
        <v>0</v>
      </c>
      <c r="P6" s="107">
        <f>N6-K6</f>
        <v>-8.1435490856315482</v>
      </c>
      <c r="Q6" s="108">
        <f>N6/K6</f>
        <v>0.90227741097242142</v>
      </c>
      <c r="R6" s="308"/>
      <c r="S6" s="46">
        <v>0.37291666666666667</v>
      </c>
      <c r="T6" s="47">
        <v>0.47196759259259258</v>
      </c>
      <c r="U6" s="109">
        <v>5.5166666666666764</v>
      </c>
      <c r="V6" s="110">
        <v>142.63905804900372</v>
      </c>
      <c r="W6" s="111">
        <v>0.47196759259259258</v>
      </c>
      <c r="X6" s="114">
        <v>0.50972222222222219</v>
      </c>
      <c r="Y6" s="12"/>
      <c r="Z6" s="196"/>
      <c r="AA6" s="299"/>
      <c r="AB6" s="300"/>
      <c r="AC6" s="12"/>
      <c r="AD6" s="196"/>
      <c r="AE6" s="115">
        <f>M6-J6</f>
        <v>-195.44517805515738</v>
      </c>
      <c r="AF6" s="108">
        <f>M6/J6</f>
        <v>0.90227741097242131</v>
      </c>
      <c r="AG6" s="380"/>
    </row>
    <row r="7" spans="1:33" ht="15.75" customHeight="1">
      <c r="A7" s="316"/>
      <c r="B7" s="98" t="s">
        <v>171</v>
      </c>
      <c r="C7" s="382" t="s">
        <v>173</v>
      </c>
      <c r="D7" s="382"/>
      <c r="E7" s="99">
        <v>59.52</v>
      </c>
      <c r="F7" s="100">
        <v>4141</v>
      </c>
      <c r="G7" s="101">
        <f t="shared" si="0"/>
        <v>246472.32000000001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1805.6301886185624</v>
      </c>
      <c r="N7" s="104">
        <f>M7/L7</f>
        <v>75.234591192440107</v>
      </c>
      <c r="O7" s="106">
        <f>L7-I7</f>
        <v>0</v>
      </c>
      <c r="P7" s="107">
        <f>N7-K7</f>
        <v>-8.0987421408932221</v>
      </c>
      <c r="Q7" s="108">
        <f>N7/K7</f>
        <v>0.90281509430928131</v>
      </c>
      <c r="R7" s="308"/>
      <c r="S7" s="46">
        <v>0.50972222222222219</v>
      </c>
      <c r="T7" s="47">
        <v>0.6052777777777778</v>
      </c>
      <c r="U7" s="109">
        <v>55</v>
      </c>
      <c r="V7" s="110">
        <v>137.60292753528333</v>
      </c>
      <c r="W7" s="111"/>
      <c r="X7" s="114"/>
      <c r="Y7" s="12"/>
      <c r="Z7" s="196"/>
      <c r="AA7" s="299"/>
      <c r="AB7" s="300"/>
      <c r="AC7" s="12"/>
      <c r="AD7" s="196"/>
      <c r="AE7" s="115">
        <f>M7-J7</f>
        <v>-194.36981138143756</v>
      </c>
      <c r="AF7" s="108">
        <f>M7/J7</f>
        <v>0.9028150943092812</v>
      </c>
      <c r="AG7" s="380"/>
    </row>
    <row r="8" spans="1:33" ht="15.75" customHeight="1">
      <c r="A8" s="316"/>
      <c r="B8" s="98"/>
      <c r="C8" s="382"/>
      <c r="D8" s="382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8"/>
      <c r="S8" s="46"/>
      <c r="T8" s="47"/>
      <c r="U8" s="109"/>
      <c r="V8" s="110"/>
      <c r="W8" s="111"/>
      <c r="X8" s="114"/>
      <c r="Y8" s="12"/>
      <c r="Z8" s="196"/>
      <c r="AA8" s="299"/>
      <c r="AB8" s="300"/>
      <c r="AC8" s="12"/>
      <c r="AD8" s="196"/>
      <c r="AE8" s="115"/>
      <c r="AF8" s="108"/>
      <c r="AG8" s="380"/>
    </row>
    <row r="9" spans="1:33" ht="15.75" customHeight="1">
      <c r="A9" s="316"/>
      <c r="B9" s="98"/>
      <c r="C9" s="382"/>
      <c r="D9" s="382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8"/>
      <c r="S9" s="46"/>
      <c r="T9" s="47"/>
      <c r="U9" s="109"/>
      <c r="V9" s="110"/>
      <c r="W9" s="111"/>
      <c r="X9" s="114"/>
      <c r="Y9" s="12"/>
      <c r="Z9" s="196"/>
      <c r="AA9" s="299"/>
      <c r="AB9" s="300"/>
      <c r="AC9" s="12"/>
      <c r="AD9" s="196"/>
      <c r="AE9" s="115"/>
      <c r="AF9" s="108"/>
      <c r="AG9" s="380"/>
    </row>
    <row r="10" spans="1:33" ht="15.75" customHeight="1">
      <c r="A10" s="316"/>
      <c r="B10" s="98"/>
      <c r="C10" s="382"/>
      <c r="D10" s="382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8"/>
      <c r="S10" s="46"/>
      <c r="T10" s="118"/>
      <c r="U10" s="109"/>
      <c r="V10" s="110"/>
      <c r="W10" s="111"/>
      <c r="X10" s="114"/>
      <c r="Y10" s="12"/>
      <c r="Z10" s="196"/>
      <c r="AA10" s="299"/>
      <c r="AB10" s="300"/>
      <c r="AC10" s="12"/>
      <c r="AD10" s="196"/>
      <c r="AE10" s="115"/>
      <c r="AF10" s="108"/>
      <c r="AG10" s="380"/>
    </row>
    <row r="11" spans="1:33" ht="15.75" customHeight="1">
      <c r="A11" s="316"/>
      <c r="B11" s="98"/>
      <c r="C11" s="382"/>
      <c r="D11" s="382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8"/>
      <c r="S11" s="46"/>
      <c r="T11" s="118"/>
      <c r="U11" s="109"/>
      <c r="V11" s="110"/>
      <c r="W11" s="111"/>
      <c r="X11" s="114"/>
      <c r="Y11" s="12"/>
      <c r="Z11" s="196"/>
      <c r="AA11" s="299"/>
      <c r="AB11" s="300"/>
      <c r="AC11" s="12"/>
      <c r="AD11" s="196"/>
      <c r="AE11" s="115"/>
      <c r="AF11" s="108"/>
      <c r="AG11" s="380"/>
    </row>
    <row r="12" spans="1:33" ht="15.75" customHeight="1">
      <c r="A12" s="316"/>
      <c r="B12" s="98"/>
      <c r="C12" s="382"/>
      <c r="D12" s="382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8"/>
      <c r="S12" s="46"/>
      <c r="T12" s="118"/>
      <c r="U12" s="109"/>
      <c r="V12" s="110"/>
      <c r="W12" s="111"/>
      <c r="X12" s="114"/>
      <c r="Y12" s="12"/>
      <c r="Z12" s="196"/>
      <c r="AA12" s="299"/>
      <c r="AB12" s="300"/>
      <c r="AC12" s="12"/>
      <c r="AD12" s="196"/>
      <c r="AE12" s="115"/>
      <c r="AF12" s="108"/>
      <c r="AG12" s="380"/>
    </row>
    <row r="13" spans="1:33" ht="15.75" customHeight="1">
      <c r="A13" s="316"/>
      <c r="B13" s="98"/>
      <c r="C13" s="382"/>
      <c r="D13" s="382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8"/>
      <c r="S13" s="46"/>
      <c r="T13" s="118"/>
      <c r="U13" s="109"/>
      <c r="V13" s="110"/>
      <c r="W13" s="111"/>
      <c r="X13" s="114"/>
      <c r="Y13" s="12"/>
      <c r="Z13" s="196"/>
      <c r="AA13" s="299"/>
      <c r="AB13" s="300"/>
      <c r="AC13" s="12"/>
      <c r="AD13" s="196"/>
      <c r="AE13" s="115"/>
      <c r="AF13" s="108"/>
      <c r="AG13" s="380"/>
    </row>
    <row r="14" spans="1:33" ht="15.75" customHeight="1">
      <c r="A14" s="316"/>
      <c r="B14" s="98"/>
      <c r="C14" s="382"/>
      <c r="D14" s="382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8"/>
      <c r="S14" s="46"/>
      <c r="T14" s="118"/>
      <c r="U14" s="109"/>
      <c r="V14" s="110"/>
      <c r="W14" s="111"/>
      <c r="X14" s="114"/>
      <c r="Y14" s="12"/>
      <c r="Z14" s="196"/>
      <c r="AA14" s="299"/>
      <c r="AB14" s="300"/>
      <c r="AC14" s="12"/>
      <c r="AD14" s="196"/>
      <c r="AE14" s="115"/>
      <c r="AF14" s="108"/>
      <c r="AG14" s="380"/>
    </row>
    <row r="15" spans="1:33" ht="15.75" customHeight="1">
      <c r="A15" s="316"/>
      <c r="B15" s="98"/>
      <c r="C15" s="382"/>
      <c r="D15" s="382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8"/>
      <c r="S15" s="46"/>
      <c r="T15" s="118"/>
      <c r="U15" s="109"/>
      <c r="V15" s="110"/>
      <c r="W15" s="111"/>
      <c r="X15" s="114"/>
      <c r="Y15" s="12"/>
      <c r="Z15" s="196"/>
      <c r="AA15" s="299"/>
      <c r="AB15" s="300"/>
      <c r="AC15" s="12"/>
      <c r="AD15" s="196"/>
      <c r="AE15" s="115"/>
      <c r="AF15" s="108"/>
      <c r="AG15" s="380"/>
    </row>
    <row r="16" spans="1:33" ht="15.75" customHeight="1">
      <c r="A16" s="316"/>
      <c r="B16" s="98"/>
      <c r="C16" s="382"/>
      <c r="D16" s="382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8"/>
      <c r="S16" s="46"/>
      <c r="T16" s="118"/>
      <c r="U16" s="109"/>
      <c r="V16" s="110"/>
      <c r="W16" s="111"/>
      <c r="X16" s="114"/>
      <c r="Y16" s="12"/>
      <c r="Z16" s="196"/>
      <c r="AA16" s="299"/>
      <c r="AB16" s="300"/>
      <c r="AC16" s="12"/>
      <c r="AD16" s="196"/>
      <c r="AE16" s="115"/>
      <c r="AF16" s="108"/>
      <c r="AG16" s="380"/>
    </row>
    <row r="17" spans="1:33" ht="15.75" customHeight="1">
      <c r="A17" s="316"/>
      <c r="B17" s="98"/>
      <c r="C17" s="382"/>
      <c r="D17" s="382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8"/>
      <c r="S17" s="46"/>
      <c r="T17" s="118"/>
      <c r="U17" s="109"/>
      <c r="V17" s="110"/>
      <c r="W17" s="111"/>
      <c r="X17" s="114"/>
      <c r="Y17" s="12"/>
      <c r="Z17" s="196"/>
      <c r="AA17" s="299"/>
      <c r="AB17" s="300"/>
      <c r="AC17" s="12"/>
      <c r="AD17" s="196"/>
      <c r="AE17" s="115"/>
      <c r="AF17" s="108"/>
      <c r="AG17" s="380"/>
    </row>
    <row r="18" spans="1:33" ht="15.75" customHeight="1">
      <c r="A18" s="316"/>
      <c r="B18" s="98"/>
      <c r="C18" s="382"/>
      <c r="D18" s="382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8"/>
      <c r="S18" s="46"/>
      <c r="T18" s="118"/>
      <c r="U18" s="109"/>
      <c r="V18" s="110"/>
      <c r="W18" s="111"/>
      <c r="X18" s="114"/>
      <c r="Y18" s="12"/>
      <c r="Z18" s="196"/>
      <c r="AA18" s="299"/>
      <c r="AB18" s="300"/>
      <c r="AC18" s="12"/>
      <c r="AD18" s="196"/>
      <c r="AE18" s="115"/>
      <c r="AF18" s="108"/>
      <c r="AG18" s="380"/>
    </row>
    <row r="19" spans="1:33" ht="15.75" customHeight="1">
      <c r="A19" s="316"/>
      <c r="B19" s="98"/>
      <c r="C19" s="382"/>
      <c r="D19" s="382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8"/>
      <c r="S19" s="46"/>
      <c r="T19" s="118"/>
      <c r="U19" s="109"/>
      <c r="V19" s="110"/>
      <c r="W19" s="111"/>
      <c r="X19" s="114"/>
      <c r="Y19" s="12"/>
      <c r="Z19" s="196"/>
      <c r="AA19" s="299"/>
      <c r="AB19" s="300"/>
      <c r="AC19" s="12"/>
      <c r="AD19" s="196"/>
      <c r="AE19" s="115"/>
      <c r="AF19" s="108"/>
      <c r="AG19" s="380"/>
    </row>
    <row r="20" spans="1:33" ht="15.75" customHeight="1">
      <c r="A20" s="316"/>
      <c r="B20" s="98"/>
      <c r="C20" s="382"/>
      <c r="D20" s="382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8"/>
      <c r="S20" s="46"/>
      <c r="T20" s="118"/>
      <c r="U20" s="128"/>
      <c r="V20" s="110"/>
      <c r="W20" s="111"/>
      <c r="X20" s="114"/>
      <c r="Y20" s="12"/>
      <c r="Z20" s="196"/>
      <c r="AA20" s="299"/>
      <c r="AB20" s="300"/>
      <c r="AC20" s="12"/>
      <c r="AD20" s="196"/>
      <c r="AE20" s="115"/>
      <c r="AF20" s="108"/>
      <c r="AG20" s="380"/>
    </row>
    <row r="21" spans="1:33" ht="15.75" customHeight="1" thickBot="1">
      <c r="A21" s="317"/>
      <c r="B21" s="131" t="s">
        <v>115</v>
      </c>
      <c r="C21" s="294"/>
      <c r="D21" s="294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1565.7440995800846</v>
      </c>
      <c r="N21" s="136">
        <f t="shared" ref="N21:N26" si="5">M21/L21</f>
        <v>77.003808176069739</v>
      </c>
      <c r="O21" s="137">
        <f t="shared" ref="O21:O26" si="6">L21-I21</f>
        <v>0</v>
      </c>
      <c r="P21" s="138">
        <f t="shared" ref="P21:P26" si="7">N21-K21</f>
        <v>-8.2420934632745286</v>
      </c>
      <c r="Q21" s="139">
        <f t="shared" ref="Q21:Q26" si="8">N21/K21</f>
        <v>0.90331390360389496</v>
      </c>
      <c r="R21" s="309"/>
      <c r="S21" s="140">
        <v>0.20833333333333334</v>
      </c>
      <c r="T21" s="141">
        <v>0.6052777777777778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5"/>
      <c r="AB21" s="296"/>
      <c r="AC21" s="177">
        <f>SUM(AC5:AC20)</f>
        <v>0</v>
      </c>
      <c r="AD21" s="178">
        <f>SUM(AD5:AD20)</f>
        <v>0</v>
      </c>
      <c r="AE21" s="166">
        <f t="shared" ref="AE21:AE26" si="9">M21-J21</f>
        <v>-167.58923375324866</v>
      </c>
      <c r="AF21" s="139">
        <f t="shared" ref="AF21:AF26" si="10">M21/J21</f>
        <v>0.90331390360389496</v>
      </c>
      <c r="AG21" s="381"/>
    </row>
    <row r="22" spans="1:33" ht="15.75" customHeight="1">
      <c r="A22" s="301" t="s">
        <v>174</v>
      </c>
      <c r="B22" s="144" t="s">
        <v>166</v>
      </c>
      <c r="C22" s="305" t="s">
        <v>223</v>
      </c>
      <c r="D22" s="306"/>
      <c r="E22" s="145">
        <v>29.87</v>
      </c>
      <c r="F22" s="157">
        <v>4697</v>
      </c>
      <c r="G22" s="146">
        <f t="shared" ref="G22:G26" si="11">E22*F22</f>
        <v>140299.39000000001</v>
      </c>
      <c r="H22" s="147"/>
      <c r="I22" s="151">
        <v>21</v>
      </c>
      <c r="J22" s="149">
        <v>2790</v>
      </c>
      <c r="K22" s="150">
        <f>J22/I22</f>
        <v>132.85714285714286</v>
      </c>
      <c r="L22" s="105">
        <v>22</v>
      </c>
      <c r="M22" s="149">
        <f>F22/V22*60</f>
        <v>2626.6346153846152</v>
      </c>
      <c r="N22" s="150">
        <f t="shared" si="5"/>
        <v>119.39248251748251</v>
      </c>
      <c r="O22" s="152">
        <f t="shared" si="6"/>
        <v>1</v>
      </c>
      <c r="P22" s="153">
        <f t="shared" si="7"/>
        <v>-13.464660339660355</v>
      </c>
      <c r="Q22" s="154">
        <f t="shared" si="8"/>
        <v>0.89865309421761019</v>
      </c>
      <c r="R22" s="307">
        <f>Q38</f>
        <v>0.90198168398806644</v>
      </c>
      <c r="S22" s="155">
        <v>0.25</v>
      </c>
      <c r="T22" s="156">
        <v>0.32450231481481484</v>
      </c>
      <c r="U22" s="157"/>
      <c r="V22" s="158">
        <v>107.29318739246624</v>
      </c>
      <c r="W22" s="95"/>
      <c r="X22" s="96"/>
      <c r="Y22" s="12"/>
      <c r="Z22" s="196"/>
      <c r="AA22" s="310"/>
      <c r="AB22" s="311"/>
      <c r="AC22" s="12"/>
      <c r="AD22" s="196"/>
      <c r="AE22" s="113">
        <f t="shared" si="9"/>
        <v>-163.36538461538476</v>
      </c>
      <c r="AF22" s="154">
        <f t="shared" si="10"/>
        <v>0.94144609870416318</v>
      </c>
      <c r="AG22" s="379">
        <f>AF38</f>
        <v>0.92825299517218474</v>
      </c>
    </row>
    <row r="23" spans="1:33" ht="15.75" customHeight="1">
      <c r="A23" s="302"/>
      <c r="B23" s="161" t="s">
        <v>166</v>
      </c>
      <c r="C23" s="297" t="s">
        <v>221</v>
      </c>
      <c r="D23" s="298"/>
      <c r="E23" s="99">
        <v>24.35</v>
      </c>
      <c r="F23" s="109">
        <v>3244</v>
      </c>
      <c r="G23" s="101">
        <f t="shared" si="11"/>
        <v>78991.400000000009</v>
      </c>
      <c r="H23" s="26"/>
      <c r="I23" s="105">
        <v>21</v>
      </c>
      <c r="J23" s="103">
        <v>2790</v>
      </c>
      <c r="K23" s="104">
        <f t="shared" si="1"/>
        <v>132.85714285714286</v>
      </c>
      <c r="L23" s="105">
        <v>22</v>
      </c>
      <c r="M23" s="103">
        <f>F23/V23*60</f>
        <v>2626.6346153846152</v>
      </c>
      <c r="N23" s="104">
        <f t="shared" si="5"/>
        <v>119.39248251748251</v>
      </c>
      <c r="O23" s="106">
        <f t="shared" si="6"/>
        <v>1</v>
      </c>
      <c r="P23" s="107">
        <f t="shared" si="7"/>
        <v>-13.464660339660355</v>
      </c>
      <c r="Q23" s="108">
        <f t="shared" si="8"/>
        <v>0.89865309421761019</v>
      </c>
      <c r="R23" s="308"/>
      <c r="S23" s="46">
        <v>0.32777777777777778</v>
      </c>
      <c r="T23" s="47">
        <v>0.37923611111111111</v>
      </c>
      <c r="U23" s="109">
        <v>4.7166666666666313</v>
      </c>
      <c r="V23" s="110">
        <v>74.102427060072486</v>
      </c>
      <c r="W23" s="111"/>
      <c r="X23" s="114"/>
      <c r="Y23" s="12"/>
      <c r="Z23" s="196"/>
      <c r="AA23" s="299"/>
      <c r="AB23" s="300"/>
      <c r="AC23" s="12"/>
      <c r="AD23" s="196"/>
      <c r="AE23" s="115">
        <f t="shared" si="9"/>
        <v>-163.36538461538476</v>
      </c>
      <c r="AF23" s="108">
        <f t="shared" si="10"/>
        <v>0.94144609870416318</v>
      </c>
      <c r="AG23" s="380"/>
    </row>
    <row r="24" spans="1:33" ht="15.75" customHeight="1">
      <c r="A24" s="302"/>
      <c r="B24" s="161" t="s">
        <v>166</v>
      </c>
      <c r="C24" s="297" t="s">
        <v>167</v>
      </c>
      <c r="D24" s="298"/>
      <c r="E24" s="99">
        <v>29.97</v>
      </c>
      <c r="F24" s="109">
        <v>1629</v>
      </c>
      <c r="G24" s="101">
        <f t="shared" si="11"/>
        <v>48821.13</v>
      </c>
      <c r="H24" s="26"/>
      <c r="I24" s="105">
        <v>21</v>
      </c>
      <c r="J24" s="103">
        <v>2790</v>
      </c>
      <c r="K24" s="104">
        <f t="shared" si="1"/>
        <v>132.85714285714286</v>
      </c>
      <c r="L24" s="105">
        <v>22</v>
      </c>
      <c r="M24" s="103">
        <f>F24/V24*60</f>
        <v>2626.6346153846152</v>
      </c>
      <c r="N24" s="104">
        <f t="shared" si="5"/>
        <v>119.39248251748251</v>
      </c>
      <c r="O24" s="106">
        <f t="shared" si="6"/>
        <v>1</v>
      </c>
      <c r="P24" s="107">
        <f t="shared" si="7"/>
        <v>-13.464660339660355</v>
      </c>
      <c r="Q24" s="108">
        <f t="shared" si="8"/>
        <v>0.89865309421761019</v>
      </c>
      <c r="R24" s="308"/>
      <c r="S24" s="46">
        <v>0.38263888888888886</v>
      </c>
      <c r="T24" s="47">
        <v>0.40847222222222218</v>
      </c>
      <c r="U24" s="109">
        <v>4.8999999999999666</v>
      </c>
      <c r="V24" s="110">
        <v>37.21111395834096</v>
      </c>
      <c r="W24" s="111"/>
      <c r="X24" s="114"/>
      <c r="Y24" s="12"/>
      <c r="Z24" s="196"/>
      <c r="AA24" s="299"/>
      <c r="AB24" s="300"/>
      <c r="AC24" s="12"/>
      <c r="AD24" s="196"/>
      <c r="AE24" s="115">
        <f t="shared" si="9"/>
        <v>-163.36538461538476</v>
      </c>
      <c r="AF24" s="108">
        <f t="shared" si="10"/>
        <v>0.94144609870416318</v>
      </c>
      <c r="AG24" s="380"/>
    </row>
    <row r="25" spans="1:33" ht="15.75" customHeight="1">
      <c r="A25" s="302"/>
      <c r="B25" s="161" t="s">
        <v>188</v>
      </c>
      <c r="C25" s="297" t="s">
        <v>204</v>
      </c>
      <c r="D25" s="298"/>
      <c r="E25" s="99">
        <v>36.450000000000003</v>
      </c>
      <c r="F25" s="109">
        <v>2080</v>
      </c>
      <c r="G25" s="101">
        <f t="shared" si="11"/>
        <v>75816</v>
      </c>
      <c r="H25" s="26"/>
      <c r="I25" s="105">
        <v>20</v>
      </c>
      <c r="J25" s="103">
        <v>2100</v>
      </c>
      <c r="K25" s="104">
        <f t="shared" si="1"/>
        <v>105</v>
      </c>
      <c r="L25" s="105">
        <v>20</v>
      </c>
      <c r="M25" s="103">
        <f>F25/V25*60</f>
        <v>1890.9683422375003</v>
      </c>
      <c r="N25" s="104">
        <f t="shared" si="5"/>
        <v>94.548417111875011</v>
      </c>
      <c r="O25" s="106">
        <f t="shared" si="6"/>
        <v>0</v>
      </c>
      <c r="P25" s="107">
        <f t="shared" si="7"/>
        <v>-10.451582888124989</v>
      </c>
      <c r="Q25" s="108">
        <f t="shared" si="8"/>
        <v>0.90046111535119056</v>
      </c>
      <c r="R25" s="308"/>
      <c r="S25" s="46">
        <v>0.41180555555555554</v>
      </c>
      <c r="T25" s="47">
        <v>0.45762731481481478</v>
      </c>
      <c r="U25" s="109">
        <v>4.8000000000000309</v>
      </c>
      <c r="V25" s="110">
        <v>65.997931965550308</v>
      </c>
      <c r="W25" s="111">
        <v>0.45762731481481478</v>
      </c>
      <c r="X25" s="114">
        <v>0.49652777777777773</v>
      </c>
      <c r="Y25" s="12"/>
      <c r="Z25" s="196"/>
      <c r="AA25" s="299"/>
      <c r="AB25" s="300"/>
      <c r="AC25" s="12"/>
      <c r="AD25" s="196"/>
      <c r="AE25" s="115">
        <f t="shared" si="9"/>
        <v>-209.03165776249966</v>
      </c>
      <c r="AF25" s="108">
        <f t="shared" si="10"/>
        <v>0.90046111535119067</v>
      </c>
      <c r="AG25" s="380"/>
    </row>
    <row r="26" spans="1:33" ht="15.75" customHeight="1">
      <c r="A26" s="303"/>
      <c r="B26" s="161" t="s">
        <v>171</v>
      </c>
      <c r="C26" s="297" t="s">
        <v>200</v>
      </c>
      <c r="D26" s="298"/>
      <c r="E26" s="99">
        <v>61.09</v>
      </c>
      <c r="F26" s="109">
        <v>2884</v>
      </c>
      <c r="G26" s="101">
        <f t="shared" si="11"/>
        <v>176183.56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>F26/V26*60</f>
        <v>1804.4426614057973</v>
      </c>
      <c r="N26" s="104">
        <f t="shared" si="5"/>
        <v>90.222133070289857</v>
      </c>
      <c r="O26" s="106">
        <f t="shared" si="6"/>
        <v>0</v>
      </c>
      <c r="P26" s="107">
        <f t="shared" si="7"/>
        <v>-9.777866929710143</v>
      </c>
      <c r="Q26" s="108">
        <f t="shared" si="8"/>
        <v>0.90222133070289856</v>
      </c>
      <c r="R26" s="308"/>
      <c r="S26" s="46">
        <v>0.49652777777777773</v>
      </c>
      <c r="T26" s="47">
        <v>0.56311342592592584</v>
      </c>
      <c r="U26" s="109">
        <v>56.016666666666659</v>
      </c>
      <c r="V26" s="110">
        <v>95.896646483179879</v>
      </c>
      <c r="W26" s="111"/>
      <c r="X26" s="114"/>
      <c r="Y26" s="12"/>
      <c r="Z26" s="196"/>
      <c r="AA26" s="299"/>
      <c r="AB26" s="300"/>
      <c r="AC26" s="12"/>
      <c r="AD26" s="196"/>
      <c r="AE26" s="115">
        <f t="shared" si="9"/>
        <v>-195.55733859420275</v>
      </c>
      <c r="AF26" s="108">
        <f t="shared" si="10"/>
        <v>0.90222133070289867</v>
      </c>
      <c r="AG26" s="380"/>
    </row>
    <row r="27" spans="1:33" ht="15.75" customHeight="1">
      <c r="A27" s="303"/>
      <c r="B27" s="161"/>
      <c r="C27" s="297"/>
      <c r="D27" s="298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08"/>
      <c r="S27" s="46"/>
      <c r="T27" s="118"/>
      <c r="U27" s="109"/>
      <c r="V27" s="110"/>
      <c r="W27" s="111"/>
      <c r="X27" s="114"/>
      <c r="Y27" s="12"/>
      <c r="Z27" s="196"/>
      <c r="AA27" s="299"/>
      <c r="AB27" s="300"/>
      <c r="AC27" s="12"/>
      <c r="AD27" s="196"/>
      <c r="AE27" s="115"/>
      <c r="AF27" s="108"/>
      <c r="AG27" s="380"/>
    </row>
    <row r="28" spans="1:33" ht="15.75" customHeight="1">
      <c r="A28" s="303"/>
      <c r="B28" s="161"/>
      <c r="C28" s="297"/>
      <c r="D28" s="298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8"/>
      <c r="S28" s="46"/>
      <c r="T28" s="118"/>
      <c r="U28" s="109"/>
      <c r="V28" s="110"/>
      <c r="W28" s="111"/>
      <c r="X28" s="114"/>
      <c r="Y28" s="12"/>
      <c r="Z28" s="196"/>
      <c r="AA28" s="299"/>
      <c r="AB28" s="300"/>
      <c r="AC28" s="12"/>
      <c r="AD28" s="196"/>
      <c r="AE28" s="115"/>
      <c r="AF28" s="108"/>
      <c r="AG28" s="380"/>
    </row>
    <row r="29" spans="1:33" ht="15.75" customHeight="1">
      <c r="A29" s="303"/>
      <c r="B29" s="161"/>
      <c r="C29" s="297"/>
      <c r="D29" s="298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8"/>
      <c r="S29" s="46"/>
      <c r="T29" s="118"/>
      <c r="U29" s="109"/>
      <c r="V29" s="110"/>
      <c r="W29" s="111"/>
      <c r="X29" s="114"/>
      <c r="Y29" s="12"/>
      <c r="Z29" s="196"/>
      <c r="AA29" s="299"/>
      <c r="AB29" s="300"/>
      <c r="AC29" s="12"/>
      <c r="AD29" s="196"/>
      <c r="AE29" s="115"/>
      <c r="AF29" s="108"/>
      <c r="AG29" s="380"/>
    </row>
    <row r="30" spans="1:33" ht="15.75" customHeight="1">
      <c r="A30" s="303"/>
      <c r="B30" s="161"/>
      <c r="C30" s="297"/>
      <c r="D30" s="298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8"/>
      <c r="S30" s="46"/>
      <c r="T30" s="118"/>
      <c r="U30" s="109"/>
      <c r="V30" s="110"/>
      <c r="W30" s="111"/>
      <c r="X30" s="114"/>
      <c r="Y30" s="12"/>
      <c r="Z30" s="196"/>
      <c r="AA30" s="299"/>
      <c r="AB30" s="300"/>
      <c r="AC30" s="12"/>
      <c r="AD30" s="196"/>
      <c r="AE30" s="115"/>
      <c r="AF30" s="108"/>
      <c r="AG30" s="380"/>
    </row>
    <row r="31" spans="1:33" ht="15.75" customHeight="1">
      <c r="A31" s="303"/>
      <c r="B31" s="161"/>
      <c r="C31" s="297"/>
      <c r="D31" s="298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8"/>
      <c r="S31" s="46"/>
      <c r="T31" s="118"/>
      <c r="U31" s="109"/>
      <c r="V31" s="110"/>
      <c r="W31" s="111"/>
      <c r="X31" s="114"/>
      <c r="Y31" s="12"/>
      <c r="Z31" s="196"/>
      <c r="AA31" s="299"/>
      <c r="AB31" s="300"/>
      <c r="AC31" s="12"/>
      <c r="AD31" s="196"/>
      <c r="AE31" s="115"/>
      <c r="AF31" s="108"/>
      <c r="AG31" s="380"/>
    </row>
    <row r="32" spans="1:33" ht="15.75" customHeight="1">
      <c r="A32" s="303"/>
      <c r="B32" s="161"/>
      <c r="C32" s="297"/>
      <c r="D32" s="298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8"/>
      <c r="S32" s="46"/>
      <c r="T32" s="118"/>
      <c r="U32" s="109"/>
      <c r="V32" s="110"/>
      <c r="W32" s="111"/>
      <c r="X32" s="114"/>
      <c r="Y32" s="12"/>
      <c r="Z32" s="196"/>
      <c r="AA32" s="299"/>
      <c r="AB32" s="300"/>
      <c r="AC32" s="12"/>
      <c r="AD32" s="196"/>
      <c r="AE32" s="115"/>
      <c r="AF32" s="108"/>
      <c r="AG32" s="380"/>
    </row>
    <row r="33" spans="1:33" ht="15.75" customHeight="1">
      <c r="A33" s="303"/>
      <c r="B33" s="161"/>
      <c r="C33" s="297"/>
      <c r="D33" s="298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8"/>
      <c r="S33" s="46"/>
      <c r="T33" s="118"/>
      <c r="U33" s="109"/>
      <c r="V33" s="110"/>
      <c r="W33" s="111"/>
      <c r="X33" s="114"/>
      <c r="Y33" s="12"/>
      <c r="Z33" s="196"/>
      <c r="AA33" s="299"/>
      <c r="AB33" s="300"/>
      <c r="AC33" s="12"/>
      <c r="AD33" s="196"/>
      <c r="AE33" s="115"/>
      <c r="AF33" s="108"/>
      <c r="AG33" s="380"/>
    </row>
    <row r="34" spans="1:33" ht="15.75" customHeight="1">
      <c r="A34" s="303"/>
      <c r="B34" s="161"/>
      <c r="C34" s="297"/>
      <c r="D34" s="298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8"/>
      <c r="S34" s="46"/>
      <c r="T34" s="118"/>
      <c r="U34" s="109"/>
      <c r="V34" s="110"/>
      <c r="W34" s="111"/>
      <c r="X34" s="114"/>
      <c r="Y34" s="12"/>
      <c r="Z34" s="196"/>
      <c r="AA34" s="299"/>
      <c r="AB34" s="300"/>
      <c r="AC34" s="12"/>
      <c r="AD34" s="196"/>
      <c r="AE34" s="115"/>
      <c r="AF34" s="108"/>
      <c r="AG34" s="380"/>
    </row>
    <row r="35" spans="1:33" ht="15.75" customHeight="1">
      <c r="A35" s="303"/>
      <c r="B35" s="161"/>
      <c r="C35" s="297"/>
      <c r="D35" s="298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8"/>
      <c r="S35" s="46"/>
      <c r="T35" s="118"/>
      <c r="U35" s="109"/>
      <c r="V35" s="110"/>
      <c r="W35" s="181"/>
      <c r="X35" s="182"/>
      <c r="Y35" s="12"/>
      <c r="Z35" s="196"/>
      <c r="AA35" s="299"/>
      <c r="AB35" s="300"/>
      <c r="AC35" s="12"/>
      <c r="AD35" s="196"/>
      <c r="AE35" s="115"/>
      <c r="AF35" s="108"/>
      <c r="AG35" s="380"/>
    </row>
    <row r="36" spans="1:33" ht="15.75" customHeight="1">
      <c r="A36" s="303"/>
      <c r="B36" s="161"/>
      <c r="C36" s="297"/>
      <c r="D36" s="298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8"/>
      <c r="S36" s="46"/>
      <c r="T36" s="118"/>
      <c r="U36" s="109"/>
      <c r="V36" s="110"/>
      <c r="W36" s="183"/>
      <c r="X36" s="184"/>
      <c r="Y36" s="12"/>
      <c r="Z36" s="196"/>
      <c r="AA36" s="299"/>
      <c r="AB36" s="300"/>
      <c r="AC36" s="12"/>
      <c r="AD36" s="196"/>
      <c r="AE36" s="115"/>
      <c r="AF36" s="108"/>
      <c r="AG36" s="380"/>
    </row>
    <row r="37" spans="1:33" ht="15.75" customHeight="1">
      <c r="A37" s="303"/>
      <c r="B37" s="98"/>
      <c r="C37" s="297"/>
      <c r="D37" s="298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8"/>
      <c r="S37" s="46"/>
      <c r="T37" s="118"/>
      <c r="U37" s="128"/>
      <c r="V37" s="110"/>
      <c r="W37" s="183"/>
      <c r="X37" s="184"/>
      <c r="Y37" s="12"/>
      <c r="Z37" s="196"/>
      <c r="AA37" s="299"/>
      <c r="AB37" s="300"/>
      <c r="AC37" s="12"/>
      <c r="AD37" s="196"/>
      <c r="AE37" s="115"/>
      <c r="AF37" s="108"/>
      <c r="AG37" s="380"/>
    </row>
    <row r="38" spans="1:33" ht="15.75" customHeight="1" thickBot="1">
      <c r="A38" s="304"/>
      <c r="B38" s="131" t="s">
        <v>115</v>
      </c>
      <c r="C38" s="294"/>
      <c r="D38" s="294"/>
      <c r="E38" s="132"/>
      <c r="F38" s="165"/>
      <c r="G38" s="133"/>
      <c r="H38" s="67"/>
      <c r="I38" s="134">
        <f t="shared" ref="I38:J38" si="12">AVERAGE(I22:I37)</f>
        <v>20.6</v>
      </c>
      <c r="J38" s="135">
        <f t="shared" si="12"/>
        <v>2494</v>
      </c>
      <c r="K38" s="136">
        <f t="shared" ref="K38" si="13">J38/I38</f>
        <v>121.06796116504853</v>
      </c>
      <c r="L38" s="134">
        <f t="shared" ref="L38:M38" si="14">AVERAGE(L22:L37)</f>
        <v>21.2</v>
      </c>
      <c r="M38" s="135">
        <f t="shared" si="14"/>
        <v>2315.0629699594288</v>
      </c>
      <c r="N38" s="136">
        <f t="shared" ref="N38:N44" si="15">M38/L38</f>
        <v>109.2010834886523</v>
      </c>
      <c r="O38" s="137">
        <f t="shared" ref="O38:O44" si="16">L38-I38</f>
        <v>0.59999999999999787</v>
      </c>
      <c r="P38" s="138">
        <f t="shared" ref="P38:P44" si="17">N38-K38</f>
        <v>-11.866877676396228</v>
      </c>
      <c r="Q38" s="139">
        <f t="shared" ref="Q38:Q44" si="18">N38/K38</f>
        <v>0.90198168398806644</v>
      </c>
      <c r="R38" s="309"/>
      <c r="S38" s="140">
        <v>0.25</v>
      </c>
      <c r="T38" s="141">
        <v>0.56311342592592584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5"/>
      <c r="AB38" s="296"/>
      <c r="AC38" s="177">
        <f>SUM(AC22:AC37)</f>
        <v>0</v>
      </c>
      <c r="AD38" s="178">
        <f>SUM(AD22:AD37)</f>
        <v>0</v>
      </c>
      <c r="AE38" s="166">
        <f t="shared" ref="AE38:AE44" si="19">M38-J38</f>
        <v>-178.93703004057124</v>
      </c>
      <c r="AF38" s="139">
        <f t="shared" ref="AF38:AF44" si="20">M38/J38</f>
        <v>0.92825299517218474</v>
      </c>
      <c r="AG38" s="381"/>
    </row>
    <row r="39" spans="1:33" ht="15.75" customHeight="1">
      <c r="A39" s="315" t="s">
        <v>175</v>
      </c>
      <c r="B39" s="144" t="s">
        <v>171</v>
      </c>
      <c r="C39" s="305" t="s">
        <v>178</v>
      </c>
      <c r="D39" s="306"/>
      <c r="E39" s="145">
        <v>71.55</v>
      </c>
      <c r="F39" s="95">
        <v>2334</v>
      </c>
      <c r="G39" s="146">
        <f t="shared" ref="G39:G44" si="21">E39*F39</f>
        <v>166997.69999999998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2">F39/V39*60</f>
        <v>1808.2185926713987</v>
      </c>
      <c r="N39" s="150">
        <f t="shared" si="15"/>
        <v>82.191754212336306</v>
      </c>
      <c r="O39" s="152">
        <f t="shared" si="16"/>
        <v>0</v>
      </c>
      <c r="P39" s="153">
        <f t="shared" si="17"/>
        <v>-8.7173366967546002</v>
      </c>
      <c r="Q39" s="154">
        <f t="shared" si="18"/>
        <v>0.90410929633569936</v>
      </c>
      <c r="R39" s="307">
        <f>Q55</f>
        <v>0.90318503036989817</v>
      </c>
      <c r="S39" s="155">
        <v>0.25</v>
      </c>
      <c r="T39" s="156">
        <v>0.30377314814814815</v>
      </c>
      <c r="U39" s="157"/>
      <c r="V39" s="158">
        <v>77.446388709624884</v>
      </c>
      <c r="W39" s="156"/>
      <c r="X39" s="167"/>
      <c r="Y39" s="12"/>
      <c r="Z39" s="196"/>
      <c r="AA39" s="310"/>
      <c r="AB39" s="311"/>
      <c r="AC39" s="12"/>
      <c r="AD39" s="196"/>
      <c r="AE39" s="113">
        <f t="shared" si="19"/>
        <v>-191.78140732860129</v>
      </c>
      <c r="AF39" s="154">
        <f t="shared" si="20"/>
        <v>0.90410929633569936</v>
      </c>
      <c r="AG39" s="312">
        <f>AF55</f>
        <v>0.90318503036989828</v>
      </c>
    </row>
    <row r="40" spans="1:33" ht="15.75" customHeight="1">
      <c r="A40" s="316"/>
      <c r="B40" s="161" t="s">
        <v>171</v>
      </c>
      <c r="C40" s="297" t="s">
        <v>176</v>
      </c>
      <c r="D40" s="298"/>
      <c r="E40" s="99">
        <v>59.54</v>
      </c>
      <c r="F40" s="100">
        <v>2326</v>
      </c>
      <c r="G40" s="101">
        <f t="shared" si="21"/>
        <v>138490.04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2"/>
        <v>1808.0273887531587</v>
      </c>
      <c r="N40" s="104">
        <f t="shared" si="15"/>
        <v>78.609886467528639</v>
      </c>
      <c r="O40" s="106">
        <f t="shared" si="16"/>
        <v>0</v>
      </c>
      <c r="P40" s="107">
        <f t="shared" si="17"/>
        <v>-8.346635271601798</v>
      </c>
      <c r="Q40" s="108">
        <f t="shared" si="18"/>
        <v>0.9040136943765793</v>
      </c>
      <c r="R40" s="308"/>
      <c r="S40" s="46">
        <v>0.30763888888888885</v>
      </c>
      <c r="T40" s="47">
        <v>0.36123842592592587</v>
      </c>
      <c r="U40" s="109">
        <v>5.5666666666666043</v>
      </c>
      <c r="V40" s="110">
        <v>77.189096176381796</v>
      </c>
      <c r="W40" s="111"/>
      <c r="X40" s="114"/>
      <c r="Y40" s="12"/>
      <c r="Z40" s="196"/>
      <c r="AA40" s="299"/>
      <c r="AB40" s="300"/>
      <c r="AC40" s="12"/>
      <c r="AD40" s="196"/>
      <c r="AE40" s="115">
        <f t="shared" si="19"/>
        <v>-191.97261124684132</v>
      </c>
      <c r="AF40" s="108">
        <f t="shared" si="20"/>
        <v>0.9040136943765793</v>
      </c>
      <c r="AG40" s="313"/>
    </row>
    <row r="41" spans="1:33" ht="15.75" customHeight="1">
      <c r="A41" s="316"/>
      <c r="B41" s="161" t="s">
        <v>171</v>
      </c>
      <c r="C41" s="297" t="s">
        <v>172</v>
      </c>
      <c r="D41" s="298"/>
      <c r="E41" s="99">
        <v>58.67</v>
      </c>
      <c r="F41" s="100">
        <v>2794</v>
      </c>
      <c r="G41" s="101">
        <f t="shared" si="21"/>
        <v>163923.98000000001</v>
      </c>
      <c r="H41" s="26"/>
      <c r="I41" s="102">
        <v>23</v>
      </c>
      <c r="J41" s="103">
        <v>2000</v>
      </c>
      <c r="K41" s="104">
        <f t="shared" si="1"/>
        <v>86.956521739130437</v>
      </c>
      <c r="L41" s="105">
        <v>23</v>
      </c>
      <c r="M41" s="103">
        <f t="shared" si="22"/>
        <v>1803.7093623021285</v>
      </c>
      <c r="N41" s="104">
        <f t="shared" si="15"/>
        <v>78.422146187049066</v>
      </c>
      <c r="O41" s="106">
        <f t="shared" si="16"/>
        <v>0</v>
      </c>
      <c r="P41" s="107">
        <f t="shared" si="17"/>
        <v>-8.5343755520813716</v>
      </c>
      <c r="Q41" s="108">
        <f t="shared" si="18"/>
        <v>0.90185468115106426</v>
      </c>
      <c r="R41" s="308"/>
      <c r="S41" s="46">
        <v>0.36458333333333326</v>
      </c>
      <c r="T41" s="47">
        <v>0.42912037037037032</v>
      </c>
      <c r="U41" s="109">
        <v>4.8166666666666469</v>
      </c>
      <c r="V41" s="110">
        <v>92.941802877840601</v>
      </c>
      <c r="W41" s="111"/>
      <c r="X41" s="114"/>
      <c r="Y41" s="12"/>
      <c r="Z41" s="196"/>
      <c r="AA41" s="299"/>
      <c r="AB41" s="300"/>
      <c r="AC41" s="12"/>
      <c r="AD41" s="196"/>
      <c r="AE41" s="115">
        <f t="shared" si="19"/>
        <v>-196.29063769787149</v>
      </c>
      <c r="AF41" s="108">
        <f t="shared" si="20"/>
        <v>0.90185468115106426</v>
      </c>
      <c r="AG41" s="313"/>
    </row>
    <row r="42" spans="1:33" ht="15.75" customHeight="1">
      <c r="A42" s="316"/>
      <c r="B42" s="161" t="s">
        <v>171</v>
      </c>
      <c r="C42" s="297" t="s">
        <v>211</v>
      </c>
      <c r="D42" s="298"/>
      <c r="E42" s="99">
        <v>69.260000000000005</v>
      </c>
      <c r="F42" s="100">
        <v>656</v>
      </c>
      <c r="G42" s="101">
        <f t="shared" si="21"/>
        <v>45434.560000000005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2"/>
        <v>1804.3151935597878</v>
      </c>
      <c r="N42" s="104">
        <f t="shared" si="15"/>
        <v>75.179799731657823</v>
      </c>
      <c r="O42" s="106">
        <f t="shared" si="16"/>
        <v>0</v>
      </c>
      <c r="P42" s="107">
        <f t="shared" si="17"/>
        <v>-8.1535336016755053</v>
      </c>
      <c r="Q42" s="108">
        <f t="shared" si="18"/>
        <v>0.90215759677989393</v>
      </c>
      <c r="R42" s="308"/>
      <c r="S42" s="46">
        <v>0.4326388888888888</v>
      </c>
      <c r="T42" s="47">
        <v>0.44777777777777766</v>
      </c>
      <c r="U42" s="109">
        <v>5.066666666666606</v>
      </c>
      <c r="V42" s="110">
        <v>21.814370427345054</v>
      </c>
      <c r="W42" s="111"/>
      <c r="X42" s="114"/>
      <c r="Y42" s="12"/>
      <c r="Z42" s="196"/>
      <c r="AA42" s="299"/>
      <c r="AB42" s="300"/>
      <c r="AC42" s="12"/>
      <c r="AD42" s="196"/>
      <c r="AE42" s="115">
        <f t="shared" si="19"/>
        <v>-195.68480644021224</v>
      </c>
      <c r="AF42" s="108">
        <f t="shared" si="20"/>
        <v>0.90215759677989393</v>
      </c>
      <c r="AG42" s="313"/>
    </row>
    <row r="43" spans="1:33" ht="15.75" customHeight="1">
      <c r="A43" s="316"/>
      <c r="B43" s="161" t="s">
        <v>171</v>
      </c>
      <c r="C43" s="297" t="s">
        <v>206</v>
      </c>
      <c r="D43" s="298"/>
      <c r="E43" s="99">
        <v>63.92</v>
      </c>
      <c r="F43" s="100">
        <v>1231</v>
      </c>
      <c r="G43" s="101">
        <f t="shared" si="21"/>
        <v>78685.52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 t="shared" si="22"/>
        <v>1808.9054383674852</v>
      </c>
      <c r="N43" s="104">
        <f t="shared" si="15"/>
        <v>75.37105993197855</v>
      </c>
      <c r="O43" s="106">
        <f t="shared" si="16"/>
        <v>0</v>
      </c>
      <c r="P43" s="107">
        <f t="shared" si="17"/>
        <v>-7.9622734013547785</v>
      </c>
      <c r="Q43" s="108">
        <f t="shared" si="18"/>
        <v>0.9044527191837427</v>
      </c>
      <c r="R43" s="308"/>
      <c r="S43" s="46">
        <v>0.45069444444444434</v>
      </c>
      <c r="T43" s="47">
        <v>0.47903935185185176</v>
      </c>
      <c r="U43" s="109">
        <v>5</v>
      </c>
      <c r="V43" s="110">
        <v>40.831321766967399</v>
      </c>
      <c r="W43" s="111">
        <v>0.47903935185185176</v>
      </c>
      <c r="X43" s="114">
        <v>0.51736111111111105</v>
      </c>
      <c r="Y43" s="12"/>
      <c r="Z43" s="196"/>
      <c r="AA43" s="299"/>
      <c r="AB43" s="300"/>
      <c r="AC43" s="12"/>
      <c r="AD43" s="196"/>
      <c r="AE43" s="115">
        <f t="shared" si="19"/>
        <v>-191.0945616325148</v>
      </c>
      <c r="AF43" s="108">
        <f t="shared" si="20"/>
        <v>0.90445271918374259</v>
      </c>
      <c r="AG43" s="313"/>
    </row>
    <row r="44" spans="1:33" ht="15.75" customHeight="1">
      <c r="A44" s="316"/>
      <c r="B44" s="161" t="s">
        <v>171</v>
      </c>
      <c r="C44" s="297" t="s">
        <v>177</v>
      </c>
      <c r="D44" s="298"/>
      <c r="E44" s="99">
        <v>53.76</v>
      </c>
      <c r="F44" s="100">
        <v>3081</v>
      </c>
      <c r="G44" s="119">
        <f t="shared" si="21"/>
        <v>165634.56</v>
      </c>
      <c r="H44" s="120"/>
      <c r="I44" s="102">
        <v>20</v>
      </c>
      <c r="J44" s="103">
        <v>2000</v>
      </c>
      <c r="K44" s="104">
        <f t="shared" si="1"/>
        <v>100</v>
      </c>
      <c r="L44" s="105">
        <v>20</v>
      </c>
      <c r="M44" s="103">
        <f t="shared" si="22"/>
        <v>1805.0443887848194</v>
      </c>
      <c r="N44" s="104">
        <f t="shared" si="15"/>
        <v>90.252219439240974</v>
      </c>
      <c r="O44" s="106">
        <f t="shared" si="16"/>
        <v>0</v>
      </c>
      <c r="P44" s="107">
        <f t="shared" si="17"/>
        <v>-9.7477805607590255</v>
      </c>
      <c r="Q44" s="108">
        <f t="shared" si="18"/>
        <v>0.90252219439240977</v>
      </c>
      <c r="R44" s="308"/>
      <c r="S44" s="46">
        <v>0.51736111111111105</v>
      </c>
      <c r="T44" s="118">
        <v>0.58847222222222217</v>
      </c>
      <c r="U44" s="109">
        <v>55.18333333333338</v>
      </c>
      <c r="V44" s="110">
        <v>102.41299391227176</v>
      </c>
      <c r="W44" s="111"/>
      <c r="X44" s="114"/>
      <c r="Y44" s="12"/>
      <c r="Z44" s="196"/>
      <c r="AA44" s="299"/>
      <c r="AB44" s="300"/>
      <c r="AC44" s="12"/>
      <c r="AD44" s="196"/>
      <c r="AE44" s="115">
        <f t="shared" si="19"/>
        <v>-194.95561121518062</v>
      </c>
      <c r="AF44" s="108">
        <f t="shared" si="20"/>
        <v>0.90252219439240966</v>
      </c>
      <c r="AG44" s="313"/>
    </row>
    <row r="45" spans="1:33" ht="15.75" customHeight="1">
      <c r="A45" s="316"/>
      <c r="B45" s="161"/>
      <c r="C45" s="297"/>
      <c r="D45" s="298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8"/>
      <c r="S45" s="117"/>
      <c r="T45" s="118"/>
      <c r="U45" s="109"/>
      <c r="V45" s="110"/>
      <c r="W45" s="118"/>
      <c r="X45" s="187"/>
      <c r="Y45" s="12"/>
      <c r="Z45" s="196"/>
      <c r="AA45" s="299"/>
      <c r="AB45" s="300"/>
      <c r="AC45" s="12"/>
      <c r="AD45" s="196"/>
      <c r="AE45" s="115"/>
      <c r="AF45" s="108"/>
      <c r="AG45" s="313"/>
    </row>
    <row r="46" spans="1:33" ht="15.75" customHeight="1">
      <c r="A46" s="316"/>
      <c r="B46" s="161"/>
      <c r="C46" s="297"/>
      <c r="D46" s="298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8"/>
      <c r="S46" s="117"/>
      <c r="T46" s="118"/>
      <c r="U46" s="109"/>
      <c r="V46" s="110"/>
      <c r="W46" s="118"/>
      <c r="X46" s="187"/>
      <c r="Y46" s="12"/>
      <c r="Z46" s="196"/>
      <c r="AA46" s="299"/>
      <c r="AB46" s="300"/>
      <c r="AC46" s="12"/>
      <c r="AD46" s="196"/>
      <c r="AE46" s="115"/>
      <c r="AF46" s="108"/>
      <c r="AG46" s="313"/>
    </row>
    <row r="47" spans="1:33" ht="15.75" customHeight="1">
      <c r="A47" s="316"/>
      <c r="B47" s="161"/>
      <c r="C47" s="297"/>
      <c r="D47" s="298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8"/>
      <c r="S47" s="117"/>
      <c r="T47" s="118"/>
      <c r="U47" s="109"/>
      <c r="V47" s="110"/>
      <c r="W47" s="118"/>
      <c r="X47" s="187"/>
      <c r="Y47" s="12"/>
      <c r="Z47" s="196"/>
      <c r="AA47" s="299"/>
      <c r="AB47" s="300"/>
      <c r="AC47" s="12"/>
      <c r="AD47" s="196"/>
      <c r="AE47" s="115"/>
      <c r="AF47" s="108"/>
      <c r="AG47" s="313"/>
    </row>
    <row r="48" spans="1:33" ht="15.75" customHeight="1">
      <c r="A48" s="316"/>
      <c r="B48" s="161"/>
      <c r="C48" s="297"/>
      <c r="D48" s="298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8"/>
      <c r="S48" s="117"/>
      <c r="T48" s="118"/>
      <c r="U48" s="109"/>
      <c r="V48" s="110"/>
      <c r="W48" s="118"/>
      <c r="X48" s="187"/>
      <c r="Y48" s="12"/>
      <c r="Z48" s="196"/>
      <c r="AA48" s="299"/>
      <c r="AB48" s="300"/>
      <c r="AC48" s="12"/>
      <c r="AD48" s="196"/>
      <c r="AE48" s="115"/>
      <c r="AF48" s="108"/>
      <c r="AG48" s="313"/>
    </row>
    <row r="49" spans="1:33" ht="15.75" customHeight="1">
      <c r="A49" s="316"/>
      <c r="B49" s="161"/>
      <c r="C49" s="297"/>
      <c r="D49" s="298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8"/>
      <c r="S49" s="117"/>
      <c r="T49" s="118"/>
      <c r="U49" s="109"/>
      <c r="V49" s="110"/>
      <c r="W49" s="118"/>
      <c r="X49" s="187"/>
      <c r="Y49" s="12"/>
      <c r="Z49" s="196"/>
      <c r="AA49" s="299"/>
      <c r="AB49" s="300"/>
      <c r="AC49" s="12"/>
      <c r="AD49" s="196"/>
      <c r="AE49" s="115"/>
      <c r="AF49" s="108"/>
      <c r="AG49" s="313"/>
    </row>
    <row r="50" spans="1:33" ht="15.75" customHeight="1">
      <c r="A50" s="316"/>
      <c r="B50" s="161"/>
      <c r="C50" s="297"/>
      <c r="D50" s="298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8"/>
      <c r="S50" s="117"/>
      <c r="T50" s="118"/>
      <c r="U50" s="109"/>
      <c r="V50" s="110"/>
      <c r="W50" s="118"/>
      <c r="X50" s="187"/>
      <c r="Y50" s="12"/>
      <c r="Z50" s="196"/>
      <c r="AA50" s="299"/>
      <c r="AB50" s="300"/>
      <c r="AC50" s="12"/>
      <c r="AD50" s="196"/>
      <c r="AE50" s="115"/>
      <c r="AF50" s="108"/>
      <c r="AG50" s="313"/>
    </row>
    <row r="51" spans="1:33" ht="15.75" customHeight="1">
      <c r="A51" s="316"/>
      <c r="B51" s="161"/>
      <c r="C51" s="297"/>
      <c r="D51" s="298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8"/>
      <c r="S51" s="117"/>
      <c r="T51" s="118"/>
      <c r="U51" s="109"/>
      <c r="V51" s="110"/>
      <c r="W51" s="118"/>
      <c r="X51" s="187"/>
      <c r="Y51" s="12"/>
      <c r="Z51" s="196"/>
      <c r="AA51" s="299"/>
      <c r="AB51" s="300"/>
      <c r="AC51" s="12"/>
      <c r="AD51" s="196"/>
      <c r="AE51" s="115"/>
      <c r="AF51" s="108"/>
      <c r="AG51" s="313"/>
    </row>
    <row r="52" spans="1:33" ht="15.75" customHeight="1">
      <c r="A52" s="316"/>
      <c r="B52" s="161"/>
      <c r="C52" s="297"/>
      <c r="D52" s="298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8"/>
      <c r="S52" s="117"/>
      <c r="T52" s="118"/>
      <c r="U52" s="109"/>
      <c r="V52" s="110"/>
      <c r="W52" s="118"/>
      <c r="X52" s="187"/>
      <c r="Y52" s="12"/>
      <c r="Z52" s="196"/>
      <c r="AA52" s="299"/>
      <c r="AB52" s="300"/>
      <c r="AC52" s="12"/>
      <c r="AD52" s="196"/>
      <c r="AE52" s="115"/>
      <c r="AF52" s="108"/>
      <c r="AG52" s="313"/>
    </row>
    <row r="53" spans="1:33" ht="15.75" customHeight="1">
      <c r="A53" s="316"/>
      <c r="B53" s="161"/>
      <c r="C53" s="297"/>
      <c r="D53" s="298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8"/>
      <c r="S53" s="117"/>
      <c r="T53" s="118"/>
      <c r="U53" s="109"/>
      <c r="V53" s="110"/>
      <c r="W53" s="118"/>
      <c r="X53" s="187"/>
      <c r="Y53" s="12"/>
      <c r="Z53" s="196"/>
      <c r="AA53" s="299"/>
      <c r="AB53" s="300"/>
      <c r="AC53" s="12"/>
      <c r="AD53" s="196"/>
      <c r="AE53" s="115"/>
      <c r="AF53" s="108"/>
      <c r="AG53" s="313"/>
    </row>
    <row r="54" spans="1:33" ht="15.75" customHeight="1">
      <c r="A54" s="316"/>
      <c r="B54" s="161"/>
      <c r="C54" s="297"/>
      <c r="D54" s="298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8"/>
      <c r="S54" s="117"/>
      <c r="T54" s="118"/>
      <c r="U54" s="128"/>
      <c r="V54" s="129"/>
      <c r="W54" s="124"/>
      <c r="X54" s="125"/>
      <c r="Y54" s="12"/>
      <c r="Z54" s="196"/>
      <c r="AA54" s="299"/>
      <c r="AB54" s="300"/>
      <c r="AC54" s="12"/>
      <c r="AD54" s="196"/>
      <c r="AE54" s="163"/>
      <c r="AF54" s="123"/>
      <c r="AG54" s="313"/>
    </row>
    <row r="55" spans="1:33" ht="15.75" customHeight="1" thickBot="1">
      <c r="A55" s="317"/>
      <c r="B55" s="131" t="s">
        <v>115</v>
      </c>
      <c r="C55" s="294"/>
      <c r="D55" s="294"/>
      <c r="E55" s="132"/>
      <c r="F55" s="165"/>
      <c r="G55" s="133"/>
      <c r="H55" s="67"/>
      <c r="I55" s="134">
        <f t="shared" ref="I55:J55" si="23">AVERAGE(I39:I54)</f>
        <v>22.666666666666668</v>
      </c>
      <c r="J55" s="135">
        <f t="shared" si="23"/>
        <v>2000</v>
      </c>
      <c r="K55" s="136">
        <f t="shared" ref="K55" si="24">J55/I55</f>
        <v>88.235294117647058</v>
      </c>
      <c r="L55" s="134">
        <f t="shared" ref="L55:M55" si="25">AVERAGE(L39:L54)</f>
        <v>22.666666666666668</v>
      </c>
      <c r="M55" s="135">
        <f t="shared" si="25"/>
        <v>1806.3700607397966</v>
      </c>
      <c r="N55" s="136">
        <f>M55/L55</f>
        <v>79.692796797343959</v>
      </c>
      <c r="O55" s="137">
        <f>L55-I55</f>
        <v>0</v>
      </c>
      <c r="P55" s="138">
        <f>N55-K55</f>
        <v>-8.5424973203030987</v>
      </c>
      <c r="Q55" s="139">
        <f>N55/K55</f>
        <v>0.90318503036989817</v>
      </c>
      <c r="R55" s="309"/>
      <c r="S55" s="140">
        <v>0.25</v>
      </c>
      <c r="T55" s="141">
        <v>0.58847222222222217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5"/>
      <c r="AB55" s="296"/>
      <c r="AC55" s="177">
        <f>SUM(AC39:AC54)</f>
        <v>0</v>
      </c>
      <c r="AD55" s="189">
        <f>SUM(AD39:AD54)</f>
        <v>0</v>
      </c>
      <c r="AE55" s="166">
        <f>M55-J55</f>
        <v>-193.6299392602034</v>
      </c>
      <c r="AF55" s="139">
        <f>M55/J55</f>
        <v>0.90318503036989828</v>
      </c>
      <c r="AG55" s="314"/>
    </row>
    <row r="56" spans="1:33" ht="15.75" customHeight="1">
      <c r="A56" s="301" t="s">
        <v>187</v>
      </c>
      <c r="B56" s="112" t="s">
        <v>194</v>
      </c>
      <c r="C56" s="385" t="s">
        <v>195</v>
      </c>
      <c r="D56" s="385"/>
      <c r="E56" s="145">
        <v>28.86</v>
      </c>
      <c r="F56" s="95">
        <v>1464</v>
      </c>
      <c r="G56" s="146">
        <f t="shared" ref="G56:G59" si="26">E56*F56</f>
        <v>42251.040000000001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>F56/V56*60</f>
        <v>3193.5134728031535</v>
      </c>
      <c r="N56" s="150">
        <f>M56/L56</f>
        <v>177.41741515573074</v>
      </c>
      <c r="O56" s="152">
        <f>L56-I56</f>
        <v>0</v>
      </c>
      <c r="P56" s="153">
        <f>N56-K56</f>
        <v>-22.582584844269263</v>
      </c>
      <c r="Q56" s="154">
        <f>N56/K56</f>
        <v>0.88708707577865364</v>
      </c>
      <c r="R56" s="307">
        <f>Q72</f>
        <v>0.89757546696083912</v>
      </c>
      <c r="S56" s="155">
        <v>0.25</v>
      </c>
      <c r="T56" s="156">
        <v>0.26909722222222221</v>
      </c>
      <c r="U56" s="157"/>
      <c r="V56" s="158">
        <v>27.505755259237141</v>
      </c>
      <c r="W56" s="156"/>
      <c r="X56" s="167"/>
      <c r="Y56" s="12"/>
      <c r="Z56" s="196"/>
      <c r="AA56" s="310"/>
      <c r="AB56" s="311"/>
      <c r="AC56" s="12"/>
      <c r="AD56" s="196"/>
      <c r="AE56" s="113">
        <f>M56-J56</f>
        <v>-406.48652719684651</v>
      </c>
      <c r="AF56" s="154">
        <f>M56/J56</f>
        <v>0.88708707577865376</v>
      </c>
      <c r="AG56" s="312">
        <f>AF72</f>
        <v>0.89757546696083901</v>
      </c>
    </row>
    <row r="57" spans="1:33" ht="15.75" customHeight="1">
      <c r="A57" s="302"/>
      <c r="B57" s="98" t="s">
        <v>194</v>
      </c>
      <c r="C57" s="382" t="s">
        <v>210</v>
      </c>
      <c r="D57" s="382"/>
      <c r="E57" s="99">
        <v>36.729999999999997</v>
      </c>
      <c r="F57" s="100">
        <v>863</v>
      </c>
      <c r="G57" s="101">
        <f t="shared" si="26"/>
        <v>31697.989999999998</v>
      </c>
      <c r="H57" s="26"/>
      <c r="I57" s="102">
        <v>21</v>
      </c>
      <c r="J57" s="103">
        <v>3600</v>
      </c>
      <c r="K57" s="104">
        <f t="shared" ref="K57:K91" si="27">J57/I57</f>
        <v>171.42857142857142</v>
      </c>
      <c r="L57" s="105">
        <v>21</v>
      </c>
      <c r="M57" s="103">
        <f>F57/V57*60</f>
        <v>3194.8856053458126</v>
      </c>
      <c r="N57" s="104">
        <f>M57/L57</f>
        <v>152.13740977837202</v>
      </c>
      <c r="O57" s="106">
        <f>L57-I57</f>
        <v>0</v>
      </c>
      <c r="P57" s="107">
        <f>N57-K57</f>
        <v>-19.291161650199399</v>
      </c>
      <c r="Q57" s="108">
        <f>N57/K57</f>
        <v>0.88746822370717016</v>
      </c>
      <c r="R57" s="308"/>
      <c r="S57" s="46">
        <v>0.27291666666666664</v>
      </c>
      <c r="T57" s="47">
        <v>0.28416666666666662</v>
      </c>
      <c r="U57" s="109">
        <v>5.4999999999999805</v>
      </c>
      <c r="V57" s="110">
        <v>16.2071530552955</v>
      </c>
      <c r="W57" s="111"/>
      <c r="X57" s="114"/>
      <c r="Y57" s="12"/>
      <c r="Z57" s="196"/>
      <c r="AA57" s="299"/>
      <c r="AB57" s="300"/>
      <c r="AC57" s="12"/>
      <c r="AD57" s="196"/>
      <c r="AE57" s="115">
        <f>M57-J57</f>
        <v>-405.11439465418744</v>
      </c>
      <c r="AF57" s="108">
        <f>M57/J57</f>
        <v>0.88746822370717016</v>
      </c>
      <c r="AG57" s="313"/>
    </row>
    <row r="58" spans="1:33" ht="15.75" customHeight="1">
      <c r="A58" s="302"/>
      <c r="B58" s="98" t="s">
        <v>194</v>
      </c>
      <c r="C58" s="382" t="s">
        <v>197</v>
      </c>
      <c r="D58" s="382"/>
      <c r="E58" s="99">
        <v>37.799999999999997</v>
      </c>
      <c r="F58" s="100">
        <v>3843</v>
      </c>
      <c r="G58" s="101">
        <f t="shared" si="26"/>
        <v>145265.4</v>
      </c>
      <c r="H58" s="26"/>
      <c r="I58" s="102">
        <v>20</v>
      </c>
      <c r="J58" s="103">
        <v>3600</v>
      </c>
      <c r="K58" s="104">
        <f t="shared" si="27"/>
        <v>180</v>
      </c>
      <c r="L58" s="105">
        <v>20</v>
      </c>
      <c r="M58" s="103">
        <f>F58/V58*60</f>
        <v>3271.1689188004148</v>
      </c>
      <c r="N58" s="104">
        <f>M58/L58</f>
        <v>163.55844594002073</v>
      </c>
      <c r="O58" s="106">
        <f>L58-I58</f>
        <v>0</v>
      </c>
      <c r="P58" s="107">
        <f>N58-K58</f>
        <v>-16.441554059979268</v>
      </c>
      <c r="Q58" s="108">
        <f>N58/K58</f>
        <v>0.90865803300011516</v>
      </c>
      <c r="R58" s="308"/>
      <c r="S58" s="46">
        <v>0.28749999999999998</v>
      </c>
      <c r="T58" s="47">
        <v>0.33644675925925926</v>
      </c>
      <c r="U58" s="109">
        <v>4.8000000000000309</v>
      </c>
      <c r="V58" s="110">
        <v>70.488564095478452</v>
      </c>
      <c r="W58" s="111"/>
      <c r="X58" s="114"/>
      <c r="Y58" s="12"/>
      <c r="Z58" s="196"/>
      <c r="AA58" s="299"/>
      <c r="AB58" s="300"/>
      <c r="AC58" s="12"/>
      <c r="AD58" s="196"/>
      <c r="AE58" s="115">
        <f>M58-J58</f>
        <v>-328.83108119958524</v>
      </c>
      <c r="AF58" s="108">
        <f>M58/J58</f>
        <v>0.90865803300011516</v>
      </c>
      <c r="AG58" s="313"/>
    </row>
    <row r="59" spans="1:33" ht="15.75" customHeight="1">
      <c r="A59" s="302"/>
      <c r="B59" s="98" t="s">
        <v>194</v>
      </c>
      <c r="C59" s="382" t="s">
        <v>196</v>
      </c>
      <c r="D59" s="382"/>
      <c r="E59" s="99">
        <v>38.479999999999997</v>
      </c>
      <c r="F59" s="100">
        <v>3195</v>
      </c>
      <c r="G59" s="101">
        <f t="shared" si="26"/>
        <v>122943.59999999999</v>
      </c>
      <c r="H59" s="26"/>
      <c r="I59" s="102">
        <v>19</v>
      </c>
      <c r="J59" s="103">
        <v>3600</v>
      </c>
      <c r="K59" s="104">
        <f t="shared" si="27"/>
        <v>189.47368421052633</v>
      </c>
      <c r="L59" s="105">
        <v>19</v>
      </c>
      <c r="M59" s="103">
        <f>F59/V59*60</f>
        <v>3265.5187272867001</v>
      </c>
      <c r="N59" s="104">
        <f>M59/L59</f>
        <v>171.86940669930001</v>
      </c>
      <c r="O59" s="106">
        <f>L59-I59</f>
        <v>0</v>
      </c>
      <c r="P59" s="107">
        <f>N59-K59</f>
        <v>-17.604277511226314</v>
      </c>
      <c r="Q59" s="108">
        <f>N59/K59</f>
        <v>0.90708853535741663</v>
      </c>
      <c r="R59" s="308"/>
      <c r="S59" s="46">
        <v>0.33958333333333329</v>
      </c>
      <c r="T59" s="47">
        <v>0.38034722222222217</v>
      </c>
      <c r="U59" s="109">
        <v>4.5166666666666</v>
      </c>
      <c r="V59" s="110">
        <v>58.7043027492549</v>
      </c>
      <c r="W59" s="111"/>
      <c r="X59" s="114"/>
      <c r="Y59" s="12"/>
      <c r="Z59" s="196"/>
      <c r="AA59" s="299"/>
      <c r="AB59" s="300"/>
      <c r="AC59" s="12"/>
      <c r="AD59" s="196"/>
      <c r="AE59" s="197">
        <f>M59-J59</f>
        <v>-334.48127271329986</v>
      </c>
      <c r="AF59" s="198">
        <f>M59/J59</f>
        <v>0.90708853535741674</v>
      </c>
      <c r="AG59" s="313"/>
    </row>
    <row r="60" spans="1:33" ht="15.75" customHeight="1">
      <c r="A60" s="303"/>
      <c r="B60" s="98"/>
      <c r="C60" s="382"/>
      <c r="D60" s="382"/>
      <c r="E60" s="99"/>
      <c r="F60" s="103"/>
      <c r="G60" s="101"/>
      <c r="H60" s="13"/>
      <c r="I60" s="102"/>
      <c r="J60" s="103"/>
      <c r="K60" s="104"/>
      <c r="L60" s="105"/>
      <c r="M60" s="103"/>
      <c r="N60" s="104"/>
      <c r="O60" s="106"/>
      <c r="P60" s="107"/>
      <c r="Q60" s="108"/>
      <c r="R60" s="308"/>
      <c r="S60" s="46"/>
      <c r="T60" s="47"/>
      <c r="U60" s="109"/>
      <c r="V60" s="110"/>
      <c r="W60" s="111"/>
      <c r="X60" s="114"/>
      <c r="Y60" s="12"/>
      <c r="Z60" s="196"/>
      <c r="AA60" s="299"/>
      <c r="AB60" s="300"/>
      <c r="AC60" s="12"/>
      <c r="AD60" s="196"/>
      <c r="AE60" s="197"/>
      <c r="AF60" s="198"/>
      <c r="AG60" s="313"/>
    </row>
    <row r="61" spans="1:33" ht="15.75" customHeight="1">
      <c r="A61" s="303"/>
      <c r="B61" s="98"/>
      <c r="C61" s="382"/>
      <c r="D61" s="382"/>
      <c r="E61" s="99"/>
      <c r="F61" s="103"/>
      <c r="G61" s="119"/>
      <c r="H61" s="120"/>
      <c r="I61" s="102"/>
      <c r="J61" s="103"/>
      <c r="K61" s="104"/>
      <c r="L61" s="105"/>
      <c r="M61" s="103"/>
      <c r="N61" s="104"/>
      <c r="O61" s="106"/>
      <c r="P61" s="107"/>
      <c r="Q61" s="108"/>
      <c r="R61" s="308"/>
      <c r="S61" s="46"/>
      <c r="T61" s="118"/>
      <c r="U61" s="109"/>
      <c r="V61" s="110"/>
      <c r="W61" s="111"/>
      <c r="X61" s="114"/>
      <c r="Y61" s="12"/>
      <c r="Z61" s="196"/>
      <c r="AA61" s="299"/>
      <c r="AB61" s="300"/>
      <c r="AC61" s="12"/>
      <c r="AD61" s="196"/>
      <c r="AE61" s="197"/>
      <c r="AF61" s="198"/>
      <c r="AG61" s="313"/>
    </row>
    <row r="62" spans="1:33" ht="15.75" customHeight="1">
      <c r="A62" s="303"/>
      <c r="B62" s="98"/>
      <c r="C62" s="382"/>
      <c r="D62" s="382"/>
      <c r="E62" s="99"/>
      <c r="F62" s="103"/>
      <c r="G62" s="119"/>
      <c r="H62" s="60"/>
      <c r="I62" s="102"/>
      <c r="J62" s="103"/>
      <c r="K62" s="104"/>
      <c r="L62" s="105"/>
      <c r="M62" s="103"/>
      <c r="N62" s="104"/>
      <c r="O62" s="121"/>
      <c r="P62" s="122"/>
      <c r="Q62" s="123"/>
      <c r="R62" s="308"/>
      <c r="S62" s="46"/>
      <c r="T62" s="118"/>
      <c r="U62" s="109"/>
      <c r="V62" s="110"/>
      <c r="W62" s="111"/>
      <c r="X62" s="114"/>
      <c r="Y62" s="12"/>
      <c r="Z62" s="196"/>
      <c r="AA62" s="299"/>
      <c r="AB62" s="300"/>
      <c r="AC62" s="12"/>
      <c r="AD62" s="196"/>
      <c r="AE62" s="197"/>
      <c r="AF62" s="198"/>
      <c r="AG62" s="313"/>
    </row>
    <row r="63" spans="1:33" ht="15.75" customHeight="1">
      <c r="A63" s="303"/>
      <c r="B63" s="98"/>
      <c r="C63" s="382"/>
      <c r="D63" s="382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8"/>
      <c r="S63" s="46"/>
      <c r="T63" s="118"/>
      <c r="U63" s="109"/>
      <c r="V63" s="110"/>
      <c r="W63" s="111"/>
      <c r="X63" s="114"/>
      <c r="Y63" s="12"/>
      <c r="Z63" s="196"/>
      <c r="AA63" s="299"/>
      <c r="AB63" s="300"/>
      <c r="AC63" s="12"/>
      <c r="AD63" s="196"/>
      <c r="AE63" s="197"/>
      <c r="AF63" s="198"/>
      <c r="AG63" s="313"/>
    </row>
    <row r="64" spans="1:33" ht="15.75" customHeight="1">
      <c r="A64" s="303"/>
      <c r="B64" s="98"/>
      <c r="C64" s="382"/>
      <c r="D64" s="382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8"/>
      <c r="S64" s="46"/>
      <c r="T64" s="118"/>
      <c r="U64" s="109"/>
      <c r="V64" s="110"/>
      <c r="W64" s="111"/>
      <c r="X64" s="114"/>
      <c r="Y64" s="12"/>
      <c r="Z64" s="196"/>
      <c r="AA64" s="299"/>
      <c r="AB64" s="300"/>
      <c r="AC64" s="12"/>
      <c r="AD64" s="196"/>
      <c r="AE64" s="197"/>
      <c r="AF64" s="198"/>
      <c r="AG64" s="313"/>
    </row>
    <row r="65" spans="1:33" ht="15.75" customHeight="1">
      <c r="A65" s="303"/>
      <c r="B65" s="98"/>
      <c r="C65" s="382"/>
      <c r="D65" s="382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8"/>
      <c r="S65" s="46"/>
      <c r="T65" s="118"/>
      <c r="U65" s="109"/>
      <c r="V65" s="110"/>
      <c r="W65" s="111"/>
      <c r="X65" s="114"/>
      <c r="Y65" s="12"/>
      <c r="Z65" s="196"/>
      <c r="AA65" s="299"/>
      <c r="AB65" s="300"/>
      <c r="AC65" s="12"/>
      <c r="AD65" s="196"/>
      <c r="AE65" s="197"/>
      <c r="AF65" s="198"/>
      <c r="AG65" s="313"/>
    </row>
    <row r="66" spans="1:33" ht="15.75" customHeight="1">
      <c r="A66" s="303"/>
      <c r="B66" s="98"/>
      <c r="C66" s="382"/>
      <c r="D66" s="382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8"/>
      <c r="S66" s="46"/>
      <c r="T66" s="118"/>
      <c r="U66" s="109"/>
      <c r="V66" s="110"/>
      <c r="W66" s="111"/>
      <c r="X66" s="114"/>
      <c r="Y66" s="12"/>
      <c r="Z66" s="196"/>
      <c r="AA66" s="299"/>
      <c r="AB66" s="300"/>
      <c r="AC66" s="12"/>
      <c r="AD66" s="196"/>
      <c r="AE66" s="197"/>
      <c r="AF66" s="198"/>
      <c r="AG66" s="313"/>
    </row>
    <row r="67" spans="1:33" ht="15.75" customHeight="1">
      <c r="A67" s="303"/>
      <c r="B67" s="98"/>
      <c r="C67" s="382"/>
      <c r="D67" s="382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8"/>
      <c r="S67" s="46"/>
      <c r="T67" s="118"/>
      <c r="U67" s="109"/>
      <c r="V67" s="110"/>
      <c r="W67" s="111"/>
      <c r="X67" s="114"/>
      <c r="Y67" s="12"/>
      <c r="Z67" s="196"/>
      <c r="AA67" s="299"/>
      <c r="AB67" s="300"/>
      <c r="AC67" s="12"/>
      <c r="AD67" s="196"/>
      <c r="AE67" s="197"/>
      <c r="AF67" s="198"/>
      <c r="AG67" s="313"/>
    </row>
    <row r="68" spans="1:33" ht="15.75" customHeight="1">
      <c r="A68" s="303"/>
      <c r="B68" s="98"/>
      <c r="C68" s="382"/>
      <c r="D68" s="382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8"/>
      <c r="S68" s="46"/>
      <c r="T68" s="118"/>
      <c r="U68" s="109"/>
      <c r="V68" s="110"/>
      <c r="W68" s="111"/>
      <c r="X68" s="114"/>
      <c r="Y68" s="12"/>
      <c r="Z68" s="196"/>
      <c r="AA68" s="299"/>
      <c r="AB68" s="300"/>
      <c r="AC68" s="12"/>
      <c r="AD68" s="196"/>
      <c r="AE68" s="197"/>
      <c r="AF68" s="198"/>
      <c r="AG68" s="313"/>
    </row>
    <row r="69" spans="1:33" ht="15.75" customHeight="1">
      <c r="A69" s="303"/>
      <c r="B69" s="98"/>
      <c r="C69" s="382"/>
      <c r="D69" s="382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8"/>
      <c r="S69" s="46"/>
      <c r="T69" s="118"/>
      <c r="U69" s="109"/>
      <c r="V69" s="110"/>
      <c r="W69" s="111"/>
      <c r="X69" s="114"/>
      <c r="Y69" s="12"/>
      <c r="Z69" s="196"/>
      <c r="AA69" s="299"/>
      <c r="AB69" s="300"/>
      <c r="AC69" s="12"/>
      <c r="AD69" s="196"/>
      <c r="AE69" s="197"/>
      <c r="AF69" s="198"/>
      <c r="AG69" s="313"/>
    </row>
    <row r="70" spans="1:33" ht="15.75" customHeight="1">
      <c r="A70" s="303"/>
      <c r="B70" s="98"/>
      <c r="C70" s="382"/>
      <c r="D70" s="382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8"/>
      <c r="S70" s="46"/>
      <c r="T70" s="118"/>
      <c r="U70" s="109"/>
      <c r="V70" s="110"/>
      <c r="W70" s="111"/>
      <c r="X70" s="114"/>
      <c r="Y70" s="12"/>
      <c r="Z70" s="196"/>
      <c r="AA70" s="299"/>
      <c r="AB70" s="300"/>
      <c r="AC70" s="12"/>
      <c r="AD70" s="196"/>
      <c r="AE70" s="197"/>
      <c r="AF70" s="198"/>
      <c r="AG70" s="313"/>
    </row>
    <row r="71" spans="1:33" ht="15.75" customHeight="1">
      <c r="A71" s="303"/>
      <c r="B71" s="98"/>
      <c r="C71" s="382"/>
      <c r="D71" s="382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8"/>
      <c r="S71" s="117"/>
      <c r="T71" s="118"/>
      <c r="U71" s="128"/>
      <c r="V71" s="129"/>
      <c r="W71" s="124"/>
      <c r="X71" s="125"/>
      <c r="Y71" s="12"/>
      <c r="Z71" s="196"/>
      <c r="AA71" s="299"/>
      <c r="AB71" s="300"/>
      <c r="AC71" s="12"/>
      <c r="AD71" s="196"/>
      <c r="AE71" s="163"/>
      <c r="AF71" s="123"/>
      <c r="AG71" s="313"/>
    </row>
    <row r="72" spans="1:33" ht="15.75" customHeight="1" thickBot="1">
      <c r="A72" s="304"/>
      <c r="B72" s="131" t="s">
        <v>115</v>
      </c>
      <c r="C72" s="294"/>
      <c r="D72" s="294"/>
      <c r="E72" s="132"/>
      <c r="F72" s="165"/>
      <c r="G72" s="133"/>
      <c r="H72" s="67"/>
      <c r="I72" s="134">
        <f t="shared" ref="I72:J72" si="28">AVERAGE(I56:I71)</f>
        <v>19.5</v>
      </c>
      <c r="J72" s="135">
        <f t="shared" si="28"/>
        <v>3600</v>
      </c>
      <c r="K72" s="136">
        <f t="shared" ref="K72:K75" si="29">J72/I72</f>
        <v>184.61538461538461</v>
      </c>
      <c r="L72" s="134">
        <f t="shared" ref="L72:M72" si="30">AVERAGE(L56:L71)</f>
        <v>19.5</v>
      </c>
      <c r="M72" s="135">
        <f t="shared" si="30"/>
        <v>3231.2716810590205</v>
      </c>
      <c r="N72" s="136">
        <f t="shared" ref="N72:N75" si="31">M72/L72</f>
        <v>165.70624005430875</v>
      </c>
      <c r="O72" s="137">
        <f t="shared" ref="O72:O75" si="32">L72-I72</f>
        <v>0</v>
      </c>
      <c r="P72" s="138">
        <f t="shared" ref="P72:P75" si="33">N72-K72</f>
        <v>-18.909144561075863</v>
      </c>
      <c r="Q72" s="139">
        <f t="shared" ref="Q72:Q75" si="34">N72/K72</f>
        <v>0.89757546696083912</v>
      </c>
      <c r="R72" s="309"/>
      <c r="S72" s="140">
        <v>0.25</v>
      </c>
      <c r="T72" s="141">
        <v>0.38034722222222217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5"/>
      <c r="AB72" s="296"/>
      <c r="AC72" s="177">
        <f>SUM(AC56:AC71)</f>
        <v>0</v>
      </c>
      <c r="AD72" s="189">
        <f>SUM(AD56:AD71)</f>
        <v>0</v>
      </c>
      <c r="AE72" s="166">
        <f>M72-J72</f>
        <v>-368.72831894097953</v>
      </c>
      <c r="AF72" s="139">
        <f>M72/J72</f>
        <v>0.89757546696083901</v>
      </c>
      <c r="AG72" s="314"/>
    </row>
    <row r="73" spans="1:33" ht="15.75" customHeight="1">
      <c r="A73" s="315" t="s">
        <v>116</v>
      </c>
      <c r="B73" s="98" t="s">
        <v>188</v>
      </c>
      <c r="C73" s="297" t="s">
        <v>222</v>
      </c>
      <c r="D73" s="298"/>
      <c r="E73" s="99">
        <v>22.83</v>
      </c>
      <c r="F73" s="100">
        <v>2253</v>
      </c>
      <c r="G73" s="119">
        <f t="shared" ref="G73:G75" si="35">E73*F73</f>
        <v>51435.99</v>
      </c>
      <c r="H73" s="60"/>
      <c r="I73" s="102">
        <v>6</v>
      </c>
      <c r="J73" s="103">
        <v>2500</v>
      </c>
      <c r="K73" s="104">
        <f t="shared" si="29"/>
        <v>416.66666666666669</v>
      </c>
      <c r="L73" s="105">
        <v>6</v>
      </c>
      <c r="M73" s="103">
        <f t="shared" ref="M73:M75" si="36">F73/V73*60</f>
        <v>2263.8815567506317</v>
      </c>
      <c r="N73" s="104">
        <f t="shared" si="31"/>
        <v>377.31359279177195</v>
      </c>
      <c r="O73" s="121">
        <f t="shared" si="32"/>
        <v>0</v>
      </c>
      <c r="P73" s="122">
        <f t="shared" si="33"/>
        <v>-39.353073874894733</v>
      </c>
      <c r="Q73" s="123">
        <f t="shared" si="34"/>
        <v>0.90555262270025261</v>
      </c>
      <c r="R73" s="307">
        <f>Q89</f>
        <v>0.90566120172632114</v>
      </c>
      <c r="S73" s="46">
        <v>0.38055555555555554</v>
      </c>
      <c r="T73" s="118">
        <v>0.42201388888888886</v>
      </c>
      <c r="U73" s="109">
        <v>4.8666666666666547</v>
      </c>
      <c r="V73" s="110">
        <v>59.711604433062739</v>
      </c>
      <c r="W73" s="111"/>
      <c r="X73" s="160"/>
      <c r="Y73" s="12"/>
      <c r="Z73" s="196"/>
      <c r="AA73" s="310"/>
      <c r="AB73" s="311"/>
      <c r="AC73" s="12"/>
      <c r="AD73" s="196"/>
      <c r="AE73" s="113">
        <f>M73-J73</f>
        <v>-236.11844324936828</v>
      </c>
      <c r="AF73" s="154">
        <f>M73/J73</f>
        <v>0.90555262270025272</v>
      </c>
      <c r="AG73" s="312">
        <f>AF89</f>
        <v>0.90566120172632114</v>
      </c>
    </row>
    <row r="74" spans="1:33" ht="15.75" customHeight="1">
      <c r="A74" s="316"/>
      <c r="B74" s="98" t="s">
        <v>188</v>
      </c>
      <c r="C74" s="297" t="s">
        <v>214</v>
      </c>
      <c r="D74" s="298"/>
      <c r="E74" s="99">
        <v>23.19</v>
      </c>
      <c r="F74" s="100">
        <v>831</v>
      </c>
      <c r="G74" s="119">
        <f t="shared" si="35"/>
        <v>19270.89</v>
      </c>
      <c r="H74" s="60"/>
      <c r="I74" s="102">
        <v>6</v>
      </c>
      <c r="J74" s="103">
        <v>2500</v>
      </c>
      <c r="K74" s="104">
        <f t="shared" si="29"/>
        <v>416.66666666666669</v>
      </c>
      <c r="L74" s="116">
        <v>6</v>
      </c>
      <c r="M74" s="103">
        <f t="shared" si="36"/>
        <v>2263.8385259439274</v>
      </c>
      <c r="N74" s="104">
        <f t="shared" si="31"/>
        <v>377.30642099065454</v>
      </c>
      <c r="O74" s="121">
        <f t="shared" si="32"/>
        <v>0</v>
      </c>
      <c r="P74" s="122">
        <f t="shared" si="33"/>
        <v>-39.360245676012141</v>
      </c>
      <c r="Q74" s="123">
        <f t="shared" si="34"/>
        <v>0.9055354103775709</v>
      </c>
      <c r="R74" s="308"/>
      <c r="S74" s="46">
        <v>0.42569444444444443</v>
      </c>
      <c r="T74" s="118">
        <v>0.4409837962962963</v>
      </c>
      <c r="U74" s="109">
        <v>5.3000000000000291</v>
      </c>
      <c r="V74" s="110">
        <v>22.024539042249241</v>
      </c>
      <c r="W74" s="111"/>
      <c r="X74" s="114"/>
      <c r="Y74" s="12"/>
      <c r="Z74" s="196"/>
      <c r="AA74" s="299"/>
      <c r="AB74" s="300"/>
      <c r="AC74" s="12"/>
      <c r="AD74" s="196"/>
      <c r="AE74" s="115">
        <f>M74-J74</f>
        <v>-236.16147405607262</v>
      </c>
      <c r="AF74" s="108">
        <f>M74/J74</f>
        <v>0.9055354103775709</v>
      </c>
      <c r="AG74" s="313"/>
    </row>
    <row r="75" spans="1:33" ht="15.75" customHeight="1">
      <c r="A75" s="316"/>
      <c r="B75" s="98" t="s">
        <v>188</v>
      </c>
      <c r="C75" s="297" t="s">
        <v>215</v>
      </c>
      <c r="D75" s="298"/>
      <c r="E75" s="99">
        <v>35.89</v>
      </c>
      <c r="F75" s="100">
        <v>1719</v>
      </c>
      <c r="G75" s="119">
        <f t="shared" si="35"/>
        <v>61694.91</v>
      </c>
      <c r="H75" s="60"/>
      <c r="I75" s="102">
        <v>5</v>
      </c>
      <c r="J75" s="103">
        <v>3273</v>
      </c>
      <c r="K75" s="104">
        <f t="shared" si="29"/>
        <v>654.6</v>
      </c>
      <c r="L75" s="116">
        <v>5</v>
      </c>
      <c r="M75" s="103">
        <f t="shared" si="36"/>
        <v>2964.8150391872955</v>
      </c>
      <c r="N75" s="104">
        <f t="shared" si="31"/>
        <v>592.96300783745914</v>
      </c>
      <c r="O75" s="121">
        <f t="shared" si="32"/>
        <v>0</v>
      </c>
      <c r="P75" s="122">
        <f t="shared" si="33"/>
        <v>-61.636992162540878</v>
      </c>
      <c r="Q75" s="123">
        <f t="shared" si="34"/>
        <v>0.90584021973336259</v>
      </c>
      <c r="R75" s="308"/>
      <c r="S75" s="46">
        <v>0.44444444444444442</v>
      </c>
      <c r="T75" s="118">
        <v>0.468599537037037</v>
      </c>
      <c r="U75" s="109">
        <v>4.9833333333332863</v>
      </c>
      <c r="V75" s="110">
        <v>34.788004862614422</v>
      </c>
      <c r="W75" s="111"/>
      <c r="X75" s="114"/>
      <c r="Y75" s="12"/>
      <c r="Z75" s="196"/>
      <c r="AA75" s="299"/>
      <c r="AB75" s="300"/>
      <c r="AC75" s="12"/>
      <c r="AD75" s="196"/>
      <c r="AE75" s="115">
        <f>M75-J75</f>
        <v>-308.1849608127045</v>
      </c>
      <c r="AF75" s="108">
        <f>M75/J75</f>
        <v>0.90584021973336248</v>
      </c>
      <c r="AG75" s="313"/>
    </row>
    <row r="76" spans="1:33" ht="15.75" customHeight="1">
      <c r="A76" s="316"/>
      <c r="B76" s="98"/>
      <c r="C76" s="297"/>
      <c r="D76" s="298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8"/>
      <c r="S76" s="46"/>
      <c r="T76" s="47"/>
      <c r="U76" s="109"/>
      <c r="V76" s="110"/>
      <c r="W76" s="111"/>
      <c r="X76" s="114"/>
      <c r="Y76" s="12"/>
      <c r="Z76" s="196"/>
      <c r="AA76" s="299"/>
      <c r="AB76" s="300"/>
      <c r="AC76" s="12"/>
      <c r="AD76" s="196"/>
      <c r="AE76" s="115"/>
      <c r="AF76" s="108"/>
      <c r="AG76" s="313"/>
    </row>
    <row r="77" spans="1:33" ht="15.75" customHeight="1">
      <c r="A77" s="316"/>
      <c r="B77" s="98"/>
      <c r="C77" s="297"/>
      <c r="D77" s="298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8"/>
      <c r="S77" s="46"/>
      <c r="T77" s="47"/>
      <c r="U77" s="109"/>
      <c r="V77" s="110"/>
      <c r="W77" s="111"/>
      <c r="X77" s="114"/>
      <c r="Y77" s="12"/>
      <c r="Z77" s="196"/>
      <c r="AA77" s="299"/>
      <c r="AB77" s="300"/>
      <c r="AC77" s="12"/>
      <c r="AD77" s="196"/>
      <c r="AE77" s="115"/>
      <c r="AF77" s="108"/>
      <c r="AG77" s="313"/>
    </row>
    <row r="78" spans="1:33" ht="15.75" customHeight="1">
      <c r="A78" s="316"/>
      <c r="B78" s="98"/>
      <c r="C78" s="297"/>
      <c r="D78" s="298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8"/>
      <c r="S78" s="46"/>
      <c r="T78" s="118"/>
      <c r="U78" s="109"/>
      <c r="V78" s="110"/>
      <c r="W78" s="111"/>
      <c r="X78" s="114"/>
      <c r="Y78" s="12"/>
      <c r="Z78" s="196"/>
      <c r="AA78" s="299"/>
      <c r="AB78" s="300"/>
      <c r="AC78" s="12"/>
      <c r="AD78" s="196"/>
      <c r="AE78" s="115"/>
      <c r="AF78" s="108"/>
      <c r="AG78" s="313"/>
    </row>
    <row r="79" spans="1:33" ht="15.75" customHeight="1">
      <c r="A79" s="316"/>
      <c r="B79" s="98"/>
      <c r="C79" s="297"/>
      <c r="D79" s="298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8"/>
      <c r="S79" s="46"/>
      <c r="T79" s="118"/>
      <c r="U79" s="109"/>
      <c r="V79" s="110"/>
      <c r="W79" s="111"/>
      <c r="X79" s="114"/>
      <c r="Y79" s="12"/>
      <c r="Z79" s="196"/>
      <c r="AA79" s="299"/>
      <c r="AB79" s="300"/>
      <c r="AC79" s="12"/>
      <c r="AD79" s="196"/>
      <c r="AE79" s="115"/>
      <c r="AF79" s="108"/>
      <c r="AG79" s="313"/>
    </row>
    <row r="80" spans="1:33" ht="15.75" customHeight="1">
      <c r="A80" s="316"/>
      <c r="B80" s="98"/>
      <c r="C80" s="297"/>
      <c r="D80" s="298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8"/>
      <c r="S80" s="46"/>
      <c r="T80" s="118"/>
      <c r="U80" s="109"/>
      <c r="V80" s="110"/>
      <c r="W80" s="111"/>
      <c r="X80" s="114"/>
      <c r="Y80" s="12"/>
      <c r="Z80" s="196"/>
      <c r="AA80" s="299"/>
      <c r="AB80" s="300"/>
      <c r="AC80" s="12"/>
      <c r="AD80" s="196"/>
      <c r="AE80" s="115"/>
      <c r="AF80" s="108"/>
      <c r="AG80" s="313"/>
    </row>
    <row r="81" spans="1:33" ht="15.75" customHeight="1">
      <c r="A81" s="316"/>
      <c r="B81" s="98"/>
      <c r="C81" s="297"/>
      <c r="D81" s="298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8"/>
      <c r="S81" s="46"/>
      <c r="T81" s="118"/>
      <c r="U81" s="109"/>
      <c r="V81" s="110"/>
      <c r="W81" s="111"/>
      <c r="X81" s="125"/>
      <c r="Y81" s="12"/>
      <c r="Z81" s="196"/>
      <c r="AA81" s="299"/>
      <c r="AB81" s="300"/>
      <c r="AC81" s="12"/>
      <c r="AD81" s="196"/>
      <c r="AE81" s="115"/>
      <c r="AF81" s="108"/>
      <c r="AG81" s="313"/>
    </row>
    <row r="82" spans="1:33" ht="15.75" customHeight="1">
      <c r="A82" s="316"/>
      <c r="B82" s="98"/>
      <c r="C82" s="297"/>
      <c r="D82" s="298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8"/>
      <c r="S82" s="46"/>
      <c r="T82" s="118"/>
      <c r="U82" s="109"/>
      <c r="V82" s="110"/>
      <c r="W82" s="111"/>
      <c r="X82" s="125"/>
      <c r="Y82" s="12"/>
      <c r="Z82" s="196"/>
      <c r="AA82" s="299"/>
      <c r="AB82" s="300"/>
      <c r="AC82" s="12"/>
      <c r="AD82" s="196"/>
      <c r="AE82" s="115"/>
      <c r="AF82" s="108"/>
      <c r="AG82" s="313"/>
    </row>
    <row r="83" spans="1:33" ht="15.75" customHeight="1">
      <c r="A83" s="316"/>
      <c r="B83" s="98"/>
      <c r="C83" s="297"/>
      <c r="D83" s="298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8"/>
      <c r="S83" s="46"/>
      <c r="T83" s="118"/>
      <c r="U83" s="109"/>
      <c r="V83" s="110"/>
      <c r="W83" s="111"/>
      <c r="X83" s="125"/>
      <c r="Y83" s="12"/>
      <c r="Z83" s="196"/>
      <c r="AA83" s="299"/>
      <c r="AB83" s="300"/>
      <c r="AC83" s="12"/>
      <c r="AD83" s="196"/>
      <c r="AE83" s="115"/>
      <c r="AF83" s="108"/>
      <c r="AG83" s="313"/>
    </row>
    <row r="84" spans="1:33" ht="15.75" customHeight="1">
      <c r="A84" s="316"/>
      <c r="B84" s="98"/>
      <c r="C84" s="297"/>
      <c r="D84" s="298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8"/>
      <c r="S84" s="46"/>
      <c r="T84" s="118"/>
      <c r="U84" s="109"/>
      <c r="V84" s="110"/>
      <c r="W84" s="111"/>
      <c r="X84" s="125"/>
      <c r="Y84" s="12"/>
      <c r="Z84" s="196"/>
      <c r="AA84" s="299"/>
      <c r="AB84" s="300"/>
      <c r="AC84" s="12"/>
      <c r="AD84" s="196"/>
      <c r="AE84" s="115"/>
      <c r="AF84" s="108"/>
      <c r="AG84" s="313"/>
    </row>
    <row r="85" spans="1:33" ht="15.75" customHeight="1">
      <c r="A85" s="316"/>
      <c r="B85" s="98"/>
      <c r="C85" s="297"/>
      <c r="D85" s="298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8"/>
      <c r="S85" s="46"/>
      <c r="T85" s="118"/>
      <c r="U85" s="109"/>
      <c r="V85" s="110"/>
      <c r="W85" s="111"/>
      <c r="X85" s="125"/>
      <c r="Y85" s="12"/>
      <c r="Z85" s="196"/>
      <c r="AA85" s="299"/>
      <c r="AB85" s="300"/>
      <c r="AC85" s="12"/>
      <c r="AD85" s="196"/>
      <c r="AE85" s="115"/>
      <c r="AF85" s="108"/>
      <c r="AG85" s="313"/>
    </row>
    <row r="86" spans="1:33" ht="15.75" customHeight="1">
      <c r="A86" s="316"/>
      <c r="B86" s="98"/>
      <c r="C86" s="297"/>
      <c r="D86" s="298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8"/>
      <c r="S86" s="46"/>
      <c r="T86" s="118"/>
      <c r="U86" s="109"/>
      <c r="V86" s="110"/>
      <c r="W86" s="111"/>
      <c r="X86" s="125"/>
      <c r="Y86" s="12"/>
      <c r="Z86" s="196"/>
      <c r="AA86" s="299"/>
      <c r="AB86" s="300"/>
      <c r="AC86" s="12"/>
      <c r="AD86" s="196"/>
      <c r="AE86" s="115"/>
      <c r="AF86" s="108"/>
      <c r="AG86" s="313"/>
    </row>
    <row r="87" spans="1:33" ht="15.75" customHeight="1">
      <c r="A87" s="316"/>
      <c r="B87" s="98"/>
      <c r="C87" s="297"/>
      <c r="D87" s="298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8"/>
      <c r="S87" s="46"/>
      <c r="T87" s="118"/>
      <c r="U87" s="109"/>
      <c r="V87" s="110"/>
      <c r="W87" s="111"/>
      <c r="X87" s="125"/>
      <c r="Y87" s="12"/>
      <c r="Z87" s="196"/>
      <c r="AA87" s="299"/>
      <c r="AB87" s="300"/>
      <c r="AC87" s="12"/>
      <c r="AD87" s="196"/>
      <c r="AE87" s="115"/>
      <c r="AF87" s="108"/>
      <c r="AG87" s="313"/>
    </row>
    <row r="88" spans="1:33" ht="15.75" customHeight="1">
      <c r="A88" s="316"/>
      <c r="B88" s="161"/>
      <c r="C88" s="297"/>
      <c r="D88" s="298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8"/>
      <c r="S88" s="117"/>
      <c r="T88" s="118"/>
      <c r="U88" s="128"/>
      <c r="V88" s="129"/>
      <c r="W88" s="124"/>
      <c r="X88" s="125"/>
      <c r="Y88" s="12"/>
      <c r="Z88" s="196"/>
      <c r="AA88" s="299"/>
      <c r="AB88" s="300"/>
      <c r="AC88" s="12"/>
      <c r="AD88" s="196"/>
      <c r="AE88" s="163"/>
      <c r="AF88" s="123"/>
      <c r="AG88" s="313"/>
    </row>
    <row r="89" spans="1:33" ht="15.75" customHeight="1" thickBot="1">
      <c r="A89" s="317"/>
      <c r="B89" s="131" t="s">
        <v>115</v>
      </c>
      <c r="C89" s="294"/>
      <c r="D89" s="294"/>
      <c r="E89" s="132"/>
      <c r="F89" s="165"/>
      <c r="G89" s="133"/>
      <c r="H89" s="67"/>
      <c r="I89" s="134">
        <f t="shared" ref="I89:J89" si="37">AVERAGE(I73:I88)</f>
        <v>5.666666666666667</v>
      </c>
      <c r="J89" s="135">
        <f t="shared" si="37"/>
        <v>2757.6666666666665</v>
      </c>
      <c r="K89" s="136">
        <f t="shared" ref="K89" si="38">J89/I89</f>
        <v>486.64705882352933</v>
      </c>
      <c r="L89" s="134">
        <f t="shared" ref="L89:M89" si="39">AVERAGE(L73:L88)</f>
        <v>5.666666666666667</v>
      </c>
      <c r="M89" s="135">
        <f t="shared" si="39"/>
        <v>2497.5117072939515</v>
      </c>
      <c r="N89" s="136">
        <f>M89/L89</f>
        <v>440.7373601106973</v>
      </c>
      <c r="O89" s="137">
        <f>L89-I89</f>
        <v>0</v>
      </c>
      <c r="P89" s="138">
        <f>N89-K89</f>
        <v>-45.909698712832039</v>
      </c>
      <c r="Q89" s="139">
        <f>N89/K89</f>
        <v>0.90566120172632114</v>
      </c>
      <c r="R89" s="309"/>
      <c r="S89" s="140">
        <v>0.25</v>
      </c>
      <c r="T89" s="141">
        <v>0.468599537037037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5"/>
      <c r="AB89" s="296"/>
      <c r="AC89" s="177">
        <f>SUM(AC73:AC88)</f>
        <v>0</v>
      </c>
      <c r="AD89" s="189">
        <f>SUM(AD73:AD88)</f>
        <v>0</v>
      </c>
      <c r="AE89" s="166">
        <f>M89-J89</f>
        <v>-260.15495937271498</v>
      </c>
      <c r="AF89" s="139">
        <f>M89/J89</f>
        <v>0.90566120172632114</v>
      </c>
      <c r="AG89" s="314"/>
    </row>
    <row r="90" spans="1:33" ht="15.75" customHeight="1">
      <c r="A90" s="301" t="s">
        <v>120</v>
      </c>
      <c r="B90" s="112" t="s">
        <v>188</v>
      </c>
      <c r="C90" s="305" t="s">
        <v>201</v>
      </c>
      <c r="D90" s="306"/>
      <c r="E90" s="145">
        <v>15.51</v>
      </c>
      <c r="F90" s="95">
        <v>2217</v>
      </c>
      <c r="G90" s="146">
        <f t="shared" ref="G90:G91" si="40">E90*F90</f>
        <v>34385.67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3798.1429442509402</v>
      </c>
      <c r="N90" s="150">
        <f>M90/L90</f>
        <v>633.02382404182333</v>
      </c>
      <c r="O90" s="152">
        <f>L90-I90</f>
        <v>0</v>
      </c>
      <c r="P90" s="153">
        <f>N90-K90</f>
        <v>-66.976175958176668</v>
      </c>
      <c r="Q90" s="154">
        <f>N90/K90</f>
        <v>0.90431974863117615</v>
      </c>
      <c r="R90" s="307">
        <f>Q106</f>
        <v>0.90476290909450852</v>
      </c>
      <c r="S90" s="155">
        <v>0.25</v>
      </c>
      <c r="T90" s="156">
        <v>0.27431712962962962</v>
      </c>
      <c r="U90" s="157"/>
      <c r="V90" s="158">
        <v>35.022378555116191</v>
      </c>
      <c r="W90" s="156"/>
      <c r="X90" s="167"/>
      <c r="Y90" s="12"/>
      <c r="Z90" s="196"/>
      <c r="AA90" s="310"/>
      <c r="AB90" s="311"/>
      <c r="AC90" s="12"/>
      <c r="AD90" s="196"/>
      <c r="AE90" s="113">
        <f>M90-J90</f>
        <v>-401.85705574905978</v>
      </c>
      <c r="AF90" s="154">
        <f>M90/J90</f>
        <v>0.90431974863117626</v>
      </c>
      <c r="AG90" s="312">
        <f>AF106</f>
        <v>0.90476290909450852</v>
      </c>
    </row>
    <row r="91" spans="1:33" ht="15.75" customHeight="1">
      <c r="A91" s="302"/>
      <c r="B91" s="98" t="s">
        <v>188</v>
      </c>
      <c r="C91" s="297" t="s">
        <v>202</v>
      </c>
      <c r="D91" s="298"/>
      <c r="E91" s="99">
        <v>15.01</v>
      </c>
      <c r="F91" s="100">
        <v>2158</v>
      </c>
      <c r="G91" s="101">
        <f t="shared" si="40"/>
        <v>32391.579999999998</v>
      </c>
      <c r="H91" s="26"/>
      <c r="I91" s="102">
        <v>6</v>
      </c>
      <c r="J91" s="103">
        <v>4200</v>
      </c>
      <c r="K91" s="104">
        <f t="shared" si="27"/>
        <v>700</v>
      </c>
      <c r="L91" s="105">
        <v>6</v>
      </c>
      <c r="M91" s="103">
        <f>F91/V91*60</f>
        <v>3801.8654921429306</v>
      </c>
      <c r="N91" s="104">
        <f>M91/L91</f>
        <v>633.64424869048844</v>
      </c>
      <c r="O91" s="106">
        <f>L91-I91</f>
        <v>0</v>
      </c>
      <c r="P91" s="107">
        <f>N91-K91</f>
        <v>-66.355751309511561</v>
      </c>
      <c r="Q91" s="108">
        <f>N91/K91</f>
        <v>0.90520606955784066</v>
      </c>
      <c r="R91" s="308"/>
      <c r="S91" s="46">
        <v>0.27777777777777779</v>
      </c>
      <c r="T91" s="47">
        <v>0.3014236111111111</v>
      </c>
      <c r="U91" s="109">
        <v>4.9833333333333663</v>
      </c>
      <c r="V91" s="110">
        <v>34.056964999837035</v>
      </c>
      <c r="W91" s="111"/>
      <c r="X91" s="13"/>
      <c r="Y91" s="12"/>
      <c r="Z91" s="196"/>
      <c r="AA91" s="299"/>
      <c r="AB91" s="300"/>
      <c r="AC91" s="12"/>
      <c r="AD91" s="196"/>
      <c r="AE91" s="115">
        <f>M91-J91</f>
        <v>-398.13450785706937</v>
      </c>
      <c r="AF91" s="108">
        <f>M91/J91</f>
        <v>0.90520606955784066</v>
      </c>
      <c r="AG91" s="313"/>
    </row>
    <row r="92" spans="1:33" ht="15.75" customHeight="1">
      <c r="A92" s="302"/>
      <c r="B92" s="98"/>
      <c r="C92" s="297"/>
      <c r="D92" s="298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8"/>
      <c r="S92" s="46"/>
      <c r="T92" s="47"/>
      <c r="U92" s="109"/>
      <c r="V92" s="110"/>
      <c r="W92" s="111"/>
      <c r="X92" s="13"/>
      <c r="Y92" s="12"/>
      <c r="Z92" s="196"/>
      <c r="AA92" s="299"/>
      <c r="AB92" s="300"/>
      <c r="AC92" s="12"/>
      <c r="AD92" s="196"/>
      <c r="AE92" s="115"/>
      <c r="AF92" s="108"/>
      <c r="AG92" s="313"/>
    </row>
    <row r="93" spans="1:33" ht="15.75" customHeight="1">
      <c r="A93" s="302"/>
      <c r="B93" s="98"/>
      <c r="C93" s="297"/>
      <c r="D93" s="298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8"/>
      <c r="S93" s="46"/>
      <c r="T93" s="47"/>
      <c r="U93" s="109"/>
      <c r="V93" s="110"/>
      <c r="W93" s="111"/>
      <c r="X93" s="114"/>
      <c r="Y93" s="12"/>
      <c r="Z93" s="196"/>
      <c r="AA93" s="299"/>
      <c r="AB93" s="300"/>
      <c r="AC93" s="12"/>
      <c r="AD93" s="196"/>
      <c r="AE93" s="115"/>
      <c r="AF93" s="108"/>
      <c r="AG93" s="313"/>
    </row>
    <row r="94" spans="1:33" ht="15.75" customHeight="1">
      <c r="A94" s="303"/>
      <c r="B94" s="98"/>
      <c r="C94" s="297"/>
      <c r="D94" s="298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8"/>
      <c r="S94" s="46"/>
      <c r="T94" s="47"/>
      <c r="U94" s="109"/>
      <c r="V94" s="110"/>
      <c r="W94" s="111"/>
      <c r="X94" s="13"/>
      <c r="Y94" s="12"/>
      <c r="Z94" s="196"/>
      <c r="AA94" s="299"/>
      <c r="AB94" s="300"/>
      <c r="AC94" s="12"/>
      <c r="AD94" s="196"/>
      <c r="AE94" s="115"/>
      <c r="AF94" s="108"/>
      <c r="AG94" s="313"/>
    </row>
    <row r="95" spans="1:33" ht="15.75" customHeight="1">
      <c r="A95" s="303"/>
      <c r="B95" s="98"/>
      <c r="C95" s="297"/>
      <c r="D95" s="298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8"/>
      <c r="S95" s="46"/>
      <c r="T95" s="118"/>
      <c r="U95" s="109"/>
      <c r="V95" s="110"/>
      <c r="W95" s="111"/>
      <c r="X95" s="49"/>
      <c r="Y95" s="12"/>
      <c r="Z95" s="196"/>
      <c r="AA95" s="299"/>
      <c r="AB95" s="300"/>
      <c r="AC95" s="12"/>
      <c r="AD95" s="196"/>
      <c r="AE95" s="115"/>
      <c r="AF95" s="108"/>
      <c r="AG95" s="313"/>
    </row>
    <row r="96" spans="1:33" ht="15.75" customHeight="1">
      <c r="A96" s="303"/>
      <c r="B96" s="98"/>
      <c r="C96" s="297"/>
      <c r="D96" s="298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8"/>
      <c r="S96" s="46"/>
      <c r="T96" s="118"/>
      <c r="U96" s="109"/>
      <c r="V96" s="110"/>
      <c r="W96" s="111"/>
      <c r="X96" s="114"/>
      <c r="Y96" s="12"/>
      <c r="Z96" s="196"/>
      <c r="AA96" s="299"/>
      <c r="AB96" s="300"/>
      <c r="AC96" s="12"/>
      <c r="AD96" s="196"/>
      <c r="AE96" s="115"/>
      <c r="AF96" s="108"/>
      <c r="AG96" s="313"/>
    </row>
    <row r="97" spans="1:33" ht="15.75" customHeight="1">
      <c r="A97" s="303"/>
      <c r="B97" s="98"/>
      <c r="C97" s="297"/>
      <c r="D97" s="298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8"/>
      <c r="S97" s="46"/>
      <c r="T97" s="118"/>
      <c r="U97" s="109"/>
      <c r="V97" s="110"/>
      <c r="W97" s="111"/>
      <c r="X97" s="114"/>
      <c r="Y97" s="12"/>
      <c r="Z97" s="196"/>
      <c r="AA97" s="299"/>
      <c r="AB97" s="300"/>
      <c r="AC97" s="12"/>
      <c r="AD97" s="196"/>
      <c r="AE97" s="115"/>
      <c r="AF97" s="108"/>
      <c r="AG97" s="313"/>
    </row>
    <row r="98" spans="1:33" ht="15.75" customHeight="1">
      <c r="A98" s="303"/>
      <c r="B98" s="98"/>
      <c r="C98" s="297"/>
      <c r="D98" s="298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8"/>
      <c r="S98" s="117"/>
      <c r="T98" s="118"/>
      <c r="U98" s="109"/>
      <c r="V98" s="129"/>
      <c r="W98" s="111"/>
      <c r="X98" s="114"/>
      <c r="Y98" s="12"/>
      <c r="Z98" s="196"/>
      <c r="AA98" s="299"/>
      <c r="AB98" s="300"/>
      <c r="AC98" s="12"/>
      <c r="AD98" s="196"/>
      <c r="AE98" s="115"/>
      <c r="AF98" s="108"/>
      <c r="AG98" s="313"/>
    </row>
    <row r="99" spans="1:33" ht="15.75" customHeight="1">
      <c r="A99" s="303"/>
      <c r="B99" s="98"/>
      <c r="C99" s="297"/>
      <c r="D99" s="298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8"/>
      <c r="S99" s="117"/>
      <c r="T99" s="118"/>
      <c r="U99" s="109"/>
      <c r="V99" s="129"/>
      <c r="W99" s="124"/>
      <c r="X99" s="125"/>
      <c r="Y99" s="12"/>
      <c r="Z99" s="196"/>
      <c r="AA99" s="299"/>
      <c r="AB99" s="300"/>
      <c r="AC99" s="12"/>
      <c r="AD99" s="196"/>
      <c r="AE99" s="115"/>
      <c r="AF99" s="108"/>
      <c r="AG99" s="313"/>
    </row>
    <row r="100" spans="1:33" ht="15.75" customHeight="1">
      <c r="A100" s="303"/>
      <c r="B100" s="98"/>
      <c r="C100" s="297"/>
      <c r="D100" s="298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8"/>
      <c r="S100" s="117"/>
      <c r="T100" s="118"/>
      <c r="U100" s="109"/>
      <c r="V100" s="129"/>
      <c r="W100" s="124"/>
      <c r="X100" s="125"/>
      <c r="Y100" s="12"/>
      <c r="Z100" s="196"/>
      <c r="AA100" s="299"/>
      <c r="AB100" s="300"/>
      <c r="AC100" s="12"/>
      <c r="AD100" s="196"/>
      <c r="AE100" s="115"/>
      <c r="AF100" s="108"/>
      <c r="AG100" s="313"/>
    </row>
    <row r="101" spans="1:33" ht="15.75" customHeight="1">
      <c r="A101" s="303"/>
      <c r="B101" s="98"/>
      <c r="C101" s="297"/>
      <c r="D101" s="298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8"/>
      <c r="S101" s="117"/>
      <c r="T101" s="118"/>
      <c r="U101" s="109"/>
      <c r="V101" s="129"/>
      <c r="W101" s="124"/>
      <c r="X101" s="125"/>
      <c r="Y101" s="12"/>
      <c r="Z101" s="196"/>
      <c r="AA101" s="299"/>
      <c r="AB101" s="300"/>
      <c r="AC101" s="12"/>
      <c r="AD101" s="196"/>
      <c r="AE101" s="115"/>
      <c r="AF101" s="108"/>
      <c r="AG101" s="313"/>
    </row>
    <row r="102" spans="1:33" ht="15.75" customHeight="1">
      <c r="A102" s="303"/>
      <c r="B102" s="98"/>
      <c r="C102" s="297"/>
      <c r="D102" s="298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8"/>
      <c r="S102" s="117"/>
      <c r="T102" s="118"/>
      <c r="U102" s="109"/>
      <c r="V102" s="129"/>
      <c r="W102" s="124"/>
      <c r="X102" s="125"/>
      <c r="Y102" s="12"/>
      <c r="Z102" s="196"/>
      <c r="AA102" s="299"/>
      <c r="AB102" s="300"/>
      <c r="AC102" s="12"/>
      <c r="AD102" s="196"/>
      <c r="AE102" s="115"/>
      <c r="AF102" s="108"/>
      <c r="AG102" s="313"/>
    </row>
    <row r="103" spans="1:33" ht="15.75" customHeight="1">
      <c r="A103" s="303"/>
      <c r="B103" s="98"/>
      <c r="C103" s="297"/>
      <c r="D103" s="298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8"/>
      <c r="S103" s="117"/>
      <c r="T103" s="118"/>
      <c r="U103" s="109"/>
      <c r="V103" s="129"/>
      <c r="W103" s="124"/>
      <c r="X103" s="125"/>
      <c r="Y103" s="12"/>
      <c r="Z103" s="196"/>
      <c r="AA103" s="299"/>
      <c r="AB103" s="300"/>
      <c r="AC103" s="12"/>
      <c r="AD103" s="196"/>
      <c r="AE103" s="115"/>
      <c r="AF103" s="108"/>
      <c r="AG103" s="313"/>
    </row>
    <row r="104" spans="1:33" ht="15.75" customHeight="1">
      <c r="A104" s="303"/>
      <c r="B104" s="98"/>
      <c r="C104" s="297"/>
      <c r="D104" s="298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8"/>
      <c r="S104" s="117"/>
      <c r="T104" s="118"/>
      <c r="U104" s="109"/>
      <c r="V104" s="129"/>
      <c r="W104" s="124"/>
      <c r="X104" s="125"/>
      <c r="Y104" s="12"/>
      <c r="Z104" s="196"/>
      <c r="AA104" s="299"/>
      <c r="AB104" s="300"/>
      <c r="AC104" s="12"/>
      <c r="AD104" s="196"/>
      <c r="AE104" s="115"/>
      <c r="AF104" s="108"/>
      <c r="AG104" s="313"/>
    </row>
    <row r="105" spans="1:33" ht="15.75" customHeight="1">
      <c r="A105" s="303"/>
      <c r="B105" s="98"/>
      <c r="C105" s="297"/>
      <c r="D105" s="298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8"/>
      <c r="S105" s="117"/>
      <c r="T105" s="118"/>
      <c r="U105" s="128"/>
      <c r="V105" s="129"/>
      <c r="W105" s="124"/>
      <c r="X105" s="125"/>
      <c r="Y105" s="12"/>
      <c r="Z105" s="196"/>
      <c r="AA105" s="299"/>
      <c r="AB105" s="300"/>
      <c r="AC105" s="12"/>
      <c r="AD105" s="196"/>
      <c r="AE105" s="163"/>
      <c r="AF105" s="123"/>
      <c r="AG105" s="313"/>
    </row>
    <row r="106" spans="1:33" ht="15.75" customHeight="1" thickBot="1">
      <c r="A106" s="304"/>
      <c r="B106" s="131" t="s">
        <v>115</v>
      </c>
      <c r="C106" s="294"/>
      <c r="D106" s="294"/>
      <c r="E106" s="132"/>
      <c r="F106" s="165"/>
      <c r="G106" s="133"/>
      <c r="H106" s="67"/>
      <c r="I106" s="134">
        <f t="shared" ref="I106:J106" si="41">AVERAGE(I90:I105)</f>
        <v>6</v>
      </c>
      <c r="J106" s="135">
        <f t="shared" si="41"/>
        <v>4200</v>
      </c>
      <c r="K106" s="136">
        <f t="shared" ref="K106" si="42">J106/I106</f>
        <v>700</v>
      </c>
      <c r="L106" s="134">
        <f t="shared" ref="L106:M106" si="43">AVERAGE(L90:L105)</f>
        <v>6</v>
      </c>
      <c r="M106" s="135">
        <f t="shared" si="43"/>
        <v>3800.0042181969357</v>
      </c>
      <c r="N106" s="136">
        <f>M106/L106</f>
        <v>633.33403636615594</v>
      </c>
      <c r="O106" s="137">
        <f>L106-I106</f>
        <v>0</v>
      </c>
      <c r="P106" s="138">
        <f>N106-K106</f>
        <v>-66.665963633844058</v>
      </c>
      <c r="Q106" s="139">
        <f>N106/K106</f>
        <v>0.90476290909450852</v>
      </c>
      <c r="R106" s="309"/>
      <c r="S106" s="140">
        <v>0.25</v>
      </c>
      <c r="T106" s="141">
        <v>0.3014236111111111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5"/>
      <c r="AB106" s="296"/>
      <c r="AC106" s="177">
        <f>SUM(AC90:AC105)</f>
        <v>0</v>
      </c>
      <c r="AD106" s="189">
        <f>SUM(AD90:AD105)</f>
        <v>0</v>
      </c>
      <c r="AE106" s="166">
        <f>M106-J106</f>
        <v>-399.99578180306435</v>
      </c>
      <c r="AF106" s="139">
        <f>M106/J106</f>
        <v>0.90476290909450852</v>
      </c>
      <c r="AG106" s="314"/>
    </row>
    <row r="107" spans="1:33" ht="15.75" customHeight="1">
      <c r="A107" s="315" t="s">
        <v>189</v>
      </c>
      <c r="B107" s="144" t="s">
        <v>169</v>
      </c>
      <c r="C107" s="305" t="s">
        <v>198</v>
      </c>
      <c r="D107" s="306"/>
      <c r="E107" s="145">
        <v>58.17</v>
      </c>
      <c r="F107" s="95">
        <v>1145</v>
      </c>
      <c r="G107" s="146">
        <f t="shared" ref="G107:G109" si="44">E107*F107</f>
        <v>66604.650000000009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1807</v>
      </c>
      <c r="N107" s="150">
        <f>M107/L107</f>
        <v>106.29411764705883</v>
      </c>
      <c r="O107" s="152">
        <f>L107-I107</f>
        <v>-1</v>
      </c>
      <c r="P107" s="153">
        <f>N107-K107</f>
        <v>-4.8169934640522882</v>
      </c>
      <c r="Q107" s="154">
        <f>N107/K107</f>
        <v>0.95664705882352941</v>
      </c>
      <c r="R107" s="307">
        <f>Q123</f>
        <v>0.95148035714285706</v>
      </c>
      <c r="S107" s="155">
        <v>0.70833333333333337</v>
      </c>
      <c r="T107" s="156">
        <v>0.73473379629629632</v>
      </c>
      <c r="U107" s="157"/>
      <c r="V107" s="158">
        <v>38.018815716657443</v>
      </c>
      <c r="W107" s="156"/>
      <c r="X107" s="167"/>
      <c r="Y107" s="194"/>
      <c r="Z107" s="195"/>
      <c r="AA107" s="310"/>
      <c r="AB107" s="311"/>
      <c r="AC107" s="194"/>
      <c r="AD107" s="195"/>
      <c r="AE107" s="113">
        <f>M107-J107</f>
        <v>-193</v>
      </c>
      <c r="AF107" s="154">
        <f>M107/J107</f>
        <v>0.90349999999999997</v>
      </c>
      <c r="AG107" s="312">
        <f>AF123</f>
        <v>0.9030999999999999</v>
      </c>
    </row>
    <row r="108" spans="1:33" ht="15.75" customHeight="1">
      <c r="A108" s="316"/>
      <c r="B108" s="161" t="s">
        <v>169</v>
      </c>
      <c r="C108" s="297" t="s">
        <v>190</v>
      </c>
      <c r="D108" s="298"/>
      <c r="E108" s="99">
        <v>50.67</v>
      </c>
      <c r="F108" s="100">
        <v>1307</v>
      </c>
      <c r="G108" s="101">
        <f t="shared" si="44"/>
        <v>66225.69</v>
      </c>
      <c r="H108" s="26"/>
      <c r="I108" s="102">
        <v>20</v>
      </c>
      <c r="J108" s="103">
        <v>2000</v>
      </c>
      <c r="K108" s="104">
        <f t="shared" ref="K108:K109" si="45">J108/I108</f>
        <v>100</v>
      </c>
      <c r="L108" s="105">
        <v>19</v>
      </c>
      <c r="M108" s="103">
        <f>F108/V108*60</f>
        <v>1806.3999999999999</v>
      </c>
      <c r="N108" s="104">
        <f>M108/L108</f>
        <v>95.073684210526309</v>
      </c>
      <c r="O108" s="106">
        <f>L108-I108</f>
        <v>-1</v>
      </c>
      <c r="P108" s="107">
        <f>N108-K108</f>
        <v>-4.9263157894736906</v>
      </c>
      <c r="Q108" s="108">
        <f>N108/K108</f>
        <v>0.9507368421052631</v>
      </c>
      <c r="R108" s="308"/>
      <c r="S108" s="46">
        <v>0.73888888888888893</v>
      </c>
      <c r="T108" s="47">
        <v>0.76902777777777787</v>
      </c>
      <c r="U108" s="109">
        <v>5.9833333333333627</v>
      </c>
      <c r="V108" s="110">
        <v>43.41231178033658</v>
      </c>
      <c r="W108" s="111"/>
      <c r="X108" s="114"/>
      <c r="Y108" s="12"/>
      <c r="Z108" s="196"/>
      <c r="AA108" s="299"/>
      <c r="AB108" s="300"/>
      <c r="AC108" s="12"/>
      <c r="AD108" s="196"/>
      <c r="AE108" s="115">
        <f>M108-J108</f>
        <v>-193.60000000000014</v>
      </c>
      <c r="AF108" s="108">
        <f>M108/J108</f>
        <v>0.90319999999999989</v>
      </c>
      <c r="AG108" s="313"/>
    </row>
    <row r="109" spans="1:33" ht="15.75" customHeight="1">
      <c r="A109" s="316"/>
      <c r="B109" s="161" t="s">
        <v>169</v>
      </c>
      <c r="C109" s="297" t="s">
        <v>205</v>
      </c>
      <c r="D109" s="298"/>
      <c r="E109" s="99">
        <v>57.3</v>
      </c>
      <c r="F109" s="100">
        <v>887</v>
      </c>
      <c r="G109" s="101">
        <f t="shared" si="44"/>
        <v>50825.1</v>
      </c>
      <c r="H109" s="26"/>
      <c r="I109" s="102">
        <v>21</v>
      </c>
      <c r="J109" s="103">
        <v>2000</v>
      </c>
      <c r="K109" s="104">
        <f t="shared" si="45"/>
        <v>95.238095238095241</v>
      </c>
      <c r="L109" s="105">
        <v>20</v>
      </c>
      <c r="M109" s="103">
        <f>F109/V109*60</f>
        <v>1805.2</v>
      </c>
      <c r="N109" s="104">
        <f>M109/L109</f>
        <v>90.26</v>
      </c>
      <c r="O109" s="106">
        <f>L109-I109</f>
        <v>-1</v>
      </c>
      <c r="P109" s="107">
        <f>N109-K109</f>
        <v>-4.9780952380952357</v>
      </c>
      <c r="Q109" s="108">
        <f>N109/K109</f>
        <v>0.94773000000000007</v>
      </c>
      <c r="R109" s="308"/>
      <c r="S109" s="46">
        <v>0.77222222222222225</v>
      </c>
      <c r="T109" s="47">
        <v>0.79268518518518527</v>
      </c>
      <c r="U109" s="109">
        <v>4.5999999999999197</v>
      </c>
      <c r="V109" s="110">
        <v>29.481497894970087</v>
      </c>
      <c r="W109" s="111"/>
      <c r="X109" s="114"/>
      <c r="Y109" s="12"/>
      <c r="Z109" s="196"/>
      <c r="AA109" s="299"/>
      <c r="AB109" s="300"/>
      <c r="AC109" s="12"/>
      <c r="AD109" s="196"/>
      <c r="AE109" s="115">
        <f>M109-J109</f>
        <v>-194.79999999999995</v>
      </c>
      <c r="AF109" s="108">
        <f>M109/J109</f>
        <v>0.90260000000000007</v>
      </c>
      <c r="AG109" s="313"/>
    </row>
    <row r="110" spans="1:33" ht="15.75" customHeight="1">
      <c r="A110" s="316"/>
      <c r="B110" s="161"/>
      <c r="C110" s="297"/>
      <c r="D110" s="298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8"/>
      <c r="S110" s="46"/>
      <c r="T110" s="47"/>
      <c r="U110" s="109"/>
      <c r="V110" s="110"/>
      <c r="W110" s="111"/>
      <c r="X110" s="114"/>
      <c r="Y110" s="12"/>
      <c r="Z110" s="196"/>
      <c r="AA110" s="299"/>
      <c r="AB110" s="300"/>
      <c r="AC110" s="12"/>
      <c r="AD110" s="196"/>
      <c r="AE110" s="115"/>
      <c r="AF110" s="108"/>
      <c r="AG110" s="313"/>
    </row>
    <row r="111" spans="1:33" ht="15.75" customHeight="1">
      <c r="A111" s="316"/>
      <c r="B111" s="161"/>
      <c r="C111" s="297"/>
      <c r="D111" s="298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8"/>
      <c r="S111" s="46"/>
      <c r="T111" s="47"/>
      <c r="U111" s="109"/>
      <c r="V111" s="110"/>
      <c r="W111" s="111"/>
      <c r="X111" s="114"/>
      <c r="Y111" s="12"/>
      <c r="Z111" s="196"/>
      <c r="AA111" s="299"/>
      <c r="AB111" s="300"/>
      <c r="AC111" s="12"/>
      <c r="AD111" s="196"/>
      <c r="AE111" s="115"/>
      <c r="AF111" s="108"/>
      <c r="AG111" s="313"/>
    </row>
    <row r="112" spans="1:33" ht="15.75" customHeight="1">
      <c r="A112" s="316"/>
      <c r="B112" s="161"/>
      <c r="C112" s="297"/>
      <c r="D112" s="298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8"/>
      <c r="S112" s="46"/>
      <c r="T112" s="118"/>
      <c r="U112" s="109"/>
      <c r="V112" s="110"/>
      <c r="W112" s="111"/>
      <c r="X112" s="114"/>
      <c r="Y112" s="12"/>
      <c r="Z112" s="196"/>
      <c r="AA112" s="299"/>
      <c r="AB112" s="300"/>
      <c r="AC112" s="12"/>
      <c r="AD112" s="196"/>
      <c r="AE112" s="115"/>
      <c r="AF112" s="108"/>
      <c r="AG112" s="313"/>
    </row>
    <row r="113" spans="1:33" ht="15.75" customHeight="1">
      <c r="A113" s="316"/>
      <c r="B113" s="161"/>
      <c r="C113" s="297"/>
      <c r="D113" s="298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8"/>
      <c r="S113" s="117"/>
      <c r="T113" s="118"/>
      <c r="U113" s="109"/>
      <c r="V113" s="110"/>
      <c r="W113" s="118"/>
      <c r="X113" s="187"/>
      <c r="Y113" s="12"/>
      <c r="Z113" s="196"/>
      <c r="AA113" s="299"/>
      <c r="AB113" s="300"/>
      <c r="AC113" s="12"/>
      <c r="AD113" s="196"/>
      <c r="AE113" s="115"/>
      <c r="AF113" s="108"/>
      <c r="AG113" s="313"/>
    </row>
    <row r="114" spans="1:33" ht="15.75" customHeight="1">
      <c r="A114" s="316"/>
      <c r="B114" s="161"/>
      <c r="C114" s="297"/>
      <c r="D114" s="298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8"/>
      <c r="S114" s="117"/>
      <c r="T114" s="118"/>
      <c r="U114" s="109"/>
      <c r="V114" s="110"/>
      <c r="W114" s="118"/>
      <c r="X114" s="187"/>
      <c r="Y114" s="12"/>
      <c r="Z114" s="196"/>
      <c r="AA114" s="299"/>
      <c r="AB114" s="300"/>
      <c r="AC114" s="12"/>
      <c r="AD114" s="196"/>
      <c r="AE114" s="115"/>
      <c r="AF114" s="108"/>
      <c r="AG114" s="313"/>
    </row>
    <row r="115" spans="1:33" ht="15.75" customHeight="1">
      <c r="A115" s="316"/>
      <c r="B115" s="161"/>
      <c r="C115" s="297"/>
      <c r="D115" s="298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8"/>
      <c r="S115" s="117"/>
      <c r="T115" s="118"/>
      <c r="U115" s="109"/>
      <c r="V115" s="110"/>
      <c r="W115" s="118"/>
      <c r="X115" s="187"/>
      <c r="Y115" s="12"/>
      <c r="Z115" s="196"/>
      <c r="AA115" s="299"/>
      <c r="AB115" s="300"/>
      <c r="AC115" s="12"/>
      <c r="AD115" s="196"/>
      <c r="AE115" s="115"/>
      <c r="AF115" s="108"/>
      <c r="AG115" s="313"/>
    </row>
    <row r="116" spans="1:33" ht="15.75" customHeight="1">
      <c r="A116" s="316"/>
      <c r="B116" s="161"/>
      <c r="C116" s="297"/>
      <c r="D116" s="298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8"/>
      <c r="S116" s="117"/>
      <c r="T116" s="118"/>
      <c r="U116" s="109"/>
      <c r="V116" s="110"/>
      <c r="W116" s="118"/>
      <c r="X116" s="187"/>
      <c r="Y116" s="12"/>
      <c r="Z116" s="196"/>
      <c r="AA116" s="299"/>
      <c r="AB116" s="300"/>
      <c r="AC116" s="12"/>
      <c r="AD116" s="196"/>
      <c r="AE116" s="115"/>
      <c r="AF116" s="108"/>
      <c r="AG116" s="313"/>
    </row>
    <row r="117" spans="1:33" ht="15.75" customHeight="1">
      <c r="A117" s="316"/>
      <c r="B117" s="161"/>
      <c r="C117" s="297"/>
      <c r="D117" s="298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8"/>
      <c r="S117" s="117"/>
      <c r="T117" s="118"/>
      <c r="U117" s="109"/>
      <c r="V117" s="110"/>
      <c r="W117" s="118"/>
      <c r="X117" s="187"/>
      <c r="Y117" s="12"/>
      <c r="Z117" s="196"/>
      <c r="AA117" s="299"/>
      <c r="AB117" s="300"/>
      <c r="AC117" s="12"/>
      <c r="AD117" s="196"/>
      <c r="AE117" s="115"/>
      <c r="AF117" s="108"/>
      <c r="AG117" s="313"/>
    </row>
    <row r="118" spans="1:33" ht="15.75" customHeight="1">
      <c r="A118" s="316"/>
      <c r="B118" s="161"/>
      <c r="C118" s="297"/>
      <c r="D118" s="298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8"/>
      <c r="S118" s="117"/>
      <c r="T118" s="118"/>
      <c r="U118" s="109"/>
      <c r="V118" s="110"/>
      <c r="W118" s="118"/>
      <c r="X118" s="187"/>
      <c r="Y118" s="12"/>
      <c r="Z118" s="196"/>
      <c r="AA118" s="299"/>
      <c r="AB118" s="300"/>
      <c r="AC118" s="12"/>
      <c r="AD118" s="196"/>
      <c r="AE118" s="115"/>
      <c r="AF118" s="108"/>
      <c r="AG118" s="313"/>
    </row>
    <row r="119" spans="1:33" ht="15.75" customHeight="1">
      <c r="A119" s="316"/>
      <c r="B119" s="161"/>
      <c r="C119" s="297"/>
      <c r="D119" s="298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8"/>
      <c r="S119" s="117"/>
      <c r="T119" s="118"/>
      <c r="U119" s="109"/>
      <c r="V119" s="110"/>
      <c r="W119" s="118"/>
      <c r="X119" s="187"/>
      <c r="Y119" s="12"/>
      <c r="Z119" s="196"/>
      <c r="AA119" s="299"/>
      <c r="AB119" s="300"/>
      <c r="AC119" s="12"/>
      <c r="AD119" s="196"/>
      <c r="AE119" s="115"/>
      <c r="AF119" s="108"/>
      <c r="AG119" s="313"/>
    </row>
    <row r="120" spans="1:33" ht="15.75" customHeight="1">
      <c r="A120" s="316"/>
      <c r="B120" s="161"/>
      <c r="C120" s="297"/>
      <c r="D120" s="298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8"/>
      <c r="S120" s="117"/>
      <c r="T120" s="118"/>
      <c r="U120" s="109"/>
      <c r="V120" s="110"/>
      <c r="W120" s="118"/>
      <c r="X120" s="187"/>
      <c r="Y120" s="12"/>
      <c r="Z120" s="196"/>
      <c r="AA120" s="299"/>
      <c r="AB120" s="300"/>
      <c r="AC120" s="12"/>
      <c r="AD120" s="196"/>
      <c r="AE120" s="115"/>
      <c r="AF120" s="108"/>
      <c r="AG120" s="313"/>
    </row>
    <row r="121" spans="1:33" ht="15.75" customHeight="1">
      <c r="A121" s="316"/>
      <c r="B121" s="161"/>
      <c r="C121" s="297"/>
      <c r="D121" s="298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8"/>
      <c r="S121" s="117"/>
      <c r="T121" s="118"/>
      <c r="U121" s="109"/>
      <c r="V121" s="110"/>
      <c r="W121" s="118"/>
      <c r="X121" s="187"/>
      <c r="Y121" s="12"/>
      <c r="Z121" s="196"/>
      <c r="AA121" s="299"/>
      <c r="AB121" s="300"/>
      <c r="AC121" s="12"/>
      <c r="AD121" s="196"/>
      <c r="AE121" s="115"/>
      <c r="AF121" s="108"/>
      <c r="AG121" s="313"/>
    </row>
    <row r="122" spans="1:33" ht="15.75" customHeight="1">
      <c r="A122" s="316"/>
      <c r="B122" s="161"/>
      <c r="C122" s="297"/>
      <c r="D122" s="298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8"/>
      <c r="S122" s="117"/>
      <c r="T122" s="118"/>
      <c r="U122" s="128"/>
      <c r="V122" s="129"/>
      <c r="W122" s="124"/>
      <c r="X122" s="125"/>
      <c r="Y122" s="12"/>
      <c r="Z122" s="196"/>
      <c r="AA122" s="299"/>
      <c r="AB122" s="300"/>
      <c r="AC122" s="12"/>
      <c r="AD122" s="196"/>
      <c r="AE122" s="163"/>
      <c r="AF122" s="123"/>
      <c r="AG122" s="313"/>
    </row>
    <row r="123" spans="1:33" ht="15.75" customHeight="1" thickBot="1">
      <c r="A123" s="317"/>
      <c r="B123" s="131" t="s">
        <v>115</v>
      </c>
      <c r="C123" s="294"/>
      <c r="D123" s="294"/>
      <c r="E123" s="132"/>
      <c r="F123" s="165"/>
      <c r="G123" s="133"/>
      <c r="H123" s="67"/>
      <c r="I123" s="134">
        <f t="shared" ref="I123:J123" si="46">AVERAGE(I107:I122)</f>
        <v>19.666666666666668</v>
      </c>
      <c r="J123" s="135">
        <f t="shared" si="46"/>
        <v>2000</v>
      </c>
      <c r="K123" s="136">
        <f t="shared" ref="K123" si="47">J123/I123</f>
        <v>101.69491525423729</v>
      </c>
      <c r="L123" s="134">
        <f t="shared" ref="L123:M123" si="48">AVERAGE(L107:L122)</f>
        <v>18.666666666666668</v>
      </c>
      <c r="M123" s="135">
        <f t="shared" si="48"/>
        <v>1806.1999999999998</v>
      </c>
      <c r="N123" s="136">
        <f>M123/L123</f>
        <v>96.760714285714272</v>
      </c>
      <c r="O123" s="137">
        <f>L123-I123</f>
        <v>-1</v>
      </c>
      <c r="P123" s="138">
        <f>N123-K123</f>
        <v>-4.9342009685230153</v>
      </c>
      <c r="Q123" s="139">
        <f>N123/K123</f>
        <v>0.95148035714285706</v>
      </c>
      <c r="R123" s="309"/>
      <c r="S123" s="140">
        <v>0.70833333333333337</v>
      </c>
      <c r="T123" s="141">
        <v>0.79268518518518527</v>
      </c>
      <c r="U123" s="142"/>
      <c r="V123" s="164"/>
      <c r="W123" s="165"/>
      <c r="X123" s="136"/>
      <c r="Y123" s="177">
        <f t="shared" ref="Y123:Z123" si="49">SUM(Y107:Y122)</f>
        <v>0</v>
      </c>
      <c r="Z123" s="178">
        <f t="shared" si="49"/>
        <v>0</v>
      </c>
      <c r="AA123" s="295"/>
      <c r="AB123" s="296"/>
      <c r="AC123" s="177">
        <f t="shared" ref="AC123:AD123" si="50">SUM(AC107:AC122)</f>
        <v>0</v>
      </c>
      <c r="AD123" s="178">
        <f t="shared" si="50"/>
        <v>0</v>
      </c>
      <c r="AE123" s="166">
        <f>M123-J123</f>
        <v>-193.80000000000018</v>
      </c>
      <c r="AF123" s="139">
        <f>M123/J123</f>
        <v>0.9030999999999999</v>
      </c>
      <c r="AG123" s="314"/>
    </row>
    <row r="124" spans="1:33" ht="15.75" customHeight="1">
      <c r="A124" s="301" t="s">
        <v>179</v>
      </c>
      <c r="B124" s="144" t="s">
        <v>169</v>
      </c>
      <c r="C124" s="305" t="s">
        <v>181</v>
      </c>
      <c r="D124" s="306"/>
      <c r="E124" s="145">
        <v>56.87</v>
      </c>
      <c r="F124" s="157">
        <v>1200</v>
      </c>
      <c r="G124" s="146">
        <f t="shared" ref="G124:G126" si="51">E124*F124</f>
        <v>68244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1803.6185642727755</v>
      </c>
      <c r="N124" s="150">
        <f>M124/L124</f>
        <v>78.418198446642421</v>
      </c>
      <c r="O124" s="152">
        <f>L124-I124</f>
        <v>0</v>
      </c>
      <c r="P124" s="153">
        <f>N124-K124</f>
        <v>-8.5383232924880161</v>
      </c>
      <c r="Q124" s="154">
        <f>N124/K124</f>
        <v>0.90180928213638778</v>
      </c>
      <c r="R124" s="307">
        <f>Q140</f>
        <v>0.90207729843418938</v>
      </c>
      <c r="S124" s="155">
        <v>0.70833333333333337</v>
      </c>
      <c r="T124" s="156">
        <v>0.73605324074074074</v>
      </c>
      <c r="U124" s="157"/>
      <c r="V124" s="158">
        <v>39.919748790693234</v>
      </c>
      <c r="W124" s="95"/>
      <c r="X124" s="96"/>
      <c r="Y124" s="194"/>
      <c r="Z124" s="195"/>
      <c r="AA124" s="310"/>
      <c r="AB124" s="311"/>
      <c r="AC124" s="194"/>
      <c r="AD124" s="195"/>
      <c r="AE124" s="113">
        <f>M124-J124</f>
        <v>-196.38143572722447</v>
      </c>
      <c r="AF124" s="154">
        <f>M124/J124</f>
        <v>0.90180928213638778</v>
      </c>
      <c r="AG124" s="379">
        <f>AF140</f>
        <v>0.90207729843418938</v>
      </c>
    </row>
    <row r="125" spans="1:33" ht="15.75" customHeight="1">
      <c r="A125" s="302"/>
      <c r="B125" s="161" t="s">
        <v>169</v>
      </c>
      <c r="C125" s="297" t="s">
        <v>180</v>
      </c>
      <c r="D125" s="298"/>
      <c r="E125" s="99">
        <v>56.79</v>
      </c>
      <c r="F125" s="109">
        <v>1615</v>
      </c>
      <c r="G125" s="101">
        <f t="shared" si="51"/>
        <v>91715.85</v>
      </c>
      <c r="H125" s="26"/>
      <c r="I125" s="102">
        <v>23</v>
      </c>
      <c r="J125" s="103">
        <v>2000</v>
      </c>
      <c r="K125" s="104">
        <f t="shared" ref="K125:K126" si="52">J125/I125</f>
        <v>86.956521739130437</v>
      </c>
      <c r="L125" s="105">
        <v>23</v>
      </c>
      <c r="M125" s="103">
        <f>F125/V125*60</f>
        <v>1801.1667199915476</v>
      </c>
      <c r="N125" s="104">
        <f>M125/L125</f>
        <v>78.311596521371627</v>
      </c>
      <c r="O125" s="106">
        <f>L125-I125</f>
        <v>0</v>
      </c>
      <c r="P125" s="107">
        <f>N125-K125</f>
        <v>-8.6449252177588107</v>
      </c>
      <c r="Q125" s="108">
        <f>N125/K125</f>
        <v>0.90058335999577366</v>
      </c>
      <c r="R125" s="308"/>
      <c r="S125" s="46">
        <v>0.73958333333333337</v>
      </c>
      <c r="T125" s="47">
        <v>0.7769328703703704</v>
      </c>
      <c r="U125" s="109">
        <v>5.0833333333333819</v>
      </c>
      <c r="V125" s="110">
        <v>53.798462365801839</v>
      </c>
      <c r="W125" s="111"/>
      <c r="X125" s="114"/>
      <c r="Y125" s="12"/>
      <c r="Z125" s="196"/>
      <c r="AA125" s="299"/>
      <c r="AB125" s="300"/>
      <c r="AC125" s="12"/>
      <c r="AD125" s="196"/>
      <c r="AE125" s="115">
        <f>M125-J125</f>
        <v>-198.83328000845245</v>
      </c>
      <c r="AF125" s="108">
        <f>M125/J125</f>
        <v>0.90058335999577377</v>
      </c>
      <c r="AG125" s="380"/>
    </row>
    <row r="126" spans="1:33" ht="15.75" customHeight="1">
      <c r="A126" s="302"/>
      <c r="B126" s="161" t="s">
        <v>169</v>
      </c>
      <c r="C126" s="297" t="s">
        <v>220</v>
      </c>
      <c r="D126" s="298"/>
      <c r="E126" s="99">
        <v>47.6</v>
      </c>
      <c r="F126" s="109">
        <v>2326</v>
      </c>
      <c r="G126" s="101">
        <f t="shared" si="51"/>
        <v>110717.6</v>
      </c>
      <c r="H126" s="26"/>
      <c r="I126" s="102">
        <v>23</v>
      </c>
      <c r="J126" s="103">
        <v>2000</v>
      </c>
      <c r="K126" s="104">
        <f t="shared" si="52"/>
        <v>86.956521739130437</v>
      </c>
      <c r="L126" s="105">
        <v>23</v>
      </c>
      <c r="M126" s="103">
        <f>F126/V126*60</f>
        <v>1807.6785063408136</v>
      </c>
      <c r="N126" s="104">
        <f>M126/L126</f>
        <v>78.594717666991897</v>
      </c>
      <c r="O126" s="106">
        <f>L126-I126</f>
        <v>0</v>
      </c>
      <c r="P126" s="107">
        <f>N126-K126</f>
        <v>-8.3618040721385398</v>
      </c>
      <c r="Q126" s="108">
        <f>N126/K126</f>
        <v>0.90383925317040681</v>
      </c>
      <c r="R126" s="308"/>
      <c r="S126" s="46">
        <v>0.78055555555555556</v>
      </c>
      <c r="T126" s="47">
        <v>0.83416666666666672</v>
      </c>
      <c r="U126" s="109">
        <v>5.2166666666666295</v>
      </c>
      <c r="V126" s="110">
        <v>77.203993691612681</v>
      </c>
      <c r="W126" s="111"/>
      <c r="X126" s="114"/>
      <c r="Y126" s="12"/>
      <c r="Z126" s="196"/>
      <c r="AA126" s="299"/>
      <c r="AB126" s="300"/>
      <c r="AC126" s="12"/>
      <c r="AD126" s="196"/>
      <c r="AE126" s="115">
        <f>M126-J126</f>
        <v>-192.32149365918644</v>
      </c>
      <c r="AF126" s="108">
        <f>M126/J126</f>
        <v>0.90383925317040681</v>
      </c>
      <c r="AG126" s="380"/>
    </row>
    <row r="127" spans="1:33" ht="15.75" customHeight="1">
      <c r="A127" s="302"/>
      <c r="B127" s="161"/>
      <c r="C127" s="297"/>
      <c r="D127" s="298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8"/>
      <c r="S127" s="46"/>
      <c r="T127" s="47"/>
      <c r="U127" s="109"/>
      <c r="V127" s="110"/>
      <c r="W127" s="111"/>
      <c r="X127" s="114"/>
      <c r="Y127" s="12"/>
      <c r="Z127" s="196"/>
      <c r="AA127" s="299"/>
      <c r="AB127" s="300"/>
      <c r="AC127" s="12"/>
      <c r="AD127" s="196"/>
      <c r="AE127" s="115"/>
      <c r="AF127" s="108"/>
      <c r="AG127" s="380"/>
    </row>
    <row r="128" spans="1:33" ht="15.75" customHeight="1">
      <c r="A128" s="303"/>
      <c r="B128" s="161"/>
      <c r="C128" s="297"/>
      <c r="D128" s="298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8"/>
      <c r="S128" s="46"/>
      <c r="T128" s="47"/>
      <c r="U128" s="109"/>
      <c r="V128" s="110"/>
      <c r="W128" s="111"/>
      <c r="X128" s="114"/>
      <c r="Y128" s="12"/>
      <c r="Z128" s="196"/>
      <c r="AA128" s="299"/>
      <c r="AB128" s="300"/>
      <c r="AC128" s="12"/>
      <c r="AD128" s="196"/>
      <c r="AE128" s="115"/>
      <c r="AF128" s="108"/>
      <c r="AG128" s="380"/>
    </row>
    <row r="129" spans="1:33" ht="15.75" customHeight="1">
      <c r="A129" s="303"/>
      <c r="B129" s="161"/>
      <c r="C129" s="297"/>
      <c r="D129" s="298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8"/>
      <c r="S129" s="46"/>
      <c r="T129" s="118"/>
      <c r="U129" s="109"/>
      <c r="V129" s="110"/>
      <c r="W129" s="111"/>
      <c r="X129" s="114"/>
      <c r="Y129" s="12"/>
      <c r="Z129" s="196"/>
      <c r="AA129" s="299"/>
      <c r="AB129" s="300"/>
      <c r="AC129" s="12"/>
      <c r="AD129" s="196"/>
      <c r="AE129" s="115"/>
      <c r="AF129" s="108"/>
      <c r="AG129" s="380"/>
    </row>
    <row r="130" spans="1:33" ht="15.75" customHeight="1">
      <c r="A130" s="303"/>
      <c r="B130" s="161"/>
      <c r="C130" s="297"/>
      <c r="D130" s="298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8"/>
      <c r="S130" s="46"/>
      <c r="T130" s="118"/>
      <c r="U130" s="109"/>
      <c r="V130" s="110"/>
      <c r="W130" s="111"/>
      <c r="X130" s="114"/>
      <c r="Y130" s="12"/>
      <c r="Z130" s="196"/>
      <c r="AA130" s="299"/>
      <c r="AB130" s="300"/>
      <c r="AC130" s="12"/>
      <c r="AD130" s="196"/>
      <c r="AE130" s="115"/>
      <c r="AF130" s="108"/>
      <c r="AG130" s="380"/>
    </row>
    <row r="131" spans="1:33" ht="15.75" customHeight="1">
      <c r="A131" s="303"/>
      <c r="B131" s="161"/>
      <c r="C131" s="297"/>
      <c r="D131" s="298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8"/>
      <c r="S131" s="46"/>
      <c r="T131" s="118"/>
      <c r="U131" s="109"/>
      <c r="V131" s="110"/>
      <c r="W131" s="111"/>
      <c r="X131" s="114"/>
      <c r="Y131" s="12"/>
      <c r="Z131" s="196"/>
      <c r="AA131" s="299"/>
      <c r="AB131" s="300"/>
      <c r="AC131" s="12"/>
      <c r="AD131" s="196"/>
      <c r="AE131" s="115"/>
      <c r="AF131" s="108"/>
      <c r="AG131" s="380"/>
    </row>
    <row r="132" spans="1:33" ht="15.75" customHeight="1">
      <c r="A132" s="303"/>
      <c r="B132" s="161"/>
      <c r="C132" s="297"/>
      <c r="D132" s="298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8"/>
      <c r="S132" s="46"/>
      <c r="T132" s="118"/>
      <c r="U132" s="109"/>
      <c r="V132" s="110"/>
      <c r="W132" s="111"/>
      <c r="X132" s="114"/>
      <c r="Y132" s="12"/>
      <c r="Z132" s="196"/>
      <c r="AA132" s="299"/>
      <c r="AB132" s="300"/>
      <c r="AC132" s="12"/>
      <c r="AD132" s="196"/>
      <c r="AE132" s="115"/>
      <c r="AF132" s="108"/>
      <c r="AG132" s="380"/>
    </row>
    <row r="133" spans="1:33" ht="15.75" customHeight="1">
      <c r="A133" s="303"/>
      <c r="B133" s="161"/>
      <c r="C133" s="297"/>
      <c r="D133" s="298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8"/>
      <c r="S133" s="46"/>
      <c r="T133" s="118"/>
      <c r="U133" s="109"/>
      <c r="V133" s="110"/>
      <c r="W133" s="111"/>
      <c r="X133" s="114"/>
      <c r="Y133" s="12"/>
      <c r="Z133" s="196"/>
      <c r="AA133" s="299"/>
      <c r="AB133" s="300"/>
      <c r="AC133" s="12"/>
      <c r="AD133" s="196"/>
      <c r="AE133" s="115"/>
      <c r="AF133" s="108"/>
      <c r="AG133" s="380"/>
    </row>
    <row r="134" spans="1:33" ht="15.75" customHeight="1">
      <c r="A134" s="303"/>
      <c r="B134" s="161"/>
      <c r="C134" s="297"/>
      <c r="D134" s="298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8"/>
      <c r="S134" s="46"/>
      <c r="T134" s="118"/>
      <c r="U134" s="109"/>
      <c r="V134" s="110"/>
      <c r="W134" s="111"/>
      <c r="X134" s="114"/>
      <c r="Y134" s="12"/>
      <c r="Z134" s="196"/>
      <c r="AA134" s="299"/>
      <c r="AB134" s="300"/>
      <c r="AC134" s="12"/>
      <c r="AD134" s="196"/>
      <c r="AE134" s="115"/>
      <c r="AF134" s="108"/>
      <c r="AG134" s="380"/>
    </row>
    <row r="135" spans="1:33" ht="15.75" customHeight="1">
      <c r="A135" s="303"/>
      <c r="B135" s="161"/>
      <c r="C135" s="297"/>
      <c r="D135" s="298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8"/>
      <c r="S135" s="46"/>
      <c r="T135" s="118"/>
      <c r="U135" s="109"/>
      <c r="V135" s="110"/>
      <c r="W135" s="111"/>
      <c r="X135" s="114"/>
      <c r="Y135" s="12"/>
      <c r="Z135" s="196"/>
      <c r="AA135" s="299"/>
      <c r="AB135" s="300"/>
      <c r="AC135" s="12"/>
      <c r="AD135" s="196"/>
      <c r="AE135" s="115"/>
      <c r="AF135" s="108"/>
      <c r="AG135" s="380"/>
    </row>
    <row r="136" spans="1:33" ht="15.75" customHeight="1">
      <c r="A136" s="303"/>
      <c r="B136" s="161"/>
      <c r="C136" s="297"/>
      <c r="D136" s="298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8"/>
      <c r="S136" s="46"/>
      <c r="T136" s="118"/>
      <c r="U136" s="109"/>
      <c r="V136" s="110"/>
      <c r="W136" s="111"/>
      <c r="X136" s="114"/>
      <c r="Y136" s="12"/>
      <c r="Z136" s="196"/>
      <c r="AA136" s="299"/>
      <c r="AB136" s="300"/>
      <c r="AC136" s="12"/>
      <c r="AD136" s="196"/>
      <c r="AE136" s="115"/>
      <c r="AF136" s="108"/>
      <c r="AG136" s="380"/>
    </row>
    <row r="137" spans="1:33" ht="15.75" customHeight="1">
      <c r="A137" s="303"/>
      <c r="B137" s="161"/>
      <c r="C137" s="297"/>
      <c r="D137" s="298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8"/>
      <c r="S137" s="46"/>
      <c r="T137" s="118"/>
      <c r="U137" s="109"/>
      <c r="V137" s="110"/>
      <c r="W137" s="181"/>
      <c r="X137" s="182"/>
      <c r="Y137" s="12"/>
      <c r="Z137" s="196"/>
      <c r="AA137" s="299"/>
      <c r="AB137" s="300"/>
      <c r="AC137" s="12"/>
      <c r="AD137" s="196"/>
      <c r="AE137" s="115"/>
      <c r="AF137" s="108"/>
      <c r="AG137" s="380"/>
    </row>
    <row r="138" spans="1:33" ht="15.75" customHeight="1">
      <c r="A138" s="303"/>
      <c r="B138" s="161"/>
      <c r="C138" s="297"/>
      <c r="D138" s="298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8"/>
      <c r="S138" s="46"/>
      <c r="T138" s="118"/>
      <c r="U138" s="109"/>
      <c r="V138" s="110"/>
      <c r="W138" s="183"/>
      <c r="X138" s="184"/>
      <c r="Y138" s="12"/>
      <c r="Z138" s="196"/>
      <c r="AA138" s="299"/>
      <c r="AB138" s="300"/>
      <c r="AC138" s="12"/>
      <c r="AD138" s="196"/>
      <c r="AE138" s="115"/>
      <c r="AF138" s="108"/>
      <c r="AG138" s="380"/>
    </row>
    <row r="139" spans="1:33" ht="15.75" customHeight="1">
      <c r="A139" s="303"/>
      <c r="B139" s="98"/>
      <c r="C139" s="297"/>
      <c r="D139" s="298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8"/>
      <c r="S139" s="46"/>
      <c r="T139" s="118"/>
      <c r="U139" s="128"/>
      <c r="V139" s="110"/>
      <c r="W139" s="183"/>
      <c r="X139" s="184"/>
      <c r="Y139" s="12"/>
      <c r="Z139" s="196"/>
      <c r="AA139" s="299"/>
      <c r="AB139" s="300"/>
      <c r="AC139" s="12"/>
      <c r="AD139" s="196"/>
      <c r="AE139" s="115"/>
      <c r="AF139" s="108"/>
      <c r="AG139" s="380"/>
    </row>
    <row r="140" spans="1:33" ht="15.75" customHeight="1" thickBot="1">
      <c r="A140" s="304"/>
      <c r="B140" s="131" t="s">
        <v>115</v>
      </c>
      <c r="C140" s="294"/>
      <c r="D140" s="294"/>
      <c r="E140" s="132"/>
      <c r="F140" s="165"/>
      <c r="G140" s="133"/>
      <c r="H140" s="67"/>
      <c r="I140" s="134">
        <f t="shared" ref="I140:J140" si="53">AVERAGE(I124:I139)</f>
        <v>23</v>
      </c>
      <c r="J140" s="135">
        <f t="shared" si="53"/>
        <v>2000</v>
      </c>
      <c r="K140" s="136">
        <f t="shared" ref="K140" si="54">J140/I140</f>
        <v>86.956521739130437</v>
      </c>
      <c r="L140" s="134">
        <f t="shared" ref="L140:M140" si="55">AVERAGE(L124:L139)</f>
        <v>23</v>
      </c>
      <c r="M140" s="135">
        <f t="shared" si="55"/>
        <v>1804.1545968683788</v>
      </c>
      <c r="N140" s="136">
        <f>M140/L140</f>
        <v>78.441504211668644</v>
      </c>
      <c r="O140" s="137">
        <f>L140-I140</f>
        <v>0</v>
      </c>
      <c r="P140" s="138">
        <f>N140-K140</f>
        <v>-8.5150175274617936</v>
      </c>
      <c r="Q140" s="139">
        <f>N140/K140</f>
        <v>0.90207729843418938</v>
      </c>
      <c r="R140" s="309"/>
      <c r="S140" s="140">
        <v>0.70833333333333337</v>
      </c>
      <c r="T140" s="141">
        <v>0.83416666666666672</v>
      </c>
      <c r="U140" s="142"/>
      <c r="V140" s="164"/>
      <c r="W140" s="185"/>
      <c r="X140" s="186"/>
      <c r="Y140" s="177">
        <f t="shared" ref="Y140:Z140" si="56">SUM(Y124:Y139)</f>
        <v>0</v>
      </c>
      <c r="Z140" s="178">
        <f t="shared" si="56"/>
        <v>0</v>
      </c>
      <c r="AA140" s="295"/>
      <c r="AB140" s="296"/>
      <c r="AC140" s="177">
        <f t="shared" ref="AC140:AD140" si="57">SUM(AC124:AC139)</f>
        <v>0</v>
      </c>
      <c r="AD140" s="178">
        <f t="shared" si="57"/>
        <v>0</v>
      </c>
      <c r="AE140" s="166">
        <f>M140-J140</f>
        <v>-195.8454031316212</v>
      </c>
      <c r="AF140" s="139">
        <f>M140/J140</f>
        <v>0.90207729843418938</v>
      </c>
      <c r="AG140" s="381"/>
    </row>
    <row r="142" spans="1:33">
      <c r="AA142" s="293" t="s">
        <v>147</v>
      </c>
      <c r="AB142" s="293"/>
    </row>
    <row r="143" spans="1:33">
      <c r="AA143" s="293" t="s">
        <v>148</v>
      </c>
      <c r="AB143" s="293"/>
    </row>
    <row r="144" spans="1:33">
      <c r="AA144" s="293" t="s">
        <v>149</v>
      </c>
      <c r="AB144" s="293"/>
    </row>
    <row r="145" spans="27:28">
      <c r="AA145" s="293" t="s">
        <v>150</v>
      </c>
      <c r="AB145" s="293"/>
    </row>
    <row r="146" spans="27:28">
      <c r="AA146" s="293" t="s">
        <v>151</v>
      </c>
      <c r="AB146" s="293"/>
    </row>
    <row r="147" spans="27:28">
      <c r="AA147" s="293" t="s">
        <v>152</v>
      </c>
      <c r="AB147" s="293"/>
    </row>
    <row r="148" spans="27:28">
      <c r="AA148" s="293" t="s">
        <v>153</v>
      </c>
      <c r="AB148" s="293"/>
    </row>
    <row r="149" spans="27:28">
      <c r="AA149" s="293" t="s">
        <v>154</v>
      </c>
      <c r="AB149" s="293"/>
    </row>
    <row r="150" spans="27:28">
      <c r="AA150" s="293" t="s">
        <v>155</v>
      </c>
      <c r="AB150" s="293"/>
    </row>
    <row r="151" spans="27:28">
      <c r="AA151" s="293" t="s">
        <v>156</v>
      </c>
      <c r="AB151" s="293"/>
    </row>
    <row r="152" spans="27:28">
      <c r="AA152" s="293" t="s">
        <v>157</v>
      </c>
      <c r="AB152" s="293"/>
    </row>
    <row r="153" spans="27:28">
      <c r="AA153" s="293" t="s">
        <v>158</v>
      </c>
      <c r="AB153" s="293"/>
    </row>
    <row r="154" spans="27:28">
      <c r="AA154" s="293" t="s">
        <v>159</v>
      </c>
      <c r="AB154" s="293"/>
    </row>
  </sheetData>
  <dataConsolidate/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10" priority="2" operator="greaterThan">
      <formula>0</formula>
    </cfRule>
  </conditionalFormatting>
  <conditionalFormatting sqref="P5:P140 AE5:AE140">
    <cfRule type="cellIs" dxfId="9" priority="5" operator="lessThan">
      <formula>0</formula>
    </cfRule>
  </conditionalFormatting>
  <conditionalFormatting sqref="Q5:Q140 AF5:AF140">
    <cfRule type="cellIs" dxfId="8" priority="3" operator="greaterThan">
      <formula>1</formula>
    </cfRule>
    <cfRule type="cellIs" dxfId="7" priority="4" operator="lessThan">
      <formula>0.8</formula>
    </cfRule>
  </conditionalFormatting>
  <conditionalFormatting sqref="AG5 R5:R140 AG107:AG124">
    <cfRule type="cellIs" dxfId="6" priority="6" operator="lessThan">
      <formula>0.8</formula>
    </cfRule>
  </conditionalFormatting>
  <conditionalFormatting sqref="AG22">
    <cfRule type="cellIs" dxfId="5" priority="11" operator="lessThan">
      <formula>0.8</formula>
    </cfRule>
  </conditionalFormatting>
  <conditionalFormatting sqref="AG37">
    <cfRule type="cellIs" dxfId="4" priority="10" operator="lessThan">
      <formula>0.8</formula>
    </cfRule>
  </conditionalFormatting>
  <conditionalFormatting sqref="AG39:AG74">
    <cfRule type="cellIs" dxfId="3" priority="8" operator="lessThan">
      <formula>0.8</formula>
    </cfRule>
  </conditionalFormatting>
  <conditionalFormatting sqref="AG80:AG88">
    <cfRule type="cellIs" dxfId="2" priority="9" operator="lessThan">
      <formula>0.8</formula>
    </cfRule>
  </conditionalFormatting>
  <conditionalFormatting sqref="AG90:AG95">
    <cfRule type="cellIs" dxfId="1" priority="7" operator="lessThan">
      <formula>0.8</formula>
    </cfRule>
  </conditionalFormatting>
  <conditionalFormatting sqref="AG139">
    <cfRule type="cellIs" dxfId="0" priority="1" operator="lessThan">
      <formula>0.8</formula>
    </cfRule>
  </conditionalFormatting>
  <dataValidations count="1">
    <dataValidation type="list" allowBlank="1" showInputMessage="1" showErrorMessage="1" sqref="AA5:AB140" xr:uid="{3FFBEEBF-03D3-46D0-A587-368781D18039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649E51-6F87-4EFE-9B35-3A804E979EDB}"/>
</file>

<file path=customXml/itemProps2.xml><?xml version="1.0" encoding="utf-8"?>
<ds:datastoreItem xmlns:ds="http://schemas.openxmlformats.org/officeDocument/2006/customXml" ds:itemID="{458E00AF-24A1-4A96-8A28-781C2033AEC5}"/>
</file>

<file path=customXml/itemProps3.xml><?xml version="1.0" encoding="utf-8"?>
<ds:datastoreItem xmlns:ds="http://schemas.openxmlformats.org/officeDocument/2006/customXml" ds:itemID="{541D7137-303B-4F95-BB5A-F2AB331452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1008</vt:lpstr>
      <vt:lpstr>1008(18度C)</vt:lpstr>
      <vt:lpstr>1008(4度C)</vt:lpstr>
      <vt:lpstr>1007</vt:lpstr>
      <vt:lpstr>1007(18度C)</vt:lpstr>
      <vt:lpstr>1007(4度C)</vt:lpstr>
      <vt:lpstr>1006</vt:lpstr>
      <vt:lpstr>1006(18度C)</vt:lpstr>
      <vt:lpstr>1006(4度C)</vt:lpstr>
      <vt:lpstr>1005</vt:lpstr>
      <vt:lpstr>1005(18度C)</vt:lpstr>
      <vt:lpstr>1005(4度C)</vt:lpstr>
      <vt:lpstr>1004</vt:lpstr>
      <vt:lpstr>1004(18度C)</vt:lpstr>
      <vt:lpstr>1004(4度C)</vt:lpstr>
      <vt:lpstr>1003</vt:lpstr>
      <vt:lpstr>1003(18度C)</vt:lpstr>
      <vt:lpstr>1003(4度C)</vt:lpstr>
      <vt:lpstr>1002</vt:lpstr>
      <vt:lpstr>1002(18度C)</vt:lpstr>
      <vt:lpstr>1002(4度C)</vt:lpstr>
      <vt:lpstr>1001</vt:lpstr>
      <vt:lpstr>1001(18度C)</vt:lpstr>
      <vt:lpstr>1001(4度C)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雅嬪 鄭</dc:creator>
  <cp:lastModifiedBy>食品 屏榮</cp:lastModifiedBy>
  <dcterms:created xsi:type="dcterms:W3CDTF">2025-12-04T02:01:56Z</dcterms:created>
  <dcterms:modified xsi:type="dcterms:W3CDTF">2026-10-12T07:33:41Z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